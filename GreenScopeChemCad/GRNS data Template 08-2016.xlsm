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a.ad.epa.gov\ord\CIN\Users\main\F-K\GRuizMer\Net MyDocuments\GREENSCOPE tool\Python version\"/>
    </mc:Choice>
  </mc:AlternateContent>
  <bookViews>
    <workbookView xWindow="0" yWindow="0" windowWidth="15360" windowHeight="6255" tabRatio="778"/>
  </bookViews>
  <sheets>
    <sheet name="I. Stream &amp; Compound Data" sheetId="8" r:id="rId1"/>
    <sheet name="II. Equipment &amp; Cost Data" sheetId="7" r:id="rId2"/>
    <sheet name="III. Utility Data" sheetId="14" r:id="rId3"/>
    <sheet name="Potency Factors " sheetId="10" r:id="rId4"/>
    <sheet name="Solid Estimation" sheetId="17" r:id="rId5"/>
  </sheets>
  <definedNames>
    <definedName name="_r°__kg_m_3" localSheetId="4">'I. Stream &amp; Compound Data'!$BH$262:$BH$311</definedName>
    <definedName name="_r°__kg_m_3">'I. Stream &amp; Compound Data'!$BH$262:$BH$311</definedName>
    <definedName name="Compound_name" localSheetId="4">'I. Stream &amp; Compound Data'!$D$32:$D$81</definedName>
    <definedName name="Compound_name">'I. Stream &amp; Compound Data'!$D$32:$D$81</definedName>
    <definedName name="Cp__kJ_kg_K" localSheetId="4">'I. Stream &amp; Compound Data'!$BF$262:$BF$311</definedName>
    <definedName name="Cp__kJ_kg_K">'I. Stream &amp; Compound Data'!$BF$262:$BF$311</definedName>
    <definedName name="DHv__kJ_kg" localSheetId="4">'I. Stream &amp; Compound Data'!$BG$262:$BG$311</definedName>
    <definedName name="DHv__kJ_kg">'I. Stream &amp; Compound Data'!$BG$262:$BG$311</definedName>
    <definedName name="Emergy_Transformity_MseJ_kg" localSheetId="4">'I. Stream &amp; Compound Data'!$BK$262:$BK$311</definedName>
    <definedName name="Emergy_Transformity_MseJ_kg">'I. Stream &amp; Compound Data'!$BK$262:$BK$311</definedName>
    <definedName name="ERPG2_mg_m3" localSheetId="4">'I. Stream &amp; Compound Data'!$Y$262:$Y$311</definedName>
    <definedName name="ERPG2_mg_m3">'I. Stream &amp; Compound Data'!$Y$262:$Y$311</definedName>
    <definedName name="ERPG3_mg_m3" localSheetId="4">'I. Stream &amp; Compound Data'!$Z$262:$Z$311</definedName>
    <definedName name="ERPG3_mg_m3">'I. Stream &amp; Compound Data'!$Z$262:$Z$311</definedName>
    <definedName name="Ex°_ch_MJ_kmol" localSheetId="4">'I. Stream &amp; Compound Data'!$BL$262:$BL$311</definedName>
    <definedName name="Ex°_ch_MJ_kmol">'I. Stream &amp; Compound Data'!$BL$262:$BL$311</definedName>
    <definedName name="H°_MJ_kg_1atm_25°C" localSheetId="4">'I. Stream &amp; Compound Data'!$BM$262:$BM$311</definedName>
    <definedName name="H°_MJ_kg_1atm_25°C">'I. Stream &amp; Compound Data'!$BM$262:$BM$311</definedName>
    <definedName name="High_pressure">'III. Utility Data'!$F$62:$F$71</definedName>
    <definedName name="IN_Enthalpy_MJ_h" localSheetId="4">'II. Equipment &amp; Cost Data'!$L$209:$L$248</definedName>
    <definedName name="IN_Enthalpy_MJ_h">'II. Equipment &amp; Cost Data'!$L$209:$L$248</definedName>
    <definedName name="IN_Entropy_MJ_h_K" localSheetId="4">'II. Equipment &amp; Cost Data'!$M$209:$M$248</definedName>
    <definedName name="IN_Entropy_MJ_h_K">'II. Equipment &amp; Cost Data'!$M$209:$M$248</definedName>
    <definedName name="IN_flow_rates__kg_h" localSheetId="4">'II. Equipment &amp; Cost Data'!$H$209:$H$248</definedName>
    <definedName name="IN_flow_rates__kg_h">'II. Equipment &amp; Cost Data'!$H$209:$H$248</definedName>
    <definedName name="IN_Molar_flow__kmol_h" localSheetId="4">'II. Equipment &amp; Cost Data'!$N$209:$N$248</definedName>
    <definedName name="IN_Molar_flow__kmol_h">'II. Equipment &amp; Cost Data'!$N$209:$N$248</definedName>
    <definedName name="IN_renewab" localSheetId="4">'II. Equipment &amp; Cost Data'!$G$209:$G$248</definedName>
    <definedName name="IN_renewab">'II. Equipment &amp; Cost Data'!$G$209:$G$248</definedName>
    <definedName name="IN_stream_number" localSheetId="4">'II. Equipment &amp; Cost Data'!$E$209:$E$248</definedName>
    <definedName name="IN_stream_number">'II. Equipment &amp; Cost Data'!$E$209:$E$248</definedName>
    <definedName name="Low_pressure">'III. Utility Data'!$H$62:$H$71</definedName>
    <definedName name="Mass_flow__kg_h">#REF!</definedName>
    <definedName name="Medium_pressure">'III. Utility Data'!$G$62:$G$71</definedName>
    <definedName name="MW__kg_kmol" localSheetId="4">'I. Stream &amp; Compound Data'!$F$32:$F$81</definedName>
    <definedName name="MW__kg_kmol">'I. Stream &amp; Compound Data'!$F$32:$F$81</definedName>
    <definedName name="OLE_LINK1" localSheetId="3">'Potency Factors '!#REF!</definedName>
    <definedName name="OUT_Current_flow_rate" localSheetId="4">'II. Equipment &amp; Cost Data'!$H$304:$H$343</definedName>
    <definedName name="OUT_Current_flow_rate">'II. Equipment &amp; Cost Data'!$H$304:$H$343</definedName>
    <definedName name="OUT_Enthalpy__MJ_h" localSheetId="4">'II. Equipment &amp; Cost Data'!$O$304:$O$343</definedName>
    <definedName name="OUT_Enthalpy__MJ_h">'II. Equipment &amp; Cost Data'!$O$304:$O$343</definedName>
    <definedName name="OUT_Entropy__MJ_K_h" localSheetId="4">'II. Equipment &amp; Cost Data'!$P$304:$P$343</definedName>
    <definedName name="OUT_Entropy__MJ_K_h">'II. Equipment &amp; Cost Data'!$P$304:$P$343</definedName>
    <definedName name="OUT_Hazardous_1__nonhazardous_0" localSheetId="4">'II. Equipment &amp; Cost Data'!$L$304:$L$343</definedName>
    <definedName name="OUT_Hazardous_1__nonhazardous_0">'II. Equipment &amp; Cost Data'!$L$304:$L$343</definedName>
    <definedName name="OUT_Molar_flow_kmol_h" localSheetId="4">'II. Equipment &amp; Cost Data'!$Q$304:$Q$343</definedName>
    <definedName name="OUT_Molar_flow_kmol_h">'II. Equipment &amp; Cost Data'!$Q$304:$Q$343</definedName>
    <definedName name="OUT_Non_polluted_1__polluted_0" localSheetId="4">'II. Equipment &amp; Cost Data'!$K$304:$K$343</definedName>
    <definedName name="OUT_Non_polluted_1__polluted_0">'II. Equipment &amp; Cost Data'!$K$304:$K$343</definedName>
    <definedName name="OUT_Pressure__kPa" localSheetId="4">'II. Equipment &amp; Cost Data'!$N$304:$N$343</definedName>
    <definedName name="OUT_Pressure__kPa">'II. Equipment &amp; Cost Data'!$N$304:$N$343</definedName>
    <definedName name="OUT_Product_1__waste_0" localSheetId="4">'II. Equipment &amp; Cost Data'!$F$304:$F$343</definedName>
    <definedName name="OUT_Product_1__waste_0">'II. Equipment &amp; Cost Data'!$F$304:$F$343</definedName>
    <definedName name="OUT_renewability" localSheetId="4">'II. Equipment &amp; Cost Data'!$G$304:$G$343</definedName>
    <definedName name="OUT_renewability">'II. Equipment &amp; Cost Data'!$G$304:$G$343</definedName>
    <definedName name="OUT_stream_Num" localSheetId="4">'II. Equipment &amp; Cost Data'!$E$304:$E$343</definedName>
    <definedName name="OUT_stream_Num">'II. Equipment &amp; Cost Data'!$E$304:$E$343</definedName>
    <definedName name="OUT_Temperature__°C" localSheetId="4">'II. Equipment &amp; Cost Data'!$M$304:$M$343</definedName>
    <definedName name="OUT_Temperature__°C">'II. Equipment &amp; Cost Data'!$M$304:$M$343</definedName>
    <definedName name="OUT_Vapor_fraction" localSheetId="4">'II. Equipment &amp; Cost Data'!$J$304:$J$343</definedName>
    <definedName name="OUT_Vapor_fraction">'II. Equipment &amp; Cost Data'!$J$304:$J$343</definedName>
    <definedName name="OUT_Volumetric_flow__m_3_h" localSheetId="4">'II. Equipment &amp; Cost Data'!$I$304:$I$343</definedName>
    <definedName name="OUT_Volumetric_flow__m_3_h">'II. Equipment &amp; Cost Data'!$I$304:$I$343</definedName>
    <definedName name="S°_MJ_kg_K_1atm_25°C" localSheetId="4">'I. Stream &amp; Compound Data'!$BN$262:$BN$311</definedName>
    <definedName name="S°_MJ_kg_K_1atm_25°C">'I. Stream &amp; Compound Data'!$BN$262:$BN$311</definedName>
    <definedName name="Tb__°C" localSheetId="4">'I. Stream &amp; Compound Data'!$AY$262:$AY$311</definedName>
    <definedName name="Tb__°C">'I. Stream &amp; Compound Data'!$AY$262:$AY$311</definedName>
  </definedNames>
  <calcPr calcId="152511"/>
</workbook>
</file>

<file path=xl/calcChain.xml><?xml version="1.0" encoding="utf-8"?>
<calcChain xmlns="http://schemas.openxmlformats.org/spreadsheetml/2006/main">
  <c r="H6" i="17" l="1"/>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 i="17"/>
  <c r="J18" i="14" l="1"/>
  <c r="K54" i="17" l="1"/>
  <c r="J54" i="17"/>
  <c r="K53" i="17"/>
  <c r="J53" i="17"/>
  <c r="K52" i="17"/>
  <c r="J52" i="17"/>
  <c r="K51" i="17"/>
  <c r="J51" i="17"/>
  <c r="K50" i="17"/>
  <c r="J50" i="17"/>
  <c r="K49" i="17"/>
  <c r="J49" i="17"/>
  <c r="K48" i="17"/>
  <c r="J48" i="17"/>
  <c r="K47" i="17"/>
  <c r="J47" i="17"/>
  <c r="K46" i="17"/>
  <c r="J46" i="17"/>
  <c r="K45" i="17"/>
  <c r="J45" i="17"/>
  <c r="K44" i="17"/>
  <c r="J44" i="17"/>
  <c r="K43" i="17"/>
  <c r="J43" i="17"/>
  <c r="K42" i="17"/>
  <c r="J42" i="17"/>
  <c r="K41" i="17"/>
  <c r="J41" i="17"/>
  <c r="K40" i="17"/>
  <c r="J40" i="17"/>
  <c r="K39" i="17"/>
  <c r="J39" i="17"/>
  <c r="K38" i="17"/>
  <c r="J38" i="17"/>
  <c r="K37" i="17"/>
  <c r="J37" i="17"/>
  <c r="K36" i="17"/>
  <c r="J36" i="17"/>
  <c r="K35" i="17"/>
  <c r="J35" i="17"/>
  <c r="K34" i="17"/>
  <c r="J34" i="17"/>
  <c r="K33" i="17"/>
  <c r="J33" i="17"/>
  <c r="K32" i="17"/>
  <c r="J32" i="17"/>
  <c r="K31" i="17"/>
  <c r="J31" i="17"/>
  <c r="K30" i="17"/>
  <c r="J30" i="17"/>
  <c r="K29" i="17"/>
  <c r="J29" i="17"/>
  <c r="K28" i="17"/>
  <c r="J28" i="17"/>
  <c r="K27" i="17"/>
  <c r="J27" i="17"/>
  <c r="K26" i="17"/>
  <c r="J26" i="17"/>
  <c r="K25" i="17"/>
  <c r="J25" i="17"/>
  <c r="K24" i="17"/>
  <c r="J24" i="17"/>
  <c r="K23" i="17"/>
  <c r="J23" i="17"/>
  <c r="K22" i="17"/>
  <c r="J22" i="17"/>
  <c r="K21" i="17"/>
  <c r="J21" i="17"/>
  <c r="K20" i="17"/>
  <c r="J20" i="17"/>
  <c r="K19" i="17"/>
  <c r="J19" i="17"/>
  <c r="K18" i="17"/>
  <c r="J18" i="17"/>
  <c r="K17" i="17"/>
  <c r="J17" i="17"/>
  <c r="K16" i="17"/>
  <c r="J16" i="17"/>
  <c r="K15" i="17"/>
  <c r="J15" i="17"/>
  <c r="K14" i="17"/>
  <c r="J14" i="17"/>
  <c r="K13" i="17"/>
  <c r="J13" i="17"/>
  <c r="K12" i="17"/>
  <c r="J12" i="17"/>
  <c r="K11" i="17"/>
  <c r="J11" i="17"/>
  <c r="K10" i="17"/>
  <c r="J10" i="17"/>
  <c r="K9" i="17"/>
  <c r="J9" i="17"/>
  <c r="K8" i="17"/>
  <c r="J8" i="17"/>
  <c r="K7" i="17"/>
  <c r="J7" i="17"/>
  <c r="K6" i="17"/>
  <c r="J6" i="17"/>
  <c r="K5" i="17"/>
  <c r="J5"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J180" i="17"/>
  <c r="J179" i="17"/>
  <c r="J178" i="17"/>
  <c r="J177" i="17"/>
  <c r="J176" i="17"/>
  <c r="J175" i="17"/>
  <c r="J174" i="17"/>
  <c r="J173" i="17"/>
  <c r="J172" i="17"/>
  <c r="J171" i="17"/>
  <c r="J170" i="17"/>
  <c r="J169" i="17"/>
  <c r="J168" i="17"/>
  <c r="J167" i="17"/>
  <c r="J166" i="17"/>
  <c r="J165" i="17"/>
  <c r="J164" i="17"/>
  <c r="J163" i="17"/>
  <c r="J162" i="17"/>
  <c r="J161" i="17"/>
  <c r="J160" i="17"/>
  <c r="J159" i="17"/>
  <c r="J158" i="17"/>
  <c r="J157" i="17"/>
  <c r="J156" i="17"/>
  <c r="J155" i="17"/>
  <c r="J154" i="17"/>
  <c r="J153" i="17"/>
  <c r="J152" i="17"/>
  <c r="J151" i="17"/>
  <c r="J150" i="17"/>
  <c r="J149" i="17"/>
  <c r="J148" i="17"/>
  <c r="J147" i="17"/>
  <c r="J146" i="17"/>
  <c r="J145" i="17"/>
  <c r="J144" i="17"/>
  <c r="J143" i="17"/>
  <c r="J142" i="17"/>
  <c r="J141" i="17"/>
  <c r="J140" i="17"/>
  <c r="J139" i="17"/>
  <c r="J138" i="17"/>
  <c r="J137" i="17"/>
  <c r="J136" i="17"/>
  <c r="J135" i="17"/>
  <c r="J134" i="17"/>
  <c r="J133" i="17"/>
  <c r="J132" i="17"/>
  <c r="J131" i="17"/>
  <c r="M121" i="17"/>
  <c r="N121" i="17" s="1"/>
  <c r="O121" i="17" s="1"/>
  <c r="P121" i="17" s="1"/>
  <c r="Q121" i="17" s="1"/>
  <c r="R121" i="17" s="1"/>
  <c r="S121" i="17" s="1"/>
  <c r="T121" i="17" s="1"/>
  <c r="U121" i="17" s="1"/>
  <c r="V121" i="17" s="1"/>
  <c r="W121" i="17" s="1"/>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I44" i="14" l="1"/>
  <c r="J25" i="14" l="1"/>
  <c r="K25" i="14" s="1"/>
  <c r="J14" i="14"/>
  <c r="L25" i="14" l="1"/>
  <c r="M25" i="14" s="1"/>
  <c r="E352" i="7"/>
  <c r="E354" i="7" s="1"/>
  <c r="E353" i="7"/>
  <c r="Q262" i="8"/>
  <c r="E133" i="7" l="1"/>
  <c r="G262" i="8" l="1"/>
  <c r="I5" i="17" l="1"/>
  <c r="I63" i="17"/>
  <c r="I131" i="17"/>
  <c r="K131" i="17"/>
  <c r="K192" i="17"/>
  <c r="E358" i="7"/>
  <c r="F358" i="7" s="1"/>
  <c r="G343" i="7"/>
  <c r="G342" i="7"/>
  <c r="G341" i="7"/>
  <c r="G340" i="7"/>
  <c r="G339" i="7"/>
  <c r="G338" i="7"/>
  <c r="G337" i="7"/>
  <c r="G336" i="7"/>
  <c r="G335" i="7"/>
  <c r="G334" i="7"/>
  <c r="G333" i="7"/>
  <c r="G332" i="7"/>
  <c r="G331" i="7"/>
  <c r="G330" i="7"/>
  <c r="G329" i="7"/>
  <c r="G328" i="7"/>
  <c r="G327" i="7"/>
  <c r="G326" i="7"/>
  <c r="G325" i="7"/>
  <c r="G324" i="7"/>
  <c r="G323" i="7"/>
  <c r="G322" i="7"/>
  <c r="G321" i="7"/>
  <c r="G320" i="7"/>
  <c r="G319" i="7"/>
  <c r="G318" i="7"/>
  <c r="G317" i="7"/>
  <c r="G316" i="7"/>
  <c r="G315" i="7"/>
  <c r="G314" i="7"/>
  <c r="G313" i="7"/>
  <c r="G312" i="7"/>
  <c r="G311" i="7"/>
  <c r="G310" i="7"/>
  <c r="G309" i="7"/>
  <c r="G308" i="7"/>
  <c r="G307" i="7"/>
  <c r="G306" i="7"/>
  <c r="G305" i="7"/>
  <c r="G304" i="7"/>
  <c r="E343" i="7"/>
  <c r="Q343" i="7" s="1"/>
  <c r="E342" i="7"/>
  <c r="Q342" i="7" s="1"/>
  <c r="E341" i="7"/>
  <c r="Q341" i="7" s="1"/>
  <c r="E340" i="7"/>
  <c r="Q340" i="7" s="1"/>
  <c r="E339" i="7"/>
  <c r="Q339" i="7" s="1"/>
  <c r="E338" i="7"/>
  <c r="Q338" i="7" s="1"/>
  <c r="E337" i="7"/>
  <c r="Q337" i="7" s="1"/>
  <c r="E336" i="7"/>
  <c r="Q336" i="7" s="1"/>
  <c r="E335" i="7"/>
  <c r="Q335" i="7" s="1"/>
  <c r="E334" i="7"/>
  <c r="Q334" i="7" s="1"/>
  <c r="E333" i="7"/>
  <c r="Q333" i="7" s="1"/>
  <c r="E332" i="7"/>
  <c r="Q332" i="7" s="1"/>
  <c r="E331" i="7"/>
  <c r="Q331" i="7" s="1"/>
  <c r="E330" i="7"/>
  <c r="Q330" i="7" s="1"/>
  <c r="E329" i="7"/>
  <c r="Q329" i="7" s="1"/>
  <c r="E328" i="7"/>
  <c r="Q328" i="7" s="1"/>
  <c r="E327" i="7"/>
  <c r="Q327" i="7" s="1"/>
  <c r="E326" i="7"/>
  <c r="Q326" i="7" s="1"/>
  <c r="E325" i="7"/>
  <c r="Q325" i="7" s="1"/>
  <c r="E324" i="7"/>
  <c r="Q324" i="7" s="1"/>
  <c r="E323" i="7"/>
  <c r="Q323" i="7" s="1"/>
  <c r="E322" i="7"/>
  <c r="Q322" i="7" s="1"/>
  <c r="E321" i="7"/>
  <c r="Q321" i="7" s="1"/>
  <c r="E320" i="7"/>
  <c r="Q320" i="7" s="1"/>
  <c r="E319" i="7"/>
  <c r="Q319" i="7" s="1"/>
  <c r="E318" i="7"/>
  <c r="Q318" i="7" s="1"/>
  <c r="E317" i="7"/>
  <c r="Q317" i="7" s="1"/>
  <c r="E316" i="7"/>
  <c r="Q316" i="7" s="1"/>
  <c r="E315" i="7"/>
  <c r="Q315" i="7" s="1"/>
  <c r="E314" i="7"/>
  <c r="Q314" i="7" s="1"/>
  <c r="E313" i="7"/>
  <c r="Q313" i="7" s="1"/>
  <c r="E312" i="7"/>
  <c r="Q312" i="7" s="1"/>
  <c r="E310" i="7"/>
  <c r="E309" i="7"/>
  <c r="E308" i="7"/>
  <c r="E307" i="7"/>
  <c r="E306" i="7"/>
  <c r="E305" i="7"/>
  <c r="E304" i="7"/>
  <c r="E311" i="7"/>
  <c r="D305" i="7"/>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L124" i="17" l="1" a="1"/>
  <c r="L122" i="17" a="1"/>
  <c r="P311" i="7"/>
  <c r="O311" i="7"/>
  <c r="P305" i="7"/>
  <c r="O305" i="7"/>
  <c r="P307" i="7"/>
  <c r="O307" i="7"/>
  <c r="P309" i="7"/>
  <c r="O309" i="7"/>
  <c r="P312" i="7"/>
  <c r="O312" i="7"/>
  <c r="P314" i="7"/>
  <c r="O314" i="7"/>
  <c r="P316" i="7"/>
  <c r="O316" i="7"/>
  <c r="P318" i="7"/>
  <c r="O318" i="7"/>
  <c r="P320" i="7"/>
  <c r="O320" i="7"/>
  <c r="P322" i="7"/>
  <c r="O322" i="7"/>
  <c r="P324" i="7"/>
  <c r="O324" i="7"/>
  <c r="P326" i="7"/>
  <c r="O326" i="7"/>
  <c r="P328" i="7"/>
  <c r="O328" i="7"/>
  <c r="P330" i="7"/>
  <c r="O330" i="7"/>
  <c r="P332" i="7"/>
  <c r="O332" i="7"/>
  <c r="P334" i="7"/>
  <c r="O334" i="7"/>
  <c r="O336" i="7"/>
  <c r="P336" i="7"/>
  <c r="O338" i="7"/>
  <c r="P338" i="7"/>
  <c r="O340" i="7"/>
  <c r="P340" i="7"/>
  <c r="O342" i="7"/>
  <c r="P342" i="7"/>
  <c r="P304" i="7"/>
  <c r="O304" i="7"/>
  <c r="P306" i="7"/>
  <c r="O306" i="7"/>
  <c r="P308" i="7"/>
  <c r="O308" i="7"/>
  <c r="P310" i="7"/>
  <c r="O310" i="7"/>
  <c r="P313" i="7"/>
  <c r="O313" i="7"/>
  <c r="P315" i="7"/>
  <c r="O315" i="7"/>
  <c r="P317" i="7"/>
  <c r="O317" i="7"/>
  <c r="P319" i="7"/>
  <c r="O319" i="7"/>
  <c r="P321" i="7"/>
  <c r="O321" i="7"/>
  <c r="P323" i="7"/>
  <c r="O323" i="7"/>
  <c r="P325" i="7"/>
  <c r="O325" i="7"/>
  <c r="P327" i="7"/>
  <c r="O327" i="7"/>
  <c r="P329" i="7"/>
  <c r="O329" i="7"/>
  <c r="P331" i="7"/>
  <c r="O331" i="7"/>
  <c r="P333" i="7"/>
  <c r="O333" i="7"/>
  <c r="P335" i="7"/>
  <c r="O335" i="7"/>
  <c r="P337" i="7"/>
  <c r="O337" i="7"/>
  <c r="P339" i="7"/>
  <c r="O339" i="7"/>
  <c r="P341" i="7"/>
  <c r="O341" i="7"/>
  <c r="P343" i="7"/>
  <c r="O343" i="7"/>
  <c r="N311" i="7"/>
  <c r="M311" i="7"/>
  <c r="N305" i="7"/>
  <c r="M305" i="7"/>
  <c r="N307" i="7"/>
  <c r="M307" i="7"/>
  <c r="N309" i="7"/>
  <c r="M309" i="7"/>
  <c r="N312" i="7"/>
  <c r="M312" i="7"/>
  <c r="N314" i="7"/>
  <c r="M314" i="7"/>
  <c r="N316" i="7"/>
  <c r="M316" i="7"/>
  <c r="N318" i="7"/>
  <c r="M318" i="7"/>
  <c r="N320" i="7"/>
  <c r="M320" i="7"/>
  <c r="N322" i="7"/>
  <c r="M322" i="7"/>
  <c r="N324" i="7"/>
  <c r="M324" i="7"/>
  <c r="N326" i="7"/>
  <c r="M326" i="7"/>
  <c r="N328" i="7"/>
  <c r="M328" i="7"/>
  <c r="N330" i="7"/>
  <c r="M330" i="7"/>
  <c r="N332" i="7"/>
  <c r="M332" i="7"/>
  <c r="N334" i="7"/>
  <c r="M334" i="7"/>
  <c r="N336" i="7"/>
  <c r="M336" i="7"/>
  <c r="N338" i="7"/>
  <c r="M338" i="7"/>
  <c r="N340" i="7"/>
  <c r="M340" i="7"/>
  <c r="N342" i="7"/>
  <c r="M342" i="7"/>
  <c r="N304" i="7"/>
  <c r="M304" i="7"/>
  <c r="N306" i="7"/>
  <c r="M306" i="7"/>
  <c r="N308" i="7"/>
  <c r="M308" i="7"/>
  <c r="N310" i="7"/>
  <c r="M310" i="7"/>
  <c r="N313" i="7"/>
  <c r="M313" i="7"/>
  <c r="N315" i="7"/>
  <c r="M315" i="7"/>
  <c r="N317" i="7"/>
  <c r="M317" i="7"/>
  <c r="N319" i="7"/>
  <c r="M319" i="7"/>
  <c r="N321" i="7"/>
  <c r="M321" i="7"/>
  <c r="N323" i="7"/>
  <c r="M323" i="7"/>
  <c r="N325" i="7"/>
  <c r="M325" i="7"/>
  <c r="N327" i="7"/>
  <c r="M327" i="7"/>
  <c r="N329" i="7"/>
  <c r="M329" i="7"/>
  <c r="N331" i="7"/>
  <c r="M331" i="7"/>
  <c r="N333" i="7"/>
  <c r="M333" i="7"/>
  <c r="N335" i="7"/>
  <c r="M335" i="7"/>
  <c r="N337" i="7"/>
  <c r="M337" i="7"/>
  <c r="N339" i="7"/>
  <c r="M339" i="7"/>
  <c r="N341" i="7"/>
  <c r="M341" i="7"/>
  <c r="N343" i="7"/>
  <c r="M343" i="7"/>
  <c r="I306" i="7"/>
  <c r="F306" i="7"/>
  <c r="J306" i="7"/>
  <c r="I310" i="7"/>
  <c r="J310" i="7"/>
  <c r="F310" i="7"/>
  <c r="F319" i="7"/>
  <c r="I319" i="7"/>
  <c r="H319" i="7"/>
  <c r="J319" i="7"/>
  <c r="I327" i="7"/>
  <c r="H327" i="7"/>
  <c r="J327" i="7"/>
  <c r="F327" i="7"/>
  <c r="I335" i="7"/>
  <c r="H335" i="7"/>
  <c r="J335" i="7"/>
  <c r="F335" i="7"/>
  <c r="F343" i="7"/>
  <c r="I343" i="7"/>
  <c r="H343" i="7"/>
  <c r="J343" i="7"/>
  <c r="J305" i="7"/>
  <c r="F305" i="7"/>
  <c r="I305" i="7"/>
  <c r="J309" i="7"/>
  <c r="F309" i="7"/>
  <c r="I309" i="7"/>
  <c r="I314" i="7"/>
  <c r="H314" i="7"/>
  <c r="F314" i="7"/>
  <c r="J314" i="7"/>
  <c r="I318" i="7"/>
  <c r="H318" i="7"/>
  <c r="J318" i="7"/>
  <c r="F318" i="7"/>
  <c r="I322" i="7"/>
  <c r="H322" i="7"/>
  <c r="F322" i="7"/>
  <c r="J322" i="7"/>
  <c r="I326" i="7"/>
  <c r="H326" i="7"/>
  <c r="F326" i="7"/>
  <c r="J326" i="7"/>
  <c r="I330" i="7"/>
  <c r="H330" i="7"/>
  <c r="J330" i="7"/>
  <c r="F330" i="7"/>
  <c r="I334" i="7"/>
  <c r="H334" i="7"/>
  <c r="F334" i="7"/>
  <c r="J334" i="7"/>
  <c r="I338" i="7"/>
  <c r="H338" i="7"/>
  <c r="J338" i="7"/>
  <c r="F338" i="7"/>
  <c r="I342" i="7"/>
  <c r="H342" i="7"/>
  <c r="F342" i="7"/>
  <c r="J342" i="7"/>
  <c r="J311" i="7"/>
  <c r="F311" i="7"/>
  <c r="I311" i="7"/>
  <c r="I307" i="7"/>
  <c r="J307" i="7"/>
  <c r="F307" i="7"/>
  <c r="F312" i="7"/>
  <c r="I312" i="7"/>
  <c r="H312" i="7"/>
  <c r="J312" i="7"/>
  <c r="F316" i="7"/>
  <c r="I316" i="7"/>
  <c r="H316" i="7"/>
  <c r="J316" i="7"/>
  <c r="F320" i="7"/>
  <c r="I320" i="7"/>
  <c r="H320" i="7"/>
  <c r="J320" i="7"/>
  <c r="F324" i="7"/>
  <c r="I324" i="7"/>
  <c r="H324" i="7"/>
  <c r="J324" i="7"/>
  <c r="F328" i="7"/>
  <c r="I328" i="7"/>
  <c r="H328" i="7"/>
  <c r="J328" i="7"/>
  <c r="F332" i="7"/>
  <c r="I332" i="7"/>
  <c r="H332" i="7"/>
  <c r="J332" i="7"/>
  <c r="F336" i="7"/>
  <c r="I336" i="7"/>
  <c r="H336" i="7"/>
  <c r="J336" i="7"/>
  <c r="F340" i="7"/>
  <c r="I340" i="7"/>
  <c r="H340" i="7"/>
  <c r="J340" i="7"/>
  <c r="J315" i="7"/>
  <c r="I315" i="7"/>
  <c r="H315" i="7"/>
  <c r="F315" i="7"/>
  <c r="J323" i="7"/>
  <c r="F323" i="7"/>
  <c r="I323" i="7"/>
  <c r="H323" i="7"/>
  <c r="J331" i="7"/>
  <c r="F331" i="7"/>
  <c r="I331" i="7"/>
  <c r="H331" i="7"/>
  <c r="J339" i="7"/>
  <c r="I339" i="7"/>
  <c r="H339" i="7"/>
  <c r="F339" i="7"/>
  <c r="F304" i="7"/>
  <c r="I304" i="7"/>
  <c r="J304" i="7"/>
  <c r="F308" i="7"/>
  <c r="I308" i="7"/>
  <c r="J308" i="7"/>
  <c r="J313" i="7"/>
  <c r="F313" i="7"/>
  <c r="I313" i="7"/>
  <c r="H313" i="7"/>
  <c r="J317" i="7"/>
  <c r="F317" i="7"/>
  <c r="I317" i="7"/>
  <c r="H317" i="7"/>
  <c r="J321" i="7"/>
  <c r="F321" i="7"/>
  <c r="I321" i="7"/>
  <c r="H321" i="7"/>
  <c r="J325" i="7"/>
  <c r="F325" i="7"/>
  <c r="I325" i="7"/>
  <c r="H325" i="7"/>
  <c r="J329" i="7"/>
  <c r="H329" i="7"/>
  <c r="F329" i="7"/>
  <c r="I329" i="7"/>
  <c r="J333" i="7"/>
  <c r="F333" i="7"/>
  <c r="I333" i="7"/>
  <c r="H333" i="7"/>
  <c r="J337" i="7"/>
  <c r="F337" i="7"/>
  <c r="I337" i="7"/>
  <c r="H337" i="7"/>
  <c r="J341" i="7"/>
  <c r="F341" i="7"/>
  <c r="I341" i="7"/>
  <c r="H341" i="7"/>
  <c r="F136" i="7"/>
  <c r="E135" i="7"/>
  <c r="E134" i="7"/>
  <c r="J15" i="14"/>
  <c r="J13" i="14"/>
  <c r="J12" i="14"/>
  <c r="L127" i="17" l="1" a="1"/>
  <c r="L126" i="17" a="1"/>
  <c r="L122" i="17"/>
  <c r="AB122" i="17"/>
  <c r="AR122" i="17"/>
  <c r="Z122" i="17"/>
  <c r="AU122" i="17"/>
  <c r="AG122" i="17"/>
  <c r="M122" i="17"/>
  <c r="N122" i="17"/>
  <c r="AC122" i="17"/>
  <c r="AO122" i="17"/>
  <c r="P122" i="17"/>
  <c r="AF122" i="17"/>
  <c r="AV122" i="17"/>
  <c r="AE122" i="17"/>
  <c r="Q122" i="17"/>
  <c r="AL122" i="17"/>
  <c r="W122" i="17"/>
  <c r="Y122" i="17"/>
  <c r="AX122" i="17"/>
  <c r="AY122" i="17"/>
  <c r="T122" i="17"/>
  <c r="AJ122" i="17"/>
  <c r="O122" i="17"/>
  <c r="AK122" i="17"/>
  <c r="V122" i="17"/>
  <c r="AQ122" i="17"/>
  <c r="AH122" i="17"/>
  <c r="AI122" i="17"/>
  <c r="AD122" i="17"/>
  <c r="R122" i="17"/>
  <c r="X122" i="17"/>
  <c r="AN122" i="17"/>
  <c r="U122" i="17"/>
  <c r="AP122" i="17"/>
  <c r="AA122" i="17"/>
  <c r="AW122" i="17"/>
  <c r="AS122" i="17"/>
  <c r="AT122" i="17"/>
  <c r="AM122" i="17"/>
  <c r="S122" i="17"/>
  <c r="L123" i="17" a="1"/>
  <c r="Q124" i="17"/>
  <c r="AG124" i="17"/>
  <c r="AW124" i="17"/>
  <c r="Z124" i="17"/>
  <c r="AP124" i="17"/>
  <c r="W124" i="17"/>
  <c r="P124" i="17"/>
  <c r="AV124" i="17"/>
  <c r="AY124" i="17"/>
  <c r="T124" i="17"/>
  <c r="U124" i="17"/>
  <c r="AK124" i="17"/>
  <c r="N124" i="17"/>
  <c r="AD124" i="17"/>
  <c r="AT124" i="17"/>
  <c r="AE124" i="17"/>
  <c r="X124" i="17"/>
  <c r="AA124" i="17"/>
  <c r="L124" i="17"/>
  <c r="AJ124" i="17"/>
  <c r="Y124" i="17"/>
  <c r="AO124" i="17"/>
  <c r="R124" i="17"/>
  <c r="AH124" i="17"/>
  <c r="AX124" i="17"/>
  <c r="AM124" i="17"/>
  <c r="AF124" i="17"/>
  <c r="AQ124" i="17"/>
  <c r="AI124" i="17"/>
  <c r="AR124" i="17"/>
  <c r="M124" i="17"/>
  <c r="AC124" i="17"/>
  <c r="AS124" i="17"/>
  <c r="V124" i="17"/>
  <c r="AL124" i="17"/>
  <c r="O124" i="17"/>
  <c r="AU124" i="17"/>
  <c r="AN124" i="17"/>
  <c r="AB124" i="17"/>
  <c r="S124" i="17"/>
  <c r="L304" i="7"/>
  <c r="K323" i="7"/>
  <c r="L323" i="7"/>
  <c r="K338" i="7"/>
  <c r="L338" i="7"/>
  <c r="K329" i="7"/>
  <c r="L329" i="7"/>
  <c r="K340" i="7"/>
  <c r="L340" i="7"/>
  <c r="K336" i="7"/>
  <c r="L336" i="7"/>
  <c r="K332" i="7"/>
  <c r="L332" i="7"/>
  <c r="K328" i="7"/>
  <c r="L328" i="7"/>
  <c r="K324" i="7"/>
  <c r="L324" i="7"/>
  <c r="K320" i="7"/>
  <c r="L320" i="7"/>
  <c r="K316" i="7"/>
  <c r="L316" i="7"/>
  <c r="K312" i="7"/>
  <c r="L312" i="7"/>
  <c r="K342" i="7"/>
  <c r="L342" i="7"/>
  <c r="K334" i="7"/>
  <c r="L334" i="7"/>
  <c r="K326" i="7"/>
  <c r="L326" i="7"/>
  <c r="K322" i="7"/>
  <c r="L322" i="7"/>
  <c r="K314" i="7"/>
  <c r="L314" i="7"/>
  <c r="K309" i="7"/>
  <c r="K343" i="7"/>
  <c r="L343" i="7"/>
  <c r="K319" i="7"/>
  <c r="L319" i="7"/>
  <c r="K331" i="7"/>
  <c r="L331" i="7"/>
  <c r="K341" i="7"/>
  <c r="L341" i="7"/>
  <c r="K337" i="7"/>
  <c r="L337" i="7"/>
  <c r="K333" i="7"/>
  <c r="L333" i="7"/>
  <c r="K325" i="7"/>
  <c r="L325" i="7"/>
  <c r="K321" i="7"/>
  <c r="L321" i="7"/>
  <c r="K317" i="7"/>
  <c r="L317" i="7"/>
  <c r="K313" i="7"/>
  <c r="L313" i="7"/>
  <c r="K308" i="7"/>
  <c r="K339" i="7"/>
  <c r="L339" i="7"/>
  <c r="K315" i="7"/>
  <c r="L315" i="7"/>
  <c r="K307" i="7"/>
  <c r="K311" i="7"/>
  <c r="K335" i="7"/>
  <c r="L335" i="7"/>
  <c r="K327" i="7"/>
  <c r="L327" i="7"/>
  <c r="K310" i="7"/>
  <c r="K306" i="7"/>
  <c r="K330" i="7"/>
  <c r="L330" i="7"/>
  <c r="K318" i="7"/>
  <c r="L318" i="7"/>
  <c r="K305" i="7"/>
  <c r="L305" i="7"/>
  <c r="K304" i="7"/>
  <c r="K14" i="14"/>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G248" i="7"/>
  <c r="G247" i="7"/>
  <c r="G246" i="7"/>
  <c r="G245" i="7"/>
  <c r="G244" i="7"/>
  <c r="G243" i="7"/>
  <c r="G242" i="7"/>
  <c r="G241" i="7"/>
  <c r="G240" i="7"/>
  <c r="G239" i="7"/>
  <c r="G238" i="7"/>
  <c r="G237" i="7"/>
  <c r="G236" i="7"/>
  <c r="G235" i="7"/>
  <c r="G234" i="7"/>
  <c r="G233" i="7"/>
  <c r="G232" i="7"/>
  <c r="G231" i="7"/>
  <c r="G230" i="7"/>
  <c r="G229" i="7"/>
  <c r="G228" i="7"/>
  <c r="G227" i="7"/>
  <c r="G226" i="7"/>
  <c r="G225" i="7"/>
  <c r="G224" i="7"/>
  <c r="G223" i="7"/>
  <c r="G222" i="7"/>
  <c r="G221" i="7"/>
  <c r="G220" i="7"/>
  <c r="G219" i="7"/>
  <c r="F222"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1" i="7"/>
  <c r="F220" i="7"/>
  <c r="F219" i="7"/>
  <c r="E248" i="7"/>
  <c r="N248" i="7" s="1"/>
  <c r="E247" i="7"/>
  <c r="N247" i="7" s="1"/>
  <c r="E246" i="7"/>
  <c r="N246" i="7" s="1"/>
  <c r="E245" i="7"/>
  <c r="N245" i="7" s="1"/>
  <c r="E244" i="7"/>
  <c r="N244" i="7" s="1"/>
  <c r="E243" i="7"/>
  <c r="N243" i="7" s="1"/>
  <c r="E242" i="7"/>
  <c r="N242" i="7" s="1"/>
  <c r="E241" i="7"/>
  <c r="N241" i="7" s="1"/>
  <c r="E240" i="7"/>
  <c r="N240" i="7" s="1"/>
  <c r="E239" i="7"/>
  <c r="N239" i="7" s="1"/>
  <c r="E238" i="7"/>
  <c r="N238" i="7" s="1"/>
  <c r="E237" i="7"/>
  <c r="N237" i="7" s="1"/>
  <c r="E236" i="7"/>
  <c r="N236" i="7" s="1"/>
  <c r="E235" i="7"/>
  <c r="N235" i="7" s="1"/>
  <c r="E234" i="7"/>
  <c r="N234" i="7" s="1"/>
  <c r="E233" i="7"/>
  <c r="N233" i="7" s="1"/>
  <c r="E232" i="7"/>
  <c r="N232" i="7" s="1"/>
  <c r="E231" i="7"/>
  <c r="N231" i="7" s="1"/>
  <c r="E230" i="7"/>
  <c r="N230" i="7" s="1"/>
  <c r="E229" i="7"/>
  <c r="N229" i="7" s="1"/>
  <c r="E228" i="7"/>
  <c r="N228" i="7" s="1"/>
  <c r="E227" i="7"/>
  <c r="N227" i="7" s="1"/>
  <c r="E226" i="7"/>
  <c r="N226" i="7" s="1"/>
  <c r="E225" i="7"/>
  <c r="N225" i="7" s="1"/>
  <c r="E224" i="7"/>
  <c r="N224" i="7" s="1"/>
  <c r="E223" i="7"/>
  <c r="N223" i="7" s="1"/>
  <c r="E222" i="7"/>
  <c r="N222" i="7" s="1"/>
  <c r="E221" i="7"/>
  <c r="N221" i="7" s="1"/>
  <c r="E220" i="7"/>
  <c r="N220" i="7" s="1"/>
  <c r="E219" i="7"/>
  <c r="N219" i="7" s="1"/>
  <c r="E218" i="7"/>
  <c r="N218" i="7" s="1"/>
  <c r="Q263" i="8"/>
  <c r="L262" i="8"/>
  <c r="D256" i="7"/>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10" i="7"/>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L128" i="17" l="1" a="1"/>
  <c r="AO128" i="17" s="1"/>
  <c r="S123" i="17"/>
  <c r="AI123" i="17"/>
  <c r="AY123" i="17"/>
  <c r="AB123" i="17"/>
  <c r="AW123" i="17"/>
  <c r="AC123" i="17"/>
  <c r="AX123" i="17"/>
  <c r="AT123" i="17"/>
  <c r="AV123" i="17"/>
  <c r="U123" i="17"/>
  <c r="W123" i="17"/>
  <c r="AM123" i="17"/>
  <c r="L123" i="17"/>
  <c r="AG123" i="17"/>
  <c r="M123" i="17"/>
  <c r="AH123" i="17"/>
  <c r="N123" i="17"/>
  <c r="P123" i="17"/>
  <c r="AD123" i="17"/>
  <c r="AF123" i="17"/>
  <c r="AA123" i="17"/>
  <c r="AQ123" i="17"/>
  <c r="Q123" i="17"/>
  <c r="AL123" i="17"/>
  <c r="R123" i="17"/>
  <c r="AN123" i="17"/>
  <c r="Y123" i="17"/>
  <c r="Z123" i="17"/>
  <c r="T123" i="17"/>
  <c r="AO123" i="17"/>
  <c r="O123" i="17"/>
  <c r="AE123" i="17"/>
  <c r="AU123" i="17"/>
  <c r="V123" i="17"/>
  <c r="AR123" i="17"/>
  <c r="X123" i="17"/>
  <c r="AS123" i="17"/>
  <c r="AJ123" i="17"/>
  <c r="AK123" i="17"/>
  <c r="AP123" i="17"/>
  <c r="AD131" i="17"/>
  <c r="AD192" i="17"/>
  <c r="AD184" i="17"/>
  <c r="AD182" i="17"/>
  <c r="AD183" i="17" s="1"/>
  <c r="AD242" i="17"/>
  <c r="AD181" i="17"/>
  <c r="V131" i="17"/>
  <c r="V192" i="17"/>
  <c r="V182" i="17"/>
  <c r="V183" i="17" s="1"/>
  <c r="V181" i="17"/>
  <c r="V184" i="17"/>
  <c r="V242" i="17"/>
  <c r="W131" i="17"/>
  <c r="W192" i="17"/>
  <c r="W242" i="17"/>
  <c r="W184" i="17"/>
  <c r="W182" i="17"/>
  <c r="W183" i="17" s="1"/>
  <c r="W181" i="17"/>
  <c r="AC131" i="17"/>
  <c r="AC192" i="17"/>
  <c r="AC242" i="17"/>
  <c r="AC181" i="17"/>
  <c r="AC184" i="17"/>
  <c r="AC182" i="17"/>
  <c r="AC183" i="17" s="1"/>
  <c r="AM131" i="17"/>
  <c r="AM192" i="17"/>
  <c r="AM181" i="17"/>
  <c r="AM182" i="17"/>
  <c r="AM183" i="17" s="1"/>
  <c r="AM184" i="17"/>
  <c r="AM242" i="17"/>
  <c r="AA131" i="17"/>
  <c r="AA192" i="17"/>
  <c r="AA242" i="17"/>
  <c r="AA182" i="17"/>
  <c r="AA183" i="17" s="1"/>
  <c r="AA181" i="17"/>
  <c r="AA184" i="17"/>
  <c r="X131" i="17"/>
  <c r="X192" i="17"/>
  <c r="X184" i="17"/>
  <c r="X181" i="17"/>
  <c r="X242" i="17"/>
  <c r="X182" i="17"/>
  <c r="X183" i="17" s="1"/>
  <c r="AH131" i="17"/>
  <c r="AH192" i="17"/>
  <c r="AH182" i="17"/>
  <c r="AH183" i="17" s="1"/>
  <c r="AH181" i="17"/>
  <c r="AH242" i="17"/>
  <c r="AH184" i="17"/>
  <c r="AX131" i="17"/>
  <c r="AX192" i="17"/>
  <c r="AX242" i="17"/>
  <c r="AX181" i="17"/>
  <c r="AX182" i="17"/>
  <c r="AX183" i="17" s="1"/>
  <c r="AX184" i="17"/>
  <c r="M175" i="17"/>
  <c r="P175" i="17" s="1"/>
  <c r="S175" i="17" s="1"/>
  <c r="M171" i="17"/>
  <c r="P171" i="17" s="1"/>
  <c r="S171" i="17" s="1"/>
  <c r="M180" i="17"/>
  <c r="P180" i="17" s="1"/>
  <c r="S180" i="17" s="1"/>
  <c r="M173" i="17"/>
  <c r="P173" i="17" s="1"/>
  <c r="S173" i="17" s="1"/>
  <c r="M159" i="17"/>
  <c r="P159" i="17" s="1"/>
  <c r="S159" i="17" s="1"/>
  <c r="M176" i="17"/>
  <c r="P176" i="17" s="1"/>
  <c r="S176" i="17" s="1"/>
  <c r="M163" i="17"/>
  <c r="P163" i="17" s="1"/>
  <c r="S163" i="17" s="1"/>
  <c r="M167" i="17"/>
  <c r="P167" i="17" s="1"/>
  <c r="S167" i="17" s="1"/>
  <c r="M145" i="17"/>
  <c r="P145" i="17" s="1"/>
  <c r="S145" i="17" s="1"/>
  <c r="M160" i="17"/>
  <c r="P160" i="17" s="1"/>
  <c r="S160" i="17" s="1"/>
  <c r="M151" i="17"/>
  <c r="P151" i="17" s="1"/>
  <c r="S151" i="17" s="1"/>
  <c r="M142" i="17"/>
  <c r="P142" i="17" s="1"/>
  <c r="S142" i="17" s="1"/>
  <c r="M155" i="17"/>
  <c r="P155" i="17" s="1"/>
  <c r="S155" i="17" s="1"/>
  <c r="M147" i="17"/>
  <c r="P147" i="17" s="1"/>
  <c r="S147" i="17" s="1"/>
  <c r="M152" i="17"/>
  <c r="P152" i="17" s="1"/>
  <c r="S152" i="17" s="1"/>
  <c r="M148" i="17"/>
  <c r="P148" i="17" s="1"/>
  <c r="S148" i="17" s="1"/>
  <c r="M154" i="17"/>
  <c r="P154" i="17" s="1"/>
  <c r="S154" i="17" s="1"/>
  <c r="M150" i="17"/>
  <c r="P150" i="17" s="1"/>
  <c r="S150" i="17" s="1"/>
  <c r="M168" i="17"/>
  <c r="P168" i="17" s="1"/>
  <c r="S168" i="17" s="1"/>
  <c r="M169" i="17"/>
  <c r="P169" i="17" s="1"/>
  <c r="S169" i="17" s="1"/>
  <c r="M178" i="17"/>
  <c r="P178" i="17" s="1"/>
  <c r="S178" i="17" s="1"/>
  <c r="M144" i="17"/>
  <c r="P144" i="17" s="1"/>
  <c r="S144" i="17" s="1"/>
  <c r="M156" i="17"/>
  <c r="P156" i="17" s="1"/>
  <c r="S156" i="17" s="1"/>
  <c r="M164" i="17"/>
  <c r="P164" i="17" s="1"/>
  <c r="S164" i="17" s="1"/>
  <c r="M179" i="17"/>
  <c r="P179" i="17" s="1"/>
  <c r="S179" i="17" s="1"/>
  <c r="M157" i="17"/>
  <c r="P157" i="17" s="1"/>
  <c r="S157" i="17" s="1"/>
  <c r="M146" i="17"/>
  <c r="P146" i="17" s="1"/>
  <c r="S146" i="17" s="1"/>
  <c r="M158" i="17"/>
  <c r="P158" i="17" s="1"/>
  <c r="S158" i="17" s="1"/>
  <c r="M166" i="17"/>
  <c r="P166" i="17" s="1"/>
  <c r="S166" i="17" s="1"/>
  <c r="M172" i="17"/>
  <c r="P172" i="17" s="1"/>
  <c r="S172" i="17" s="1"/>
  <c r="M143" i="17"/>
  <c r="P143" i="17" s="1"/>
  <c r="S143" i="17" s="1"/>
  <c r="M153" i="17"/>
  <c r="P153" i="17" s="1"/>
  <c r="S153" i="17" s="1"/>
  <c r="M149" i="17"/>
  <c r="P149" i="17" s="1"/>
  <c r="S149" i="17" s="1"/>
  <c r="M162" i="17"/>
  <c r="P162" i="17" s="1"/>
  <c r="S162" i="17" s="1"/>
  <c r="M177" i="17"/>
  <c r="P177" i="17" s="1"/>
  <c r="S177" i="17" s="1"/>
  <c r="M170" i="17"/>
  <c r="P170" i="17" s="1"/>
  <c r="S170" i="17" s="1"/>
  <c r="M161" i="17"/>
  <c r="P161" i="17" s="1"/>
  <c r="S161" i="17" s="1"/>
  <c r="M165" i="17"/>
  <c r="P165" i="17" s="1"/>
  <c r="S165" i="17" s="1"/>
  <c r="M174" i="17"/>
  <c r="P174" i="17" s="1"/>
  <c r="S174" i="17" s="1"/>
  <c r="AR131" i="17"/>
  <c r="AR192" i="17"/>
  <c r="AR182" i="17"/>
  <c r="AR183" i="17" s="1"/>
  <c r="AR242" i="17"/>
  <c r="AR184" i="17"/>
  <c r="AR181" i="17"/>
  <c r="Z127" i="17"/>
  <c r="AP127" i="17"/>
  <c r="S127" i="17"/>
  <c r="AI127" i="17"/>
  <c r="AY127" i="17"/>
  <c r="AJ127" i="17"/>
  <c r="AC127" i="17"/>
  <c r="AF127" i="17"/>
  <c r="AN127" i="17"/>
  <c r="AW127" i="17"/>
  <c r="N127" i="17"/>
  <c r="AD127" i="17"/>
  <c r="AT127" i="17"/>
  <c r="W127" i="17"/>
  <c r="AM127" i="17"/>
  <c r="L127" i="17"/>
  <c r="L184" i="17" s="1"/>
  <c r="AR127" i="17"/>
  <c r="AK127" i="17"/>
  <c r="AV127" i="17"/>
  <c r="X127" i="17"/>
  <c r="R127" i="17"/>
  <c r="AH127" i="17"/>
  <c r="AX127" i="17"/>
  <c r="AA127" i="17"/>
  <c r="AQ127" i="17"/>
  <c r="T127" i="17"/>
  <c r="M127" i="17"/>
  <c r="AS127" i="17"/>
  <c r="AG127" i="17"/>
  <c r="Y127" i="17"/>
  <c r="V127" i="17"/>
  <c r="AL127" i="17"/>
  <c r="O127" i="17"/>
  <c r="AE127" i="17"/>
  <c r="AU127" i="17"/>
  <c r="AB127" i="17"/>
  <c r="U127" i="17"/>
  <c r="P127" i="17"/>
  <c r="Q127" i="17"/>
  <c r="AO127" i="17"/>
  <c r="AS131" i="17"/>
  <c r="AS192" i="17"/>
  <c r="AS182" i="17"/>
  <c r="AS183" i="17" s="1"/>
  <c r="AS181" i="17"/>
  <c r="AS242" i="17"/>
  <c r="AS184" i="17"/>
  <c r="T131" i="17"/>
  <c r="T192" i="17"/>
  <c r="T181" i="17"/>
  <c r="T184" i="17"/>
  <c r="T242" i="17"/>
  <c r="T182" i="17"/>
  <c r="T183" i="17" s="1"/>
  <c r="AU131" i="17"/>
  <c r="AU192" i="17"/>
  <c r="AU181" i="17"/>
  <c r="AU184" i="17"/>
  <c r="AU242" i="17"/>
  <c r="AU182" i="17"/>
  <c r="AU183" i="17" s="1"/>
  <c r="AT131" i="17"/>
  <c r="AT192" i="17"/>
  <c r="AT184" i="17"/>
  <c r="AT182" i="17"/>
  <c r="AT183" i="17" s="1"/>
  <c r="AT181" i="17"/>
  <c r="AT242" i="17"/>
  <c r="AP131" i="17"/>
  <c r="AP192" i="17"/>
  <c r="AP184" i="17"/>
  <c r="AP182" i="17"/>
  <c r="AP183" i="17" s="1"/>
  <c r="AP242" i="17"/>
  <c r="AP181" i="17"/>
  <c r="AQ131" i="17"/>
  <c r="AQ192" i="17"/>
  <c r="AQ182" i="17"/>
  <c r="AQ183" i="17" s="1"/>
  <c r="AQ181" i="17"/>
  <c r="AQ184" i="17"/>
  <c r="AQ242" i="17"/>
  <c r="AJ131" i="17"/>
  <c r="AJ192" i="17"/>
  <c r="AJ181" i="17"/>
  <c r="AJ184" i="17"/>
  <c r="AJ242" i="17"/>
  <c r="AJ182" i="17"/>
  <c r="AJ183" i="17" s="1"/>
  <c r="Y131" i="17"/>
  <c r="Y192" i="17"/>
  <c r="Y181" i="17"/>
  <c r="Y242" i="17"/>
  <c r="Y184" i="17"/>
  <c r="Y182" i="17"/>
  <c r="Y183" i="17" s="1"/>
  <c r="AE131" i="17"/>
  <c r="AE192" i="17"/>
  <c r="AE181" i="17"/>
  <c r="AE184" i="17"/>
  <c r="AE242" i="17"/>
  <c r="AE182" i="17"/>
  <c r="AE183" i="17" s="1"/>
  <c r="AO131" i="17"/>
  <c r="AO192" i="17"/>
  <c r="AO242" i="17"/>
  <c r="AO181" i="17"/>
  <c r="AO184" i="17"/>
  <c r="AO182" i="17"/>
  <c r="AO183" i="17" s="1"/>
  <c r="AG131" i="17"/>
  <c r="AG192" i="17"/>
  <c r="AG182" i="17"/>
  <c r="AG183" i="17" s="1"/>
  <c r="AG181" i="17"/>
  <c r="AG242" i="17"/>
  <c r="AG184" i="17"/>
  <c r="AB131" i="17"/>
  <c r="AB192" i="17"/>
  <c r="AB182" i="17"/>
  <c r="AB183" i="17" s="1"/>
  <c r="AB242" i="17"/>
  <c r="AB184" i="17"/>
  <c r="AB181" i="17"/>
  <c r="U131" i="17"/>
  <c r="U192" i="17"/>
  <c r="U242" i="17"/>
  <c r="U184" i="17"/>
  <c r="U181" i="17"/>
  <c r="U182" i="17"/>
  <c r="U183" i="17" s="1"/>
  <c r="AV131" i="17"/>
  <c r="AV192" i="17"/>
  <c r="AV242" i="17"/>
  <c r="AV184" i="17"/>
  <c r="AV182" i="17"/>
  <c r="AV183" i="17" s="1"/>
  <c r="AV181" i="17"/>
  <c r="AW131" i="17"/>
  <c r="AW192" i="17"/>
  <c r="AW242" i="17"/>
  <c r="AW184" i="17"/>
  <c r="AW182" i="17"/>
  <c r="AW183" i="17" s="1"/>
  <c r="AW181" i="17"/>
  <c r="AN131" i="17"/>
  <c r="AN192" i="17"/>
  <c r="AN242" i="17"/>
  <c r="AN182" i="17"/>
  <c r="AN183" i="17" s="1"/>
  <c r="AN184" i="17"/>
  <c r="AN181" i="17"/>
  <c r="AI131" i="17"/>
  <c r="AI192" i="17"/>
  <c r="AI182" i="17"/>
  <c r="AI183" i="17" s="1"/>
  <c r="AI181" i="17"/>
  <c r="AI242" i="17"/>
  <c r="AI184" i="17"/>
  <c r="AK131" i="17"/>
  <c r="AK192" i="17"/>
  <c r="AK184" i="17"/>
  <c r="AK181" i="17"/>
  <c r="AK182" i="17"/>
  <c r="AK183" i="17" s="1"/>
  <c r="AK242" i="17"/>
  <c r="AY131" i="17"/>
  <c r="AY192" i="17"/>
  <c r="AY242" i="17"/>
  <c r="AY181" i="17"/>
  <c r="AY182" i="17"/>
  <c r="AY183" i="17" s="1"/>
  <c r="AY184" i="17"/>
  <c r="AL131" i="17"/>
  <c r="AL192" i="17"/>
  <c r="AL184" i="17"/>
  <c r="AL242" i="17"/>
  <c r="AL182" i="17"/>
  <c r="AL183" i="17" s="1"/>
  <c r="AL181" i="17"/>
  <c r="AF131" i="17"/>
  <c r="AF192" i="17"/>
  <c r="AF242" i="17"/>
  <c r="AF184" i="17"/>
  <c r="AF182" i="17"/>
  <c r="AF183" i="17" s="1"/>
  <c r="AF181" i="17"/>
  <c r="Z131" i="17"/>
  <c r="Z192" i="17"/>
  <c r="Z184" i="17"/>
  <c r="Z182" i="17"/>
  <c r="Z183" i="17" s="1"/>
  <c r="Z242" i="17"/>
  <c r="Z181" i="17"/>
  <c r="W126" i="17"/>
  <c r="AM126" i="17"/>
  <c r="L126" i="17"/>
  <c r="AB126" i="17"/>
  <c r="AR126" i="17"/>
  <c r="AC126" i="17"/>
  <c r="V126" i="17"/>
  <c r="Y126" i="17"/>
  <c r="Q126" i="17"/>
  <c r="AP126" i="17"/>
  <c r="AA126" i="17"/>
  <c r="AQ126" i="17"/>
  <c r="P126" i="17"/>
  <c r="AF126" i="17"/>
  <c r="AV126" i="17"/>
  <c r="AK126" i="17"/>
  <c r="AD126" i="17"/>
  <c r="AO126" i="17"/>
  <c r="AH126" i="17"/>
  <c r="AW126" i="17"/>
  <c r="O126" i="17"/>
  <c r="AE126" i="17"/>
  <c r="AU126" i="17"/>
  <c r="T126" i="17"/>
  <c r="AJ126" i="17"/>
  <c r="M126" i="17"/>
  <c r="AS126" i="17"/>
  <c r="AL126" i="17"/>
  <c r="AG126" i="17"/>
  <c r="R126" i="17"/>
  <c r="S126" i="17"/>
  <c r="AI126" i="17"/>
  <c r="AY126" i="17"/>
  <c r="X126" i="17"/>
  <c r="AN126" i="17"/>
  <c r="U126" i="17"/>
  <c r="N126" i="17"/>
  <c r="AT126" i="17"/>
  <c r="AX126" i="17"/>
  <c r="Z126" i="17"/>
  <c r="H219" i="7"/>
  <c r="I219" i="7" s="1"/>
  <c r="M219" i="7"/>
  <c r="L219" i="7"/>
  <c r="J219" i="7"/>
  <c r="H221" i="7"/>
  <c r="I221" i="7" s="1"/>
  <c r="M221" i="7"/>
  <c r="L221" i="7"/>
  <c r="J221" i="7"/>
  <c r="H223" i="7"/>
  <c r="I223" i="7" s="1"/>
  <c r="M223" i="7"/>
  <c r="L223" i="7"/>
  <c r="J223" i="7"/>
  <c r="H225" i="7"/>
  <c r="I225" i="7" s="1"/>
  <c r="M225" i="7"/>
  <c r="L225" i="7"/>
  <c r="J225" i="7"/>
  <c r="H227" i="7"/>
  <c r="I227" i="7" s="1"/>
  <c r="M227" i="7"/>
  <c r="L227" i="7"/>
  <c r="J227" i="7"/>
  <c r="H229" i="7"/>
  <c r="I229" i="7" s="1"/>
  <c r="M229" i="7"/>
  <c r="L229" i="7"/>
  <c r="J229" i="7"/>
  <c r="H231" i="7"/>
  <c r="I231" i="7" s="1"/>
  <c r="M231" i="7"/>
  <c r="L231" i="7"/>
  <c r="J231" i="7"/>
  <c r="H233" i="7"/>
  <c r="I233" i="7" s="1"/>
  <c r="M233" i="7"/>
  <c r="L233" i="7"/>
  <c r="J233" i="7"/>
  <c r="H235" i="7"/>
  <c r="I235" i="7" s="1"/>
  <c r="M235" i="7"/>
  <c r="L235" i="7"/>
  <c r="J235" i="7"/>
  <c r="H237" i="7"/>
  <c r="I237" i="7" s="1"/>
  <c r="M237" i="7"/>
  <c r="L237" i="7"/>
  <c r="J237" i="7"/>
  <c r="H239" i="7"/>
  <c r="I239" i="7" s="1"/>
  <c r="M239" i="7"/>
  <c r="L239" i="7"/>
  <c r="J239" i="7"/>
  <c r="H241" i="7"/>
  <c r="I241" i="7" s="1"/>
  <c r="M241" i="7"/>
  <c r="L241" i="7"/>
  <c r="J241" i="7"/>
  <c r="H243" i="7"/>
  <c r="I243" i="7" s="1"/>
  <c r="M243" i="7"/>
  <c r="L243" i="7"/>
  <c r="J243" i="7"/>
  <c r="H245" i="7"/>
  <c r="I245" i="7" s="1"/>
  <c r="M245" i="7"/>
  <c r="L245" i="7"/>
  <c r="J245" i="7"/>
  <c r="H247" i="7"/>
  <c r="I247" i="7" s="1"/>
  <c r="M247" i="7"/>
  <c r="L247" i="7"/>
  <c r="J247" i="7"/>
  <c r="H266" i="7"/>
  <c r="H270" i="7"/>
  <c r="H272" i="7"/>
  <c r="H274" i="7"/>
  <c r="H278" i="7"/>
  <c r="H280" i="7"/>
  <c r="H282" i="7"/>
  <c r="H286" i="7"/>
  <c r="H290" i="7"/>
  <c r="H292" i="7"/>
  <c r="H294" i="7"/>
  <c r="H218" i="7"/>
  <c r="M218" i="7"/>
  <c r="L218" i="7"/>
  <c r="J218" i="7"/>
  <c r="H220" i="7"/>
  <c r="I220" i="7" s="1"/>
  <c r="M220" i="7"/>
  <c r="L220" i="7"/>
  <c r="J220" i="7"/>
  <c r="H222" i="7"/>
  <c r="I222" i="7" s="1"/>
  <c r="M222" i="7"/>
  <c r="L222" i="7"/>
  <c r="J222" i="7"/>
  <c r="H224" i="7"/>
  <c r="I224" i="7" s="1"/>
  <c r="M224" i="7"/>
  <c r="L224" i="7"/>
  <c r="J224" i="7"/>
  <c r="H226" i="7"/>
  <c r="I226" i="7" s="1"/>
  <c r="M226" i="7"/>
  <c r="L226" i="7"/>
  <c r="J226" i="7"/>
  <c r="H228" i="7"/>
  <c r="I228" i="7" s="1"/>
  <c r="M228" i="7"/>
  <c r="L228" i="7"/>
  <c r="J228" i="7"/>
  <c r="H230" i="7"/>
  <c r="I230" i="7" s="1"/>
  <c r="M230" i="7"/>
  <c r="L230" i="7"/>
  <c r="J230" i="7"/>
  <c r="H232" i="7"/>
  <c r="I232" i="7" s="1"/>
  <c r="M232" i="7"/>
  <c r="L232" i="7"/>
  <c r="J232" i="7"/>
  <c r="H234" i="7"/>
  <c r="I234" i="7" s="1"/>
  <c r="M234" i="7"/>
  <c r="L234" i="7"/>
  <c r="J234" i="7"/>
  <c r="H236" i="7"/>
  <c r="I236" i="7" s="1"/>
  <c r="M236" i="7"/>
  <c r="L236" i="7"/>
  <c r="J236" i="7"/>
  <c r="H238" i="7"/>
  <c r="I238" i="7" s="1"/>
  <c r="M238" i="7"/>
  <c r="L238" i="7"/>
  <c r="J238" i="7"/>
  <c r="H240" i="7"/>
  <c r="I240" i="7" s="1"/>
  <c r="M240" i="7"/>
  <c r="L240" i="7"/>
  <c r="J240" i="7"/>
  <c r="H242" i="7"/>
  <c r="I242" i="7" s="1"/>
  <c r="M242" i="7"/>
  <c r="L242" i="7"/>
  <c r="J242" i="7"/>
  <c r="H244" i="7"/>
  <c r="I244" i="7" s="1"/>
  <c r="M244" i="7"/>
  <c r="L244" i="7"/>
  <c r="J244" i="7"/>
  <c r="H246" i="7"/>
  <c r="I246" i="7" s="1"/>
  <c r="M246" i="7"/>
  <c r="L246" i="7"/>
  <c r="J246" i="7"/>
  <c r="H248" i="7"/>
  <c r="I248" i="7" s="1"/>
  <c r="M248" i="7"/>
  <c r="L248" i="7"/>
  <c r="J248" i="7"/>
  <c r="I265" i="7"/>
  <c r="I267" i="7"/>
  <c r="I269" i="7"/>
  <c r="I271" i="7"/>
  <c r="I273" i="7"/>
  <c r="I275" i="7"/>
  <c r="I277" i="7"/>
  <c r="I279" i="7"/>
  <c r="I281" i="7"/>
  <c r="I283" i="7"/>
  <c r="I285" i="7"/>
  <c r="I287" i="7"/>
  <c r="I289" i="7"/>
  <c r="I291" i="7"/>
  <c r="I293" i="7"/>
  <c r="H269" i="7"/>
  <c r="H277" i="7"/>
  <c r="H285" i="7"/>
  <c r="H293" i="7"/>
  <c r="H265" i="7"/>
  <c r="H273" i="7"/>
  <c r="H281" i="7"/>
  <c r="H289" i="7"/>
  <c r="I294" i="7"/>
  <c r="F268" i="7"/>
  <c r="G268" i="7"/>
  <c r="J268" i="7"/>
  <c r="K268" i="7"/>
  <c r="F276" i="7"/>
  <c r="G276" i="7"/>
  <c r="J276" i="7"/>
  <c r="K276" i="7"/>
  <c r="F284" i="7"/>
  <c r="G284" i="7"/>
  <c r="J284" i="7"/>
  <c r="K284" i="7"/>
  <c r="F288" i="7"/>
  <c r="G288" i="7"/>
  <c r="J288" i="7"/>
  <c r="K288" i="7"/>
  <c r="F267" i="7"/>
  <c r="G267" i="7"/>
  <c r="J267" i="7"/>
  <c r="K267" i="7"/>
  <c r="F271" i="7"/>
  <c r="G271" i="7"/>
  <c r="J271" i="7"/>
  <c r="K271" i="7"/>
  <c r="F275" i="7"/>
  <c r="G275" i="7"/>
  <c r="J275" i="7"/>
  <c r="K275" i="7"/>
  <c r="F279" i="7"/>
  <c r="G279" i="7"/>
  <c r="J279" i="7"/>
  <c r="K279" i="7"/>
  <c r="F283" i="7"/>
  <c r="G283" i="7"/>
  <c r="J283" i="7"/>
  <c r="K283" i="7"/>
  <c r="F287" i="7"/>
  <c r="G287" i="7"/>
  <c r="J287" i="7"/>
  <c r="K287" i="7"/>
  <c r="F291" i="7"/>
  <c r="G291" i="7"/>
  <c r="J291" i="7"/>
  <c r="K291" i="7"/>
  <c r="F266" i="7"/>
  <c r="G266" i="7"/>
  <c r="K266" i="7"/>
  <c r="J266" i="7"/>
  <c r="F270" i="7"/>
  <c r="G270" i="7"/>
  <c r="K270" i="7"/>
  <c r="J270" i="7"/>
  <c r="G274" i="7"/>
  <c r="K274" i="7"/>
  <c r="J274" i="7"/>
  <c r="F278" i="7"/>
  <c r="G278" i="7"/>
  <c r="K278" i="7"/>
  <c r="J278" i="7"/>
  <c r="F282" i="7"/>
  <c r="G282" i="7"/>
  <c r="K282" i="7"/>
  <c r="J282" i="7"/>
  <c r="F286" i="7"/>
  <c r="G286" i="7"/>
  <c r="K286" i="7"/>
  <c r="J286" i="7"/>
  <c r="F290" i="7"/>
  <c r="G290" i="7"/>
  <c r="K290" i="7"/>
  <c r="J290" i="7"/>
  <c r="F294" i="7"/>
  <c r="G294" i="7"/>
  <c r="K294" i="7"/>
  <c r="J294" i="7"/>
  <c r="I292" i="7"/>
  <c r="I288" i="7"/>
  <c r="I284" i="7"/>
  <c r="I280" i="7"/>
  <c r="I276" i="7"/>
  <c r="I272" i="7"/>
  <c r="I268" i="7"/>
  <c r="H268" i="7"/>
  <c r="H276" i="7"/>
  <c r="H284" i="7"/>
  <c r="H288" i="7"/>
  <c r="F264" i="7"/>
  <c r="G264" i="7"/>
  <c r="F272" i="7"/>
  <c r="G272" i="7"/>
  <c r="J272" i="7"/>
  <c r="K272" i="7"/>
  <c r="F280" i="7"/>
  <c r="G280" i="7"/>
  <c r="J280" i="7"/>
  <c r="K280" i="7"/>
  <c r="F292" i="7"/>
  <c r="G292" i="7"/>
  <c r="J292" i="7"/>
  <c r="K292" i="7"/>
  <c r="F265" i="7"/>
  <c r="G265" i="7"/>
  <c r="K265" i="7"/>
  <c r="J265" i="7"/>
  <c r="F269" i="7"/>
  <c r="G269" i="7"/>
  <c r="K269" i="7"/>
  <c r="J269" i="7"/>
  <c r="F273" i="7"/>
  <c r="G273" i="7"/>
  <c r="K273" i="7"/>
  <c r="J273" i="7"/>
  <c r="F277" i="7"/>
  <c r="G277" i="7"/>
  <c r="K277" i="7"/>
  <c r="J277" i="7"/>
  <c r="F281" i="7"/>
  <c r="G281" i="7"/>
  <c r="J281" i="7"/>
  <c r="K281" i="7"/>
  <c r="F285" i="7"/>
  <c r="G285" i="7"/>
  <c r="K285" i="7"/>
  <c r="J285" i="7"/>
  <c r="F289" i="7"/>
  <c r="G289" i="7"/>
  <c r="K289" i="7"/>
  <c r="J289" i="7"/>
  <c r="F293" i="7"/>
  <c r="G293" i="7"/>
  <c r="K293" i="7"/>
  <c r="J293" i="7"/>
  <c r="H267" i="7"/>
  <c r="H271" i="7"/>
  <c r="H275" i="7"/>
  <c r="H279" i="7"/>
  <c r="H283" i="7"/>
  <c r="H287" i="7"/>
  <c r="H291" i="7"/>
  <c r="I290" i="7"/>
  <c r="I286" i="7"/>
  <c r="I282" i="7"/>
  <c r="I278" i="7"/>
  <c r="I274" i="7"/>
  <c r="I270" i="7"/>
  <c r="I266" i="7"/>
  <c r="F274" i="7"/>
  <c r="F199" i="7"/>
  <c r="E199" i="7"/>
  <c r="F200" i="7"/>
  <c r="F198" i="7"/>
  <c r="F197" i="7"/>
  <c r="F196" i="7"/>
  <c r="F195" i="7"/>
  <c r="F194" i="7"/>
  <c r="F193" i="7"/>
  <c r="E200" i="7"/>
  <c r="E198" i="7"/>
  <c r="E197" i="7"/>
  <c r="E196" i="7"/>
  <c r="E195" i="7"/>
  <c r="E194" i="7"/>
  <c r="E193" i="7"/>
  <c r="G145" i="7"/>
  <c r="G144" i="7"/>
  <c r="F145" i="7"/>
  <c r="F144" i="7"/>
  <c r="E145" i="7"/>
  <c r="E144" i="7"/>
  <c r="N95" i="7"/>
  <c r="O95" i="7"/>
  <c r="P95" i="7"/>
  <c r="Q95" i="7"/>
  <c r="R95" i="7"/>
  <c r="S95" i="7"/>
  <c r="T95" i="7"/>
  <c r="U95" i="7"/>
  <c r="V95" i="7"/>
  <c r="W95" i="7"/>
  <c r="X95" i="7"/>
  <c r="N111" i="7"/>
  <c r="O111" i="7"/>
  <c r="P111" i="7"/>
  <c r="Q111" i="7"/>
  <c r="R111" i="7"/>
  <c r="S111" i="7"/>
  <c r="T111" i="7"/>
  <c r="U111" i="7"/>
  <c r="V111" i="7"/>
  <c r="W111" i="7"/>
  <c r="X111" i="7"/>
  <c r="N126" i="7"/>
  <c r="O126" i="7"/>
  <c r="P126" i="7"/>
  <c r="Q126" i="7"/>
  <c r="R126" i="7"/>
  <c r="S126" i="7"/>
  <c r="T126" i="7"/>
  <c r="U126" i="7"/>
  <c r="V126" i="7"/>
  <c r="W126" i="7"/>
  <c r="X126" i="7"/>
  <c r="N80" i="7"/>
  <c r="O80" i="7"/>
  <c r="P80" i="7"/>
  <c r="Q80" i="7"/>
  <c r="R80" i="7"/>
  <c r="S80" i="7"/>
  <c r="T80" i="7"/>
  <c r="U80" i="7"/>
  <c r="V80" i="7"/>
  <c r="W80" i="7"/>
  <c r="X80" i="7"/>
  <c r="F116" i="7"/>
  <c r="G116" i="7" s="1"/>
  <c r="H116" i="7" s="1"/>
  <c r="I116" i="7" s="1"/>
  <c r="J116" i="7" s="1"/>
  <c r="K116" i="7" s="1"/>
  <c r="L116" i="7" s="1"/>
  <c r="M116" i="7" s="1"/>
  <c r="N116" i="7" s="1"/>
  <c r="O116" i="7" s="1"/>
  <c r="P116" i="7" s="1"/>
  <c r="Q116" i="7" s="1"/>
  <c r="R116" i="7" s="1"/>
  <c r="S116" i="7" s="1"/>
  <c r="T116" i="7" s="1"/>
  <c r="U116" i="7" s="1"/>
  <c r="V116" i="7" s="1"/>
  <c r="W116" i="7" s="1"/>
  <c r="X116" i="7" s="1"/>
  <c r="F100" i="7"/>
  <c r="G100" i="7" s="1"/>
  <c r="H100" i="7" s="1"/>
  <c r="I100" i="7" s="1"/>
  <c r="J100" i="7" s="1"/>
  <c r="K100" i="7" s="1"/>
  <c r="L100" i="7" s="1"/>
  <c r="M100" i="7" s="1"/>
  <c r="N100" i="7" s="1"/>
  <c r="O100" i="7" s="1"/>
  <c r="P100" i="7" s="1"/>
  <c r="Q100" i="7" s="1"/>
  <c r="R100" i="7" s="1"/>
  <c r="S100" i="7" s="1"/>
  <c r="T100" i="7" s="1"/>
  <c r="U100" i="7" s="1"/>
  <c r="V100" i="7" s="1"/>
  <c r="W100" i="7" s="1"/>
  <c r="X100" i="7" s="1"/>
  <c r="F85" i="7"/>
  <c r="G85" i="7" s="1"/>
  <c r="H85" i="7" s="1"/>
  <c r="I85" i="7" s="1"/>
  <c r="J85" i="7" s="1"/>
  <c r="K85" i="7" s="1"/>
  <c r="L85" i="7" s="1"/>
  <c r="M85" i="7" s="1"/>
  <c r="N85" i="7" s="1"/>
  <c r="O85" i="7" s="1"/>
  <c r="P85" i="7" s="1"/>
  <c r="Q85" i="7" s="1"/>
  <c r="R85" i="7" s="1"/>
  <c r="S85" i="7" s="1"/>
  <c r="T85" i="7" s="1"/>
  <c r="U85" i="7" s="1"/>
  <c r="V85" i="7" s="1"/>
  <c r="W85" i="7" s="1"/>
  <c r="X85" i="7" s="1"/>
  <c r="F70" i="7"/>
  <c r="G70" i="7" s="1"/>
  <c r="H70" i="7" s="1"/>
  <c r="I70" i="7" s="1"/>
  <c r="J70" i="7" s="1"/>
  <c r="K70" i="7" s="1"/>
  <c r="L70" i="7" s="1"/>
  <c r="M70" i="7" s="1"/>
  <c r="N70" i="7" s="1"/>
  <c r="O70" i="7" s="1"/>
  <c r="P70" i="7" s="1"/>
  <c r="Q70" i="7" s="1"/>
  <c r="R70" i="7" s="1"/>
  <c r="S70" i="7" s="1"/>
  <c r="T70" i="7" s="1"/>
  <c r="U70" i="7" s="1"/>
  <c r="V70" i="7" s="1"/>
  <c r="W70" i="7" s="1"/>
  <c r="X70" i="7" s="1"/>
  <c r="N65" i="7"/>
  <c r="O65" i="7"/>
  <c r="P65" i="7"/>
  <c r="Q65" i="7"/>
  <c r="R65" i="7"/>
  <c r="S65" i="7"/>
  <c r="T65" i="7"/>
  <c r="U65" i="7"/>
  <c r="V65" i="7"/>
  <c r="W65" i="7"/>
  <c r="X65" i="7"/>
  <c r="N50" i="7"/>
  <c r="O50" i="7"/>
  <c r="P50" i="7"/>
  <c r="Q50" i="7"/>
  <c r="R50" i="7"/>
  <c r="S50" i="7"/>
  <c r="T50" i="7"/>
  <c r="U50" i="7"/>
  <c r="V50" i="7"/>
  <c r="W50" i="7"/>
  <c r="X50" i="7"/>
  <c r="F55" i="7"/>
  <c r="G55" i="7" s="1"/>
  <c r="H55" i="7" s="1"/>
  <c r="I55" i="7" s="1"/>
  <c r="J55" i="7" s="1"/>
  <c r="K55" i="7" s="1"/>
  <c r="L55" i="7" s="1"/>
  <c r="M55" i="7" s="1"/>
  <c r="N55" i="7" s="1"/>
  <c r="O55" i="7" s="1"/>
  <c r="P55" i="7" s="1"/>
  <c r="Q55" i="7" s="1"/>
  <c r="R55" i="7" s="1"/>
  <c r="S55" i="7" s="1"/>
  <c r="T55" i="7" s="1"/>
  <c r="U55" i="7" s="1"/>
  <c r="V55" i="7" s="1"/>
  <c r="W55" i="7" s="1"/>
  <c r="X55" i="7" s="1"/>
  <c r="F39" i="7"/>
  <c r="G39" i="7" s="1"/>
  <c r="H39" i="7" s="1"/>
  <c r="I39" i="7" s="1"/>
  <c r="J39" i="7" s="1"/>
  <c r="K39" i="7" s="1"/>
  <c r="L39" i="7" s="1"/>
  <c r="M39" i="7" s="1"/>
  <c r="N39" i="7" s="1"/>
  <c r="O39" i="7" s="1"/>
  <c r="P39" i="7" s="1"/>
  <c r="Q39" i="7" s="1"/>
  <c r="R39" i="7" s="1"/>
  <c r="S39" i="7" s="1"/>
  <c r="T39" i="7" s="1"/>
  <c r="U39" i="7" s="1"/>
  <c r="V39" i="7" s="1"/>
  <c r="W39" i="7" s="1"/>
  <c r="X39" i="7" s="1"/>
  <c r="N34" i="7"/>
  <c r="O34" i="7"/>
  <c r="P34" i="7"/>
  <c r="Q34" i="7"/>
  <c r="R34" i="7"/>
  <c r="S34" i="7"/>
  <c r="T34" i="7"/>
  <c r="U34" i="7"/>
  <c r="V34" i="7"/>
  <c r="W34" i="7"/>
  <c r="X34" i="7"/>
  <c r="F24" i="7"/>
  <c r="G24" i="7" s="1"/>
  <c r="H24" i="7" s="1"/>
  <c r="I24" i="7" s="1"/>
  <c r="J24" i="7" s="1"/>
  <c r="K24" i="7" s="1"/>
  <c r="L24" i="7" s="1"/>
  <c r="M24" i="7" s="1"/>
  <c r="N24" i="7" s="1"/>
  <c r="O24" i="7" s="1"/>
  <c r="P24" i="7" s="1"/>
  <c r="Q24" i="7" s="1"/>
  <c r="R24" i="7" s="1"/>
  <c r="S24" i="7" s="1"/>
  <c r="T24" i="7" s="1"/>
  <c r="U24" i="7" s="1"/>
  <c r="V24" i="7" s="1"/>
  <c r="W24" i="7" s="1"/>
  <c r="X24" i="7" s="1"/>
  <c r="N19" i="7"/>
  <c r="O19" i="7"/>
  <c r="P19" i="7"/>
  <c r="Q19" i="7"/>
  <c r="R19" i="7"/>
  <c r="S19" i="7"/>
  <c r="T19" i="7"/>
  <c r="U19" i="7"/>
  <c r="V19" i="7"/>
  <c r="W19" i="7"/>
  <c r="X19" i="7"/>
  <c r="F9" i="7"/>
  <c r="G9" i="7" s="1"/>
  <c r="H9" i="7" s="1"/>
  <c r="I9" i="7" s="1"/>
  <c r="J9" i="7" s="1"/>
  <c r="K9" i="7" s="1"/>
  <c r="L9" i="7" s="1"/>
  <c r="M9" i="7" s="1"/>
  <c r="N9" i="7" s="1"/>
  <c r="O9" i="7" s="1"/>
  <c r="P9" i="7" s="1"/>
  <c r="Q9" i="7" s="1"/>
  <c r="R9" i="7" s="1"/>
  <c r="S9" i="7" s="1"/>
  <c r="T9" i="7" s="1"/>
  <c r="U9" i="7" s="1"/>
  <c r="V9" i="7" s="1"/>
  <c r="W9" i="7" s="1"/>
  <c r="X9" i="7" s="1"/>
  <c r="G281" i="8"/>
  <c r="H281" i="8"/>
  <c r="I281" i="8"/>
  <c r="J281" i="8"/>
  <c r="G282" i="8"/>
  <c r="H282" i="8"/>
  <c r="I282" i="8"/>
  <c r="J282" i="8"/>
  <c r="G283" i="8"/>
  <c r="H283" i="8"/>
  <c r="I283" i="8"/>
  <c r="J283" i="8"/>
  <c r="G284" i="8"/>
  <c r="H284" i="8"/>
  <c r="I284" i="8"/>
  <c r="J284" i="8"/>
  <c r="G285" i="8"/>
  <c r="H285" i="8"/>
  <c r="I285" i="8"/>
  <c r="J285" i="8"/>
  <c r="G286" i="8"/>
  <c r="H286" i="8"/>
  <c r="I286" i="8"/>
  <c r="J286" i="8"/>
  <c r="G287" i="8"/>
  <c r="H287" i="8"/>
  <c r="I287" i="8"/>
  <c r="J287" i="8"/>
  <c r="G288" i="8"/>
  <c r="H288" i="8"/>
  <c r="I288" i="8"/>
  <c r="J288" i="8"/>
  <c r="G289" i="8"/>
  <c r="H289" i="8"/>
  <c r="I289" i="8"/>
  <c r="J289" i="8"/>
  <c r="G290" i="8"/>
  <c r="H290" i="8"/>
  <c r="I290" i="8"/>
  <c r="J290" i="8"/>
  <c r="G291" i="8"/>
  <c r="H291" i="8"/>
  <c r="I291" i="8"/>
  <c r="J291" i="8"/>
  <c r="G292" i="8"/>
  <c r="H292" i="8"/>
  <c r="I292" i="8"/>
  <c r="J292" i="8"/>
  <c r="G293" i="8"/>
  <c r="H293" i="8"/>
  <c r="I293" i="8"/>
  <c r="J293" i="8"/>
  <c r="G294" i="8"/>
  <c r="H294" i="8"/>
  <c r="I294" i="8"/>
  <c r="J294" i="8"/>
  <c r="G295" i="8"/>
  <c r="H295" i="8"/>
  <c r="I295" i="8"/>
  <c r="J295" i="8"/>
  <c r="G296" i="8"/>
  <c r="H296" i="8"/>
  <c r="I296" i="8"/>
  <c r="J296" i="8"/>
  <c r="G297" i="8"/>
  <c r="H297" i="8"/>
  <c r="I297" i="8"/>
  <c r="J297" i="8"/>
  <c r="G298" i="8"/>
  <c r="H298" i="8"/>
  <c r="I298" i="8"/>
  <c r="J298" i="8"/>
  <c r="G299" i="8"/>
  <c r="H299" i="8"/>
  <c r="I299" i="8"/>
  <c r="J299" i="8"/>
  <c r="G300" i="8"/>
  <c r="H300" i="8"/>
  <c r="I300" i="8"/>
  <c r="J300" i="8"/>
  <c r="G301" i="8"/>
  <c r="H301" i="8"/>
  <c r="I301" i="8"/>
  <c r="J301" i="8"/>
  <c r="G302" i="8"/>
  <c r="H302" i="8"/>
  <c r="I302" i="8"/>
  <c r="J302" i="8"/>
  <c r="G303" i="8"/>
  <c r="H303" i="8"/>
  <c r="I303" i="8"/>
  <c r="J303" i="8"/>
  <c r="G304" i="8"/>
  <c r="H304" i="8"/>
  <c r="I304" i="8"/>
  <c r="J304" i="8"/>
  <c r="G305" i="8"/>
  <c r="H305" i="8"/>
  <c r="I305" i="8"/>
  <c r="J305" i="8"/>
  <c r="G306" i="8"/>
  <c r="H306" i="8"/>
  <c r="I306" i="8"/>
  <c r="J306" i="8"/>
  <c r="G307" i="8"/>
  <c r="H307" i="8"/>
  <c r="I307" i="8"/>
  <c r="J307" i="8"/>
  <c r="G308" i="8"/>
  <c r="H308" i="8"/>
  <c r="I308" i="8"/>
  <c r="J308" i="8"/>
  <c r="G309" i="8"/>
  <c r="H309" i="8"/>
  <c r="I309" i="8"/>
  <c r="J309" i="8"/>
  <c r="G310" i="8"/>
  <c r="H310" i="8"/>
  <c r="I310" i="8"/>
  <c r="J310" i="8"/>
  <c r="G311" i="8"/>
  <c r="H311" i="8"/>
  <c r="I311" i="8"/>
  <c r="J311" i="8"/>
  <c r="AU128" i="17" l="1"/>
  <c r="AI128" i="17"/>
  <c r="AK128" i="17"/>
  <c r="AR128" i="17"/>
  <c r="Z128" i="17"/>
  <c r="X128" i="17"/>
  <c r="S128" i="17"/>
  <c r="AC128" i="17"/>
  <c r="AM128" i="17"/>
  <c r="AH128" i="17"/>
  <c r="T128" i="17"/>
  <c r="N128" i="17"/>
  <c r="AF128" i="17"/>
  <c r="AP128" i="17"/>
  <c r="Q128" i="17"/>
  <c r="AY128" i="17"/>
  <c r="AS128" i="17"/>
  <c r="AN128" i="17"/>
  <c r="AX128" i="17"/>
  <c r="Y128" i="17"/>
  <c r="P128" i="17"/>
  <c r="AT128" i="17"/>
  <c r="U128" i="17"/>
  <c r="L128" i="17"/>
  <c r="AW128" i="17"/>
  <c r="O128" i="17"/>
  <c r="AL128" i="17"/>
  <c r="M128" i="17"/>
  <c r="AB128" i="17"/>
  <c r="R128" i="17"/>
  <c r="W128" i="17"/>
  <c r="AD128" i="17"/>
  <c r="AE128" i="17"/>
  <c r="AA128" i="17"/>
  <c r="AG128" i="17"/>
  <c r="AJ128" i="17"/>
  <c r="V128" i="17"/>
  <c r="AV128" i="17"/>
  <c r="AQ128" i="17"/>
  <c r="N192" i="17"/>
  <c r="S131" i="17"/>
  <c r="N184" i="17"/>
  <c r="N131" i="17"/>
  <c r="S192" i="17"/>
  <c r="P131" i="17"/>
  <c r="S184" i="17"/>
  <c r="R131" i="17"/>
  <c r="L192" i="17"/>
  <c r="R192" i="17"/>
  <c r="Q131" i="17"/>
  <c r="M192" i="17"/>
  <c r="R184" i="17"/>
  <c r="L131" i="17"/>
  <c r="Q184" i="17"/>
  <c r="O131" i="17"/>
  <c r="I54" i="17"/>
  <c r="I112" i="17"/>
  <c r="Q112" i="17" s="1"/>
  <c r="K180" i="17"/>
  <c r="N180" i="17" s="1"/>
  <c r="Q180" i="17" s="1"/>
  <c r="T180" i="17" s="1"/>
  <c r="I180" i="17"/>
  <c r="K241" i="17"/>
  <c r="I111" i="17"/>
  <c r="Q111" i="17" s="1"/>
  <c r="I179" i="17"/>
  <c r="K179" i="17"/>
  <c r="N179" i="17" s="1"/>
  <c r="Q179" i="17" s="1"/>
  <c r="T179" i="17" s="1"/>
  <c r="I53" i="17"/>
  <c r="K240" i="17"/>
  <c r="I110" i="17"/>
  <c r="Q110" i="17" s="1"/>
  <c r="I178" i="17"/>
  <c r="I52" i="17"/>
  <c r="K178" i="17"/>
  <c r="N178" i="17" s="1"/>
  <c r="Q178" i="17" s="1"/>
  <c r="T178" i="17" s="1"/>
  <c r="K239" i="17"/>
  <c r="I51" i="17"/>
  <c r="I109" i="17"/>
  <c r="Q109" i="17" s="1"/>
  <c r="K177" i="17"/>
  <c r="N177" i="17" s="1"/>
  <c r="Q177" i="17" s="1"/>
  <c r="T177" i="17" s="1"/>
  <c r="I177" i="17"/>
  <c r="K238" i="17"/>
  <c r="I50" i="17"/>
  <c r="I108" i="17"/>
  <c r="Q108" i="17" s="1"/>
  <c r="K176" i="17"/>
  <c r="N176" i="17" s="1"/>
  <c r="Q176" i="17" s="1"/>
  <c r="T176" i="17" s="1"/>
  <c r="I176" i="17"/>
  <c r="K237" i="17"/>
  <c r="I107" i="17"/>
  <c r="Q107" i="17" s="1"/>
  <c r="I49" i="17"/>
  <c r="I175" i="17"/>
  <c r="K175" i="17"/>
  <c r="N175" i="17" s="1"/>
  <c r="Q175" i="17" s="1"/>
  <c r="T175" i="17" s="1"/>
  <c r="K236" i="17"/>
  <c r="I48" i="17"/>
  <c r="I106" i="17"/>
  <c r="Q106" i="17" s="1"/>
  <c r="K174" i="17"/>
  <c r="N174" i="17" s="1"/>
  <c r="Q174" i="17" s="1"/>
  <c r="T174" i="17" s="1"/>
  <c r="I174" i="17"/>
  <c r="K235" i="17"/>
  <c r="I105" i="17"/>
  <c r="Q105" i="17" s="1"/>
  <c r="K173" i="17"/>
  <c r="N173" i="17" s="1"/>
  <c r="Q173" i="17" s="1"/>
  <c r="T173" i="17" s="1"/>
  <c r="I47" i="17"/>
  <c r="I173" i="17"/>
  <c r="K234" i="17"/>
  <c r="I46" i="17"/>
  <c r="I104" i="17"/>
  <c r="Q104" i="17" s="1"/>
  <c r="I172" i="17"/>
  <c r="K172" i="17"/>
  <c r="N172" i="17" s="1"/>
  <c r="Q172" i="17" s="1"/>
  <c r="T172" i="17" s="1"/>
  <c r="K233" i="17"/>
  <c r="I103" i="17"/>
  <c r="Q103" i="17" s="1"/>
  <c r="I45" i="17"/>
  <c r="I171" i="17"/>
  <c r="K171" i="17"/>
  <c r="N171" i="17" s="1"/>
  <c r="Q171" i="17" s="1"/>
  <c r="T171" i="17" s="1"/>
  <c r="K232" i="17"/>
  <c r="I102" i="17"/>
  <c r="Q102" i="17" s="1"/>
  <c r="I44" i="17"/>
  <c r="K170" i="17"/>
  <c r="N170" i="17" s="1"/>
  <c r="Q170" i="17" s="1"/>
  <c r="T170" i="17" s="1"/>
  <c r="I170" i="17"/>
  <c r="K231" i="17"/>
  <c r="I101" i="17"/>
  <c r="Q101" i="17" s="1"/>
  <c r="I43" i="17"/>
  <c r="I169" i="17"/>
  <c r="K169" i="17"/>
  <c r="N169" i="17" s="1"/>
  <c r="Q169" i="17" s="1"/>
  <c r="T169" i="17" s="1"/>
  <c r="K230" i="17"/>
  <c r="I42" i="17"/>
  <c r="I100" i="17"/>
  <c r="Q100" i="17" s="1"/>
  <c r="K168" i="17"/>
  <c r="N168" i="17" s="1"/>
  <c r="Q168" i="17" s="1"/>
  <c r="T168" i="17" s="1"/>
  <c r="I168" i="17"/>
  <c r="K229" i="17"/>
  <c r="I41" i="17"/>
  <c r="I99" i="17"/>
  <c r="Q99" i="17" s="1"/>
  <c r="K167" i="17"/>
  <c r="N167" i="17" s="1"/>
  <c r="Q167" i="17" s="1"/>
  <c r="T167" i="17" s="1"/>
  <c r="I167" i="17"/>
  <c r="K228" i="17"/>
  <c r="I40" i="17"/>
  <c r="I98" i="17"/>
  <c r="Q98" i="17" s="1"/>
  <c r="I166" i="17"/>
  <c r="K166" i="17"/>
  <c r="N166" i="17" s="1"/>
  <c r="Q166" i="17" s="1"/>
  <c r="T166" i="17" s="1"/>
  <c r="K227" i="17"/>
  <c r="I97" i="17"/>
  <c r="Q97" i="17" s="1"/>
  <c r="I39" i="17"/>
  <c r="I165" i="17"/>
  <c r="K165" i="17"/>
  <c r="N165" i="17" s="1"/>
  <c r="Q165" i="17" s="1"/>
  <c r="T165" i="17" s="1"/>
  <c r="K226" i="17"/>
  <c r="I38" i="17"/>
  <c r="I96" i="17"/>
  <c r="Q96" i="17" s="1"/>
  <c r="K164" i="17"/>
  <c r="N164" i="17" s="1"/>
  <c r="Q164" i="17" s="1"/>
  <c r="T164" i="17" s="1"/>
  <c r="I164" i="17"/>
  <c r="K225" i="17"/>
  <c r="I95" i="17"/>
  <c r="Q95" i="17" s="1"/>
  <c r="I37" i="17"/>
  <c r="K163" i="17"/>
  <c r="N163" i="17" s="1"/>
  <c r="Q163" i="17" s="1"/>
  <c r="T163" i="17" s="1"/>
  <c r="I163" i="17"/>
  <c r="K224" i="17"/>
  <c r="I94" i="17"/>
  <c r="Q94" i="17" s="1"/>
  <c r="I36" i="17"/>
  <c r="I162" i="17"/>
  <c r="K162" i="17"/>
  <c r="N162" i="17" s="1"/>
  <c r="Q162" i="17" s="1"/>
  <c r="T162" i="17" s="1"/>
  <c r="K223" i="17"/>
  <c r="I35" i="17"/>
  <c r="I93" i="17"/>
  <c r="Q93" i="17" s="1"/>
  <c r="I161" i="17"/>
  <c r="K161" i="17"/>
  <c r="N161" i="17" s="1"/>
  <c r="Q161" i="17" s="1"/>
  <c r="T161" i="17" s="1"/>
  <c r="K222" i="17"/>
  <c r="I34" i="17"/>
  <c r="I92" i="17"/>
  <c r="Q92" i="17" s="1"/>
  <c r="K160" i="17"/>
  <c r="N160" i="17" s="1"/>
  <c r="Q160" i="17" s="1"/>
  <c r="T160" i="17" s="1"/>
  <c r="I160" i="17"/>
  <c r="K221" i="17"/>
  <c r="I91" i="17"/>
  <c r="Q91" i="17" s="1"/>
  <c r="I33" i="17"/>
  <c r="K159" i="17"/>
  <c r="N159" i="17" s="1"/>
  <c r="Q159" i="17" s="1"/>
  <c r="T159" i="17" s="1"/>
  <c r="I159" i="17"/>
  <c r="K220" i="17"/>
  <c r="I32" i="17"/>
  <c r="I90" i="17"/>
  <c r="Q90" i="17" s="1"/>
  <c r="I158" i="17"/>
  <c r="K158" i="17"/>
  <c r="N158" i="17" s="1"/>
  <c r="Q158" i="17" s="1"/>
  <c r="T158" i="17" s="1"/>
  <c r="K219" i="17"/>
  <c r="I89" i="17"/>
  <c r="Q89" i="17" s="1"/>
  <c r="I31" i="17"/>
  <c r="I157" i="17"/>
  <c r="K157" i="17"/>
  <c r="N157" i="17" s="1"/>
  <c r="Q157" i="17" s="1"/>
  <c r="T157" i="17" s="1"/>
  <c r="K218" i="17"/>
  <c r="I30" i="17"/>
  <c r="I88" i="17"/>
  <c r="Q88" i="17" s="1"/>
  <c r="K156" i="17"/>
  <c r="N156" i="17" s="1"/>
  <c r="Q156" i="17" s="1"/>
  <c r="T156" i="17" s="1"/>
  <c r="I156" i="17"/>
  <c r="K217" i="17"/>
  <c r="I87" i="17"/>
  <c r="Q87" i="17" s="1"/>
  <c r="I29" i="17"/>
  <c r="K155" i="17"/>
  <c r="N155" i="17" s="1"/>
  <c r="Q155" i="17" s="1"/>
  <c r="T155" i="17" s="1"/>
  <c r="I155" i="17"/>
  <c r="K216" i="17"/>
  <c r="I86" i="17"/>
  <c r="Q86" i="17" s="1"/>
  <c r="I28" i="17"/>
  <c r="I154" i="17"/>
  <c r="K154" i="17"/>
  <c r="N154" i="17" s="1"/>
  <c r="Q154" i="17" s="1"/>
  <c r="T154" i="17" s="1"/>
  <c r="K215" i="17"/>
  <c r="I85" i="17"/>
  <c r="Q85" i="17" s="1"/>
  <c r="I27" i="17"/>
  <c r="I153" i="17"/>
  <c r="K153" i="17"/>
  <c r="N153" i="17" s="1"/>
  <c r="Q153" i="17" s="1"/>
  <c r="T153" i="17" s="1"/>
  <c r="K214" i="17"/>
  <c r="I26" i="17"/>
  <c r="I84" i="17"/>
  <c r="Q84" i="17" s="1"/>
  <c r="K152" i="17"/>
  <c r="N152" i="17" s="1"/>
  <c r="Q152" i="17" s="1"/>
  <c r="T152" i="17" s="1"/>
  <c r="I152" i="17"/>
  <c r="K213" i="17"/>
  <c r="I25" i="17"/>
  <c r="I83" i="17"/>
  <c r="Q83" i="17" s="1"/>
  <c r="K151" i="17"/>
  <c r="N151" i="17" s="1"/>
  <c r="Q151" i="17" s="1"/>
  <c r="T151" i="17" s="1"/>
  <c r="I151" i="17"/>
  <c r="K212" i="17"/>
  <c r="I24" i="17"/>
  <c r="I82" i="17"/>
  <c r="Q82" i="17" s="1"/>
  <c r="I150" i="17"/>
  <c r="K150" i="17"/>
  <c r="N150" i="17" s="1"/>
  <c r="Q150" i="17" s="1"/>
  <c r="T150" i="17" s="1"/>
  <c r="K211" i="17"/>
  <c r="P184" i="17"/>
  <c r="P192" i="17"/>
  <c r="Q192" i="17"/>
  <c r="O192" i="17"/>
  <c r="M131" i="17"/>
  <c r="O184" i="17"/>
  <c r="M184" i="17"/>
  <c r="E397" i="7"/>
  <c r="F397" i="7" s="1"/>
  <c r="E396" i="7"/>
  <c r="F396" i="7" s="1"/>
  <c r="E395" i="7"/>
  <c r="F395" i="7" s="1"/>
  <c r="E394" i="7"/>
  <c r="F394" i="7" s="1"/>
  <c r="E393" i="7"/>
  <c r="F393" i="7" s="1"/>
  <c r="E392" i="7"/>
  <c r="F392" i="7" s="1"/>
  <c r="E391" i="7"/>
  <c r="F391" i="7" s="1"/>
  <c r="E390" i="7"/>
  <c r="F390" i="7" s="1"/>
  <c r="E389" i="7"/>
  <c r="F389" i="7" s="1"/>
  <c r="E388" i="7"/>
  <c r="F388" i="7" s="1"/>
  <c r="E387" i="7"/>
  <c r="F387" i="7" s="1"/>
  <c r="E386" i="7"/>
  <c r="F386" i="7" s="1"/>
  <c r="E385" i="7"/>
  <c r="F385" i="7" s="1"/>
  <c r="E384" i="7"/>
  <c r="F384" i="7" s="1"/>
  <c r="E383" i="7"/>
  <c r="F383" i="7" s="1"/>
  <c r="E382" i="7"/>
  <c r="F382" i="7" s="1"/>
  <c r="E381" i="7"/>
  <c r="F381" i="7" s="1"/>
  <c r="E380" i="7"/>
  <c r="F380" i="7" s="1"/>
  <c r="E379" i="7"/>
  <c r="F379" i="7" s="1"/>
  <c r="E378" i="7"/>
  <c r="F378" i="7" s="1"/>
  <c r="E377" i="7"/>
  <c r="F377" i="7" s="1"/>
  <c r="E407" i="7"/>
  <c r="F407" i="7" s="1"/>
  <c r="E406" i="7"/>
  <c r="F406" i="7" s="1"/>
  <c r="E405" i="7"/>
  <c r="F405" i="7" s="1"/>
  <c r="E404" i="7"/>
  <c r="F404" i="7" s="1"/>
  <c r="E403" i="7"/>
  <c r="F403" i="7" s="1"/>
  <c r="E402" i="7"/>
  <c r="F402" i="7" s="1"/>
  <c r="E401" i="7"/>
  <c r="F401" i="7" s="1"/>
  <c r="E400" i="7"/>
  <c r="F400" i="7" s="1"/>
  <c r="E399" i="7"/>
  <c r="F399" i="7" s="1"/>
  <c r="E398" i="7"/>
  <c r="F398" i="7" s="1"/>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M263" i="8"/>
  <c r="M264" i="8"/>
  <c r="M265" i="8"/>
  <c r="M266" i="8"/>
  <c r="M267" i="8"/>
  <c r="M268" i="8"/>
  <c r="M269" i="8"/>
  <c r="M270" i="8"/>
  <c r="M271" i="8"/>
  <c r="M272" i="8"/>
  <c r="M273" i="8"/>
  <c r="M274" i="8"/>
  <c r="P274" i="8" s="1"/>
  <c r="M275" i="8"/>
  <c r="M276" i="8"/>
  <c r="P276" i="8" s="1"/>
  <c r="M277" i="8"/>
  <c r="M278" i="8"/>
  <c r="P278" i="8" s="1"/>
  <c r="M279" i="8"/>
  <c r="M280" i="8"/>
  <c r="P280" i="8" s="1"/>
  <c r="M281" i="8"/>
  <c r="M282" i="8"/>
  <c r="P282" i="8" s="1"/>
  <c r="M283" i="8"/>
  <c r="M284" i="8"/>
  <c r="P284" i="8" s="1"/>
  <c r="M285" i="8"/>
  <c r="M286" i="8"/>
  <c r="P286" i="8" s="1"/>
  <c r="M287" i="8"/>
  <c r="M288" i="8"/>
  <c r="P288" i="8" s="1"/>
  <c r="M289" i="8"/>
  <c r="M290" i="8"/>
  <c r="P290" i="8" s="1"/>
  <c r="M291" i="8"/>
  <c r="M292" i="8"/>
  <c r="P292" i="8" s="1"/>
  <c r="M293" i="8"/>
  <c r="M294" i="8"/>
  <c r="P294" i="8" s="1"/>
  <c r="M295" i="8"/>
  <c r="M296" i="8"/>
  <c r="P296" i="8" s="1"/>
  <c r="M297" i="8"/>
  <c r="M298" i="8"/>
  <c r="P298" i="8" s="1"/>
  <c r="M299" i="8"/>
  <c r="M300" i="8"/>
  <c r="P300" i="8" s="1"/>
  <c r="M301" i="8"/>
  <c r="M302" i="8"/>
  <c r="P302" i="8" s="1"/>
  <c r="M303" i="8"/>
  <c r="M304" i="8"/>
  <c r="P304" i="8" s="1"/>
  <c r="M305" i="8"/>
  <c r="M306" i="8"/>
  <c r="P306" i="8" s="1"/>
  <c r="M307" i="8"/>
  <c r="M308" i="8"/>
  <c r="P308" i="8" s="1"/>
  <c r="M309" i="8"/>
  <c r="M310" i="8"/>
  <c r="P310" i="8" s="1"/>
  <c r="M311" i="8"/>
  <c r="M262" i="8"/>
  <c r="P262" i="8" s="1"/>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274" i="8"/>
  <c r="L275" i="8"/>
  <c r="L276" i="8"/>
  <c r="L277" i="8"/>
  <c r="L278" i="8"/>
  <c r="L279" i="8"/>
  <c r="L280" i="8"/>
  <c r="L281" i="8"/>
  <c r="L263" i="8"/>
  <c r="L264" i="8"/>
  <c r="L265" i="8"/>
  <c r="L266" i="8"/>
  <c r="L267" i="8"/>
  <c r="L268" i="8"/>
  <c r="L269" i="8"/>
  <c r="L270" i="8"/>
  <c r="L271" i="8"/>
  <c r="L272" i="8"/>
  <c r="L273" i="8"/>
  <c r="I107" i="8"/>
  <c r="AM186" i="8"/>
  <c r="DU242" i="8"/>
  <c r="DU245" i="8" s="1"/>
  <c r="DU236" i="8"/>
  <c r="DV235" i="8"/>
  <c r="DW235" i="8" s="1"/>
  <c r="DV234" i="8"/>
  <c r="DW234" i="8" s="1"/>
  <c r="DV233" i="8"/>
  <c r="DW233" i="8" s="1"/>
  <c r="DV232" i="8"/>
  <c r="DW232" i="8" s="1"/>
  <c r="DV231" i="8"/>
  <c r="DW231" i="8" s="1"/>
  <c r="DV230" i="8"/>
  <c r="DW230" i="8" s="1"/>
  <c r="DV229" i="8"/>
  <c r="DW229" i="8" s="1"/>
  <c r="DV228" i="8"/>
  <c r="DW228" i="8" s="1"/>
  <c r="DV227" i="8"/>
  <c r="DW227" i="8" s="1"/>
  <c r="DV226" i="8"/>
  <c r="DW226" i="8" s="1"/>
  <c r="DV225" i="8"/>
  <c r="DW225" i="8" s="1"/>
  <c r="DV224" i="8"/>
  <c r="DW224" i="8" s="1"/>
  <c r="DV223" i="8"/>
  <c r="DW223" i="8" s="1"/>
  <c r="DV222" i="8"/>
  <c r="DW222" i="8" s="1"/>
  <c r="DV221" i="8"/>
  <c r="DW221" i="8" s="1"/>
  <c r="DV220" i="8"/>
  <c r="DW220" i="8" s="1"/>
  <c r="DV219" i="8"/>
  <c r="DW219" i="8" s="1"/>
  <c r="DV218" i="8"/>
  <c r="DW218" i="8" s="1"/>
  <c r="DV217" i="8"/>
  <c r="DW217" i="8" s="1"/>
  <c r="DV216" i="8"/>
  <c r="DW216" i="8" s="1"/>
  <c r="DV215" i="8"/>
  <c r="DW215" i="8" s="1"/>
  <c r="DV214" i="8"/>
  <c r="DW214" i="8" s="1"/>
  <c r="DV213" i="8"/>
  <c r="DW213" i="8" s="1"/>
  <c r="DV212" i="8"/>
  <c r="DW212" i="8" s="1"/>
  <c r="DV211" i="8"/>
  <c r="DW211" i="8" s="1"/>
  <c r="DV210" i="8"/>
  <c r="DW210" i="8" s="1"/>
  <c r="DV209" i="8"/>
  <c r="DW209" i="8" s="1"/>
  <c r="DV208" i="8"/>
  <c r="DW208" i="8" s="1"/>
  <c r="DV207" i="8"/>
  <c r="DW207" i="8" s="1"/>
  <c r="DV206" i="8"/>
  <c r="DW206" i="8" s="1"/>
  <c r="DV205" i="8"/>
  <c r="DW205" i="8" s="1"/>
  <c r="DV204" i="8"/>
  <c r="DW204" i="8" s="1"/>
  <c r="DV203" i="8"/>
  <c r="DW203" i="8" s="1"/>
  <c r="DV202" i="8"/>
  <c r="DW202" i="8" s="1"/>
  <c r="DV201" i="8"/>
  <c r="DW201" i="8" s="1"/>
  <c r="DV200" i="8"/>
  <c r="DW200" i="8" s="1"/>
  <c r="DV199" i="8"/>
  <c r="DW199" i="8" s="1"/>
  <c r="DV198" i="8"/>
  <c r="DW198" i="8" s="1"/>
  <c r="DV197" i="8"/>
  <c r="DW197" i="8" s="1"/>
  <c r="DV196" i="8"/>
  <c r="DV195" i="8"/>
  <c r="DV194" i="8"/>
  <c r="DV193" i="8"/>
  <c r="DV192" i="8"/>
  <c r="DV191" i="8"/>
  <c r="DV190" i="8"/>
  <c r="DV189" i="8"/>
  <c r="DV188" i="8"/>
  <c r="DV187" i="8"/>
  <c r="DV186" i="8"/>
  <c r="DV184" i="8"/>
  <c r="DR242" i="8"/>
  <c r="DR245" i="8" s="1"/>
  <c r="DR236" i="8"/>
  <c r="DS235" i="8"/>
  <c r="DT235" i="8" s="1"/>
  <c r="DS234" i="8"/>
  <c r="DT234" i="8" s="1"/>
  <c r="DS233" i="8"/>
  <c r="DT233" i="8" s="1"/>
  <c r="DS232" i="8"/>
  <c r="DT232" i="8" s="1"/>
  <c r="DS231" i="8"/>
  <c r="DT231" i="8" s="1"/>
  <c r="DS230" i="8"/>
  <c r="DT230" i="8" s="1"/>
  <c r="DS229" i="8"/>
  <c r="DT229" i="8" s="1"/>
  <c r="DS228" i="8"/>
  <c r="DT228" i="8" s="1"/>
  <c r="DS227" i="8"/>
  <c r="DT227" i="8" s="1"/>
  <c r="DS226" i="8"/>
  <c r="DT226" i="8" s="1"/>
  <c r="DS225" i="8"/>
  <c r="DT225" i="8" s="1"/>
  <c r="DS224" i="8"/>
  <c r="DT224" i="8" s="1"/>
  <c r="DS223" i="8"/>
  <c r="DT223" i="8" s="1"/>
  <c r="DS222" i="8"/>
  <c r="DT222" i="8" s="1"/>
  <c r="DS221" i="8"/>
  <c r="DT221" i="8" s="1"/>
  <c r="DS220" i="8"/>
  <c r="DT220" i="8" s="1"/>
  <c r="DS219" i="8"/>
  <c r="DT219" i="8" s="1"/>
  <c r="DS218" i="8"/>
  <c r="DT218" i="8" s="1"/>
  <c r="DS217" i="8"/>
  <c r="DT217" i="8" s="1"/>
  <c r="DS216" i="8"/>
  <c r="DT216" i="8" s="1"/>
  <c r="DS215" i="8"/>
  <c r="DT215" i="8" s="1"/>
  <c r="DS214" i="8"/>
  <c r="DT214" i="8" s="1"/>
  <c r="DS213" i="8"/>
  <c r="DT213" i="8" s="1"/>
  <c r="DS212" i="8"/>
  <c r="DT212" i="8" s="1"/>
  <c r="DS211" i="8"/>
  <c r="DT211" i="8" s="1"/>
  <c r="DS210" i="8"/>
  <c r="DT210" i="8" s="1"/>
  <c r="DS209" i="8"/>
  <c r="DT209" i="8" s="1"/>
  <c r="DS208" i="8"/>
  <c r="DT208" i="8" s="1"/>
  <c r="DS207" i="8"/>
  <c r="DT207" i="8" s="1"/>
  <c r="DS206" i="8"/>
  <c r="DT206" i="8" s="1"/>
  <c r="DS205" i="8"/>
  <c r="DT205" i="8" s="1"/>
  <c r="DS204" i="8"/>
  <c r="DT204" i="8" s="1"/>
  <c r="DS203" i="8"/>
  <c r="DT203" i="8" s="1"/>
  <c r="DS202" i="8"/>
  <c r="DT202" i="8" s="1"/>
  <c r="DS201" i="8"/>
  <c r="DT201" i="8" s="1"/>
  <c r="DS200" i="8"/>
  <c r="DT200" i="8" s="1"/>
  <c r="DS199" i="8"/>
  <c r="DT199" i="8" s="1"/>
  <c r="DS198" i="8"/>
  <c r="DT198" i="8" s="1"/>
  <c r="DS197" i="8"/>
  <c r="DT197" i="8" s="1"/>
  <c r="DS196" i="8"/>
  <c r="DS195" i="8"/>
  <c r="DS194" i="8"/>
  <c r="DS193" i="8"/>
  <c r="DS192" i="8"/>
  <c r="DS191" i="8"/>
  <c r="DS190" i="8"/>
  <c r="DS189" i="8"/>
  <c r="DS188" i="8"/>
  <c r="DS187" i="8"/>
  <c r="DS186" i="8"/>
  <c r="DS184" i="8"/>
  <c r="DO242" i="8"/>
  <c r="DO245" i="8" s="1"/>
  <c r="DO236" i="8"/>
  <c r="DP235" i="8"/>
  <c r="DQ235" i="8" s="1"/>
  <c r="DP234" i="8"/>
  <c r="DQ234" i="8" s="1"/>
  <c r="DP233" i="8"/>
  <c r="DQ233" i="8" s="1"/>
  <c r="DP232" i="8"/>
  <c r="DQ232" i="8" s="1"/>
  <c r="DP231" i="8"/>
  <c r="DQ231" i="8" s="1"/>
  <c r="DP230" i="8"/>
  <c r="DQ230" i="8" s="1"/>
  <c r="DP229" i="8"/>
  <c r="DQ229" i="8" s="1"/>
  <c r="DP228" i="8"/>
  <c r="DQ228" i="8" s="1"/>
  <c r="DP227" i="8"/>
  <c r="DQ227" i="8" s="1"/>
  <c r="DP226" i="8"/>
  <c r="DQ226" i="8" s="1"/>
  <c r="DP225" i="8"/>
  <c r="DQ225" i="8" s="1"/>
  <c r="DP224" i="8"/>
  <c r="DQ224" i="8" s="1"/>
  <c r="DP223" i="8"/>
  <c r="DQ223" i="8" s="1"/>
  <c r="DP222" i="8"/>
  <c r="DQ222" i="8" s="1"/>
  <c r="DP221" i="8"/>
  <c r="DQ221" i="8" s="1"/>
  <c r="DP220" i="8"/>
  <c r="DQ220" i="8" s="1"/>
  <c r="DP219" i="8"/>
  <c r="DQ219" i="8" s="1"/>
  <c r="DP218" i="8"/>
  <c r="DQ218" i="8" s="1"/>
  <c r="DP217" i="8"/>
  <c r="DQ217" i="8" s="1"/>
  <c r="DP216" i="8"/>
  <c r="DQ216" i="8" s="1"/>
  <c r="DP215" i="8"/>
  <c r="DQ215" i="8" s="1"/>
  <c r="DP214" i="8"/>
  <c r="DQ214" i="8" s="1"/>
  <c r="DP213" i="8"/>
  <c r="DQ213" i="8" s="1"/>
  <c r="DP212" i="8"/>
  <c r="DQ212" i="8" s="1"/>
  <c r="DP211" i="8"/>
  <c r="DQ211" i="8" s="1"/>
  <c r="DP210" i="8"/>
  <c r="DQ210" i="8" s="1"/>
  <c r="DP209" i="8"/>
  <c r="DQ209" i="8" s="1"/>
  <c r="DP208" i="8"/>
  <c r="DQ208" i="8" s="1"/>
  <c r="DP207" i="8"/>
  <c r="DQ207" i="8" s="1"/>
  <c r="DP206" i="8"/>
  <c r="DQ206" i="8" s="1"/>
  <c r="DP205" i="8"/>
  <c r="DQ205" i="8" s="1"/>
  <c r="DP204" i="8"/>
  <c r="DQ204" i="8" s="1"/>
  <c r="DP203" i="8"/>
  <c r="DQ203" i="8" s="1"/>
  <c r="DP202" i="8"/>
  <c r="DQ202" i="8" s="1"/>
  <c r="DP201" i="8"/>
  <c r="DQ201" i="8" s="1"/>
  <c r="DP200" i="8"/>
  <c r="DQ200" i="8" s="1"/>
  <c r="DP199" i="8"/>
  <c r="DQ199" i="8" s="1"/>
  <c r="DP198" i="8"/>
  <c r="DQ198" i="8" s="1"/>
  <c r="DP197" i="8"/>
  <c r="DQ197" i="8" s="1"/>
  <c r="DP196" i="8"/>
  <c r="DP195" i="8"/>
  <c r="DP194" i="8"/>
  <c r="DP193" i="8"/>
  <c r="DP192" i="8"/>
  <c r="DP191" i="8"/>
  <c r="DP190" i="8"/>
  <c r="DP189" i="8"/>
  <c r="DP188" i="8"/>
  <c r="DP187" i="8"/>
  <c r="DP186" i="8"/>
  <c r="DP184" i="8"/>
  <c r="DL242" i="8"/>
  <c r="DL245" i="8" s="1"/>
  <c r="DL236" i="8"/>
  <c r="DM235" i="8"/>
  <c r="DN235" i="8" s="1"/>
  <c r="DM234" i="8"/>
  <c r="DN234" i="8" s="1"/>
  <c r="DM233" i="8"/>
  <c r="DN233" i="8" s="1"/>
  <c r="DM232" i="8"/>
  <c r="DN232" i="8" s="1"/>
  <c r="DM231" i="8"/>
  <c r="DN231" i="8" s="1"/>
  <c r="DM230" i="8"/>
  <c r="DN230" i="8" s="1"/>
  <c r="DM229" i="8"/>
  <c r="DN229" i="8" s="1"/>
  <c r="DM228" i="8"/>
  <c r="DN228" i="8" s="1"/>
  <c r="DM227" i="8"/>
  <c r="DN227" i="8" s="1"/>
  <c r="DM226" i="8"/>
  <c r="DN226" i="8" s="1"/>
  <c r="DM225" i="8"/>
  <c r="DN225" i="8" s="1"/>
  <c r="DM224" i="8"/>
  <c r="DN224" i="8" s="1"/>
  <c r="DM223" i="8"/>
  <c r="DN223" i="8" s="1"/>
  <c r="DM222" i="8"/>
  <c r="DN222" i="8" s="1"/>
  <c r="DM221" i="8"/>
  <c r="DN221" i="8" s="1"/>
  <c r="DM220" i="8"/>
  <c r="DN220" i="8" s="1"/>
  <c r="DM219" i="8"/>
  <c r="DN219" i="8" s="1"/>
  <c r="DM218" i="8"/>
  <c r="DN218" i="8" s="1"/>
  <c r="DM217" i="8"/>
  <c r="DN217" i="8" s="1"/>
  <c r="DM216" i="8"/>
  <c r="DN216" i="8" s="1"/>
  <c r="DM215" i="8"/>
  <c r="DN215" i="8" s="1"/>
  <c r="DM214" i="8"/>
  <c r="DN214" i="8" s="1"/>
  <c r="DM213" i="8"/>
  <c r="DN213" i="8" s="1"/>
  <c r="DM212" i="8"/>
  <c r="DN212" i="8" s="1"/>
  <c r="DM211" i="8"/>
  <c r="DN211" i="8" s="1"/>
  <c r="DM210" i="8"/>
  <c r="DN210" i="8" s="1"/>
  <c r="DM209" i="8"/>
  <c r="DN209" i="8" s="1"/>
  <c r="DM208" i="8"/>
  <c r="DN208" i="8" s="1"/>
  <c r="DM207" i="8"/>
  <c r="DN207" i="8" s="1"/>
  <c r="DM206" i="8"/>
  <c r="DN206" i="8" s="1"/>
  <c r="DM205" i="8"/>
  <c r="DN205" i="8" s="1"/>
  <c r="DM204" i="8"/>
  <c r="DN204" i="8" s="1"/>
  <c r="DM203" i="8"/>
  <c r="DN203" i="8" s="1"/>
  <c r="DM202" i="8"/>
  <c r="DN202" i="8" s="1"/>
  <c r="DM201" i="8"/>
  <c r="DN201" i="8" s="1"/>
  <c r="DM200" i="8"/>
  <c r="DN200" i="8" s="1"/>
  <c r="DM199" i="8"/>
  <c r="DN199" i="8" s="1"/>
  <c r="DM198" i="8"/>
  <c r="DN198" i="8" s="1"/>
  <c r="DM197" i="8"/>
  <c r="DN197" i="8" s="1"/>
  <c r="DM196" i="8"/>
  <c r="DM195" i="8"/>
  <c r="DM194" i="8"/>
  <c r="DM193" i="8"/>
  <c r="DM192" i="8"/>
  <c r="DM191" i="8"/>
  <c r="DM190" i="8"/>
  <c r="DM189" i="8"/>
  <c r="DM188" i="8"/>
  <c r="DM187" i="8"/>
  <c r="DM186" i="8"/>
  <c r="DM184" i="8"/>
  <c r="DI242" i="8"/>
  <c r="DI245" i="8" s="1"/>
  <c r="DI236" i="8"/>
  <c r="DJ235" i="8"/>
  <c r="DK235" i="8" s="1"/>
  <c r="DJ234" i="8"/>
  <c r="DK234" i="8" s="1"/>
  <c r="DJ233" i="8"/>
  <c r="DK233" i="8" s="1"/>
  <c r="DJ232" i="8"/>
  <c r="DK232" i="8" s="1"/>
  <c r="DJ231" i="8"/>
  <c r="DK231" i="8" s="1"/>
  <c r="DJ230" i="8"/>
  <c r="DK230" i="8" s="1"/>
  <c r="DJ229" i="8"/>
  <c r="DK229" i="8" s="1"/>
  <c r="DJ228" i="8"/>
  <c r="DK228" i="8" s="1"/>
  <c r="DJ227" i="8"/>
  <c r="DK227" i="8" s="1"/>
  <c r="DJ226" i="8"/>
  <c r="DK226" i="8" s="1"/>
  <c r="DJ225" i="8"/>
  <c r="DK225" i="8" s="1"/>
  <c r="DJ224" i="8"/>
  <c r="DK224" i="8" s="1"/>
  <c r="DJ223" i="8"/>
  <c r="DK223" i="8" s="1"/>
  <c r="DJ222" i="8"/>
  <c r="DK222" i="8" s="1"/>
  <c r="DJ221" i="8"/>
  <c r="DK221" i="8" s="1"/>
  <c r="DJ220" i="8"/>
  <c r="DK220" i="8" s="1"/>
  <c r="DJ219" i="8"/>
  <c r="DK219" i="8" s="1"/>
  <c r="DJ218" i="8"/>
  <c r="DK218" i="8" s="1"/>
  <c r="DJ217" i="8"/>
  <c r="DK217" i="8" s="1"/>
  <c r="DJ216" i="8"/>
  <c r="DK216" i="8" s="1"/>
  <c r="DJ215" i="8"/>
  <c r="DK215" i="8" s="1"/>
  <c r="DJ214" i="8"/>
  <c r="DK214" i="8" s="1"/>
  <c r="DJ213" i="8"/>
  <c r="DK213" i="8" s="1"/>
  <c r="DJ212" i="8"/>
  <c r="DK212" i="8" s="1"/>
  <c r="DJ211" i="8"/>
  <c r="DK211" i="8" s="1"/>
  <c r="DJ210" i="8"/>
  <c r="DK210" i="8" s="1"/>
  <c r="DJ209" i="8"/>
  <c r="DK209" i="8" s="1"/>
  <c r="DJ208" i="8"/>
  <c r="DK208" i="8" s="1"/>
  <c r="DJ207" i="8"/>
  <c r="DK207" i="8" s="1"/>
  <c r="DJ206" i="8"/>
  <c r="DK206" i="8" s="1"/>
  <c r="DJ205" i="8"/>
  <c r="DK205" i="8" s="1"/>
  <c r="DJ204" i="8"/>
  <c r="DK204" i="8" s="1"/>
  <c r="DJ203" i="8"/>
  <c r="DK203" i="8" s="1"/>
  <c r="DJ202" i="8"/>
  <c r="DK202" i="8" s="1"/>
  <c r="DJ201" i="8"/>
  <c r="DK201" i="8" s="1"/>
  <c r="DJ200" i="8"/>
  <c r="DK200" i="8" s="1"/>
  <c r="DJ199" i="8"/>
  <c r="DK199" i="8" s="1"/>
  <c r="DJ198" i="8"/>
  <c r="DK198" i="8" s="1"/>
  <c r="DJ197" i="8"/>
  <c r="DK197" i="8" s="1"/>
  <c r="DJ196" i="8"/>
  <c r="DJ195" i="8"/>
  <c r="DJ194" i="8"/>
  <c r="DJ193" i="8"/>
  <c r="DJ192" i="8"/>
  <c r="DJ191" i="8"/>
  <c r="DJ190" i="8"/>
  <c r="DJ189" i="8"/>
  <c r="DJ188" i="8"/>
  <c r="DJ187" i="8"/>
  <c r="DJ186" i="8"/>
  <c r="DJ184" i="8"/>
  <c r="DF242" i="8"/>
  <c r="DF245" i="8" s="1"/>
  <c r="DF236" i="8"/>
  <c r="DG235" i="8"/>
  <c r="DH235" i="8" s="1"/>
  <c r="DG234" i="8"/>
  <c r="DH234" i="8" s="1"/>
  <c r="DG233" i="8"/>
  <c r="DH233" i="8" s="1"/>
  <c r="DG232" i="8"/>
  <c r="DH232" i="8" s="1"/>
  <c r="DG231" i="8"/>
  <c r="DH231" i="8" s="1"/>
  <c r="DG230" i="8"/>
  <c r="DH230" i="8" s="1"/>
  <c r="DG229" i="8"/>
  <c r="DH229" i="8" s="1"/>
  <c r="DG228" i="8"/>
  <c r="DH228" i="8" s="1"/>
  <c r="DG227" i="8"/>
  <c r="DH227" i="8" s="1"/>
  <c r="DG226" i="8"/>
  <c r="DH226" i="8" s="1"/>
  <c r="DG225" i="8"/>
  <c r="DH225" i="8" s="1"/>
  <c r="DG224" i="8"/>
  <c r="DH224" i="8" s="1"/>
  <c r="DG223" i="8"/>
  <c r="DH223" i="8" s="1"/>
  <c r="DG222" i="8"/>
  <c r="DH222" i="8" s="1"/>
  <c r="DG221" i="8"/>
  <c r="DH221" i="8" s="1"/>
  <c r="DG220" i="8"/>
  <c r="DH220" i="8" s="1"/>
  <c r="DG219" i="8"/>
  <c r="DH219" i="8" s="1"/>
  <c r="DG218" i="8"/>
  <c r="DH218" i="8" s="1"/>
  <c r="DG217" i="8"/>
  <c r="DH217" i="8" s="1"/>
  <c r="DG216" i="8"/>
  <c r="DH216" i="8" s="1"/>
  <c r="DG215" i="8"/>
  <c r="DH215" i="8" s="1"/>
  <c r="DG214" i="8"/>
  <c r="DH214" i="8" s="1"/>
  <c r="DG213" i="8"/>
  <c r="DH213" i="8" s="1"/>
  <c r="DG212" i="8"/>
  <c r="DH212" i="8" s="1"/>
  <c r="DG211" i="8"/>
  <c r="DH211" i="8" s="1"/>
  <c r="DG210" i="8"/>
  <c r="DH210" i="8" s="1"/>
  <c r="DG209" i="8"/>
  <c r="DH209" i="8" s="1"/>
  <c r="DG208" i="8"/>
  <c r="DH208" i="8" s="1"/>
  <c r="DG207" i="8"/>
  <c r="DH207" i="8" s="1"/>
  <c r="DG206" i="8"/>
  <c r="DH206" i="8" s="1"/>
  <c r="DG205" i="8"/>
  <c r="DH205" i="8" s="1"/>
  <c r="DG204" i="8"/>
  <c r="DH204" i="8" s="1"/>
  <c r="DG203" i="8"/>
  <c r="DH203" i="8" s="1"/>
  <c r="DG202" i="8"/>
  <c r="DH202" i="8" s="1"/>
  <c r="DG201" i="8"/>
  <c r="DH201" i="8" s="1"/>
  <c r="DG200" i="8"/>
  <c r="DH200" i="8" s="1"/>
  <c r="DG199" i="8"/>
  <c r="DH199" i="8" s="1"/>
  <c r="DG198" i="8"/>
  <c r="DH198" i="8" s="1"/>
  <c r="DG197" i="8"/>
  <c r="DH197" i="8" s="1"/>
  <c r="DG196" i="8"/>
  <c r="DG195" i="8"/>
  <c r="DG194" i="8"/>
  <c r="DG193" i="8"/>
  <c r="DG192" i="8"/>
  <c r="DG191" i="8"/>
  <c r="DG190" i="8"/>
  <c r="DG189" i="8"/>
  <c r="DG188" i="8"/>
  <c r="DG187" i="8"/>
  <c r="DG186" i="8"/>
  <c r="DG184" i="8"/>
  <c r="DC242" i="8"/>
  <c r="DC245" i="8" s="1"/>
  <c r="DC236" i="8"/>
  <c r="DD235" i="8"/>
  <c r="DE235" i="8" s="1"/>
  <c r="DD234" i="8"/>
  <c r="DE234" i="8" s="1"/>
  <c r="DD233" i="8"/>
  <c r="DE233" i="8" s="1"/>
  <c r="DD232" i="8"/>
  <c r="DE232" i="8" s="1"/>
  <c r="DD231" i="8"/>
  <c r="DE231" i="8" s="1"/>
  <c r="DD230" i="8"/>
  <c r="DE230" i="8" s="1"/>
  <c r="DD229" i="8"/>
  <c r="DE229" i="8" s="1"/>
  <c r="DD228" i="8"/>
  <c r="DE228" i="8" s="1"/>
  <c r="DD227" i="8"/>
  <c r="DE227" i="8" s="1"/>
  <c r="DD226" i="8"/>
  <c r="DE226" i="8" s="1"/>
  <c r="DD225" i="8"/>
  <c r="DE225" i="8" s="1"/>
  <c r="DD224" i="8"/>
  <c r="DE224" i="8" s="1"/>
  <c r="DD223" i="8"/>
  <c r="DE223" i="8" s="1"/>
  <c r="DD222" i="8"/>
  <c r="DE222" i="8" s="1"/>
  <c r="DD221" i="8"/>
  <c r="DE221" i="8" s="1"/>
  <c r="DD220" i="8"/>
  <c r="DE220" i="8" s="1"/>
  <c r="DD219" i="8"/>
  <c r="DE219" i="8" s="1"/>
  <c r="DD218" i="8"/>
  <c r="DE218" i="8" s="1"/>
  <c r="DD217" i="8"/>
  <c r="DE217" i="8" s="1"/>
  <c r="DD216" i="8"/>
  <c r="DE216" i="8" s="1"/>
  <c r="DD215" i="8"/>
  <c r="DE215" i="8" s="1"/>
  <c r="DD214" i="8"/>
  <c r="DE214" i="8" s="1"/>
  <c r="DD213" i="8"/>
  <c r="DE213" i="8" s="1"/>
  <c r="DD212" i="8"/>
  <c r="DE212" i="8" s="1"/>
  <c r="DD211" i="8"/>
  <c r="DE211" i="8" s="1"/>
  <c r="DD210" i="8"/>
  <c r="DE210" i="8" s="1"/>
  <c r="DD209" i="8"/>
  <c r="DE209" i="8" s="1"/>
  <c r="DD208" i="8"/>
  <c r="DE208" i="8" s="1"/>
  <c r="DD207" i="8"/>
  <c r="DE207" i="8" s="1"/>
  <c r="DD206" i="8"/>
  <c r="DE206" i="8" s="1"/>
  <c r="DD205" i="8"/>
  <c r="DE205" i="8" s="1"/>
  <c r="DD204" i="8"/>
  <c r="DE204" i="8" s="1"/>
  <c r="DD203" i="8"/>
  <c r="DE203" i="8" s="1"/>
  <c r="DD202" i="8"/>
  <c r="DE202" i="8" s="1"/>
  <c r="DD201" i="8"/>
  <c r="DE201" i="8" s="1"/>
  <c r="DD200" i="8"/>
  <c r="DE200" i="8" s="1"/>
  <c r="DD199" i="8"/>
  <c r="DE199" i="8" s="1"/>
  <c r="DD198" i="8"/>
  <c r="DE198" i="8" s="1"/>
  <c r="DD197" i="8"/>
  <c r="DE197" i="8" s="1"/>
  <c r="DD196" i="8"/>
  <c r="DD195" i="8"/>
  <c r="DD194" i="8"/>
  <c r="DD193" i="8"/>
  <c r="DD192" i="8"/>
  <c r="DD191" i="8"/>
  <c r="DD190" i="8"/>
  <c r="DD189" i="8"/>
  <c r="DD188" i="8"/>
  <c r="DD187" i="8"/>
  <c r="DD186" i="8"/>
  <c r="DD184" i="8"/>
  <c r="CZ242" i="8"/>
  <c r="CZ245" i="8" s="1"/>
  <c r="CZ236" i="8"/>
  <c r="DA235" i="8"/>
  <c r="DB235" i="8" s="1"/>
  <c r="DA234" i="8"/>
  <c r="DB234" i="8" s="1"/>
  <c r="DA233" i="8"/>
  <c r="DB233" i="8" s="1"/>
  <c r="DA232" i="8"/>
  <c r="DB232" i="8" s="1"/>
  <c r="DA231" i="8"/>
  <c r="DB231" i="8" s="1"/>
  <c r="DA230" i="8"/>
  <c r="DB230" i="8" s="1"/>
  <c r="DA229" i="8"/>
  <c r="DB229" i="8" s="1"/>
  <c r="DA228" i="8"/>
  <c r="DB228" i="8" s="1"/>
  <c r="DA227" i="8"/>
  <c r="DB227" i="8" s="1"/>
  <c r="DA226" i="8"/>
  <c r="DB226" i="8" s="1"/>
  <c r="DA225" i="8"/>
  <c r="DB225" i="8" s="1"/>
  <c r="DA224" i="8"/>
  <c r="DB224" i="8" s="1"/>
  <c r="DA223" i="8"/>
  <c r="DB223" i="8" s="1"/>
  <c r="DA222" i="8"/>
  <c r="DB222" i="8" s="1"/>
  <c r="DA221" i="8"/>
  <c r="DB221" i="8" s="1"/>
  <c r="DA220" i="8"/>
  <c r="DB220" i="8" s="1"/>
  <c r="DA219" i="8"/>
  <c r="DB219" i="8" s="1"/>
  <c r="DA218" i="8"/>
  <c r="DB218" i="8" s="1"/>
  <c r="DA217" i="8"/>
  <c r="DB217" i="8" s="1"/>
  <c r="DA216" i="8"/>
  <c r="DB216" i="8" s="1"/>
  <c r="DA215" i="8"/>
  <c r="DB215" i="8" s="1"/>
  <c r="DA214" i="8"/>
  <c r="DB214" i="8" s="1"/>
  <c r="DA213" i="8"/>
  <c r="DB213" i="8" s="1"/>
  <c r="DA212" i="8"/>
  <c r="DB212" i="8" s="1"/>
  <c r="DA211" i="8"/>
  <c r="DB211" i="8" s="1"/>
  <c r="DA210" i="8"/>
  <c r="DB210" i="8" s="1"/>
  <c r="DA209" i="8"/>
  <c r="DB209" i="8" s="1"/>
  <c r="DA208" i="8"/>
  <c r="DB208" i="8" s="1"/>
  <c r="DA207" i="8"/>
  <c r="DB207" i="8" s="1"/>
  <c r="DA206" i="8"/>
  <c r="DB206" i="8" s="1"/>
  <c r="DA205" i="8"/>
  <c r="DB205" i="8" s="1"/>
  <c r="DA204" i="8"/>
  <c r="DB204" i="8" s="1"/>
  <c r="DA203" i="8"/>
  <c r="DB203" i="8" s="1"/>
  <c r="DA202" i="8"/>
  <c r="DB202" i="8" s="1"/>
  <c r="DA201" i="8"/>
  <c r="DB201" i="8" s="1"/>
  <c r="DA200" i="8"/>
  <c r="DB200" i="8" s="1"/>
  <c r="DA199" i="8"/>
  <c r="DB199" i="8" s="1"/>
  <c r="DA198" i="8"/>
  <c r="DB198" i="8" s="1"/>
  <c r="DA197" i="8"/>
  <c r="DB197" i="8" s="1"/>
  <c r="DA196" i="8"/>
  <c r="DA195" i="8"/>
  <c r="DA194" i="8"/>
  <c r="DA193" i="8"/>
  <c r="DA192" i="8"/>
  <c r="DA191" i="8"/>
  <c r="DA190" i="8"/>
  <c r="DA189" i="8"/>
  <c r="DA188" i="8"/>
  <c r="DA187" i="8"/>
  <c r="DA186" i="8"/>
  <c r="DA184" i="8"/>
  <c r="CW242" i="8"/>
  <c r="CW245" i="8" s="1"/>
  <c r="CW236" i="8"/>
  <c r="CX235" i="8"/>
  <c r="CY235" i="8" s="1"/>
  <c r="CX234" i="8"/>
  <c r="CY234" i="8" s="1"/>
  <c r="CX233" i="8"/>
  <c r="CY233" i="8" s="1"/>
  <c r="CX232" i="8"/>
  <c r="CY232" i="8" s="1"/>
  <c r="CX231" i="8"/>
  <c r="CY231" i="8" s="1"/>
  <c r="CX230" i="8"/>
  <c r="CY230" i="8" s="1"/>
  <c r="CX229" i="8"/>
  <c r="CY229" i="8" s="1"/>
  <c r="CX228" i="8"/>
  <c r="CY228" i="8" s="1"/>
  <c r="CX227" i="8"/>
  <c r="CY227" i="8" s="1"/>
  <c r="CX226" i="8"/>
  <c r="CY226" i="8" s="1"/>
  <c r="CX225" i="8"/>
  <c r="CY225" i="8" s="1"/>
  <c r="CX224" i="8"/>
  <c r="CY224" i="8" s="1"/>
  <c r="CX223" i="8"/>
  <c r="CY223" i="8" s="1"/>
  <c r="CX222" i="8"/>
  <c r="CY222" i="8" s="1"/>
  <c r="CX221" i="8"/>
  <c r="CY221" i="8" s="1"/>
  <c r="CX220" i="8"/>
  <c r="CY220" i="8" s="1"/>
  <c r="CX219" i="8"/>
  <c r="CY219" i="8" s="1"/>
  <c r="CX218" i="8"/>
  <c r="CY218" i="8" s="1"/>
  <c r="CX217" i="8"/>
  <c r="CY217" i="8" s="1"/>
  <c r="CX216" i="8"/>
  <c r="CY216" i="8" s="1"/>
  <c r="CX215" i="8"/>
  <c r="CY215" i="8" s="1"/>
  <c r="CX214" i="8"/>
  <c r="CY214" i="8" s="1"/>
  <c r="CX213" i="8"/>
  <c r="CY213" i="8" s="1"/>
  <c r="CX212" i="8"/>
  <c r="CY212" i="8" s="1"/>
  <c r="CX211" i="8"/>
  <c r="CY211" i="8" s="1"/>
  <c r="CX210" i="8"/>
  <c r="CY210" i="8" s="1"/>
  <c r="CX209" i="8"/>
  <c r="CY209" i="8" s="1"/>
  <c r="CX208" i="8"/>
  <c r="CY208" i="8" s="1"/>
  <c r="CX207" i="8"/>
  <c r="CY207" i="8" s="1"/>
  <c r="CX206" i="8"/>
  <c r="CY206" i="8" s="1"/>
  <c r="CX205" i="8"/>
  <c r="CY205" i="8" s="1"/>
  <c r="CX204" i="8"/>
  <c r="CY204" i="8" s="1"/>
  <c r="CX203" i="8"/>
  <c r="CY203" i="8" s="1"/>
  <c r="CX202" i="8"/>
  <c r="CY202" i="8" s="1"/>
  <c r="CX201" i="8"/>
  <c r="CY201" i="8" s="1"/>
  <c r="CX200" i="8"/>
  <c r="CY200" i="8" s="1"/>
  <c r="CX199" i="8"/>
  <c r="CY199" i="8" s="1"/>
  <c r="CX198" i="8"/>
  <c r="CY198" i="8" s="1"/>
  <c r="CX197" i="8"/>
  <c r="CY197" i="8" s="1"/>
  <c r="CX196" i="8"/>
  <c r="CX195" i="8"/>
  <c r="CX194" i="8"/>
  <c r="CX193" i="8"/>
  <c r="CX192" i="8"/>
  <c r="CX191" i="8"/>
  <c r="CX190" i="8"/>
  <c r="CX189" i="8"/>
  <c r="CX188" i="8"/>
  <c r="CX187" i="8"/>
  <c r="CX186" i="8"/>
  <c r="CX184" i="8"/>
  <c r="CT242" i="8"/>
  <c r="CT245" i="8" s="1"/>
  <c r="CT236" i="8"/>
  <c r="CU235" i="8"/>
  <c r="CV235" i="8" s="1"/>
  <c r="CU234" i="8"/>
  <c r="CV234" i="8" s="1"/>
  <c r="CU233" i="8"/>
  <c r="CV233" i="8" s="1"/>
  <c r="CU232" i="8"/>
  <c r="CV232" i="8" s="1"/>
  <c r="CU231" i="8"/>
  <c r="CV231" i="8" s="1"/>
  <c r="CU230" i="8"/>
  <c r="CV230" i="8" s="1"/>
  <c r="CU229" i="8"/>
  <c r="CV229" i="8" s="1"/>
  <c r="CU228" i="8"/>
  <c r="CV228" i="8" s="1"/>
  <c r="CU227" i="8"/>
  <c r="CV227" i="8" s="1"/>
  <c r="CU226" i="8"/>
  <c r="CV226" i="8" s="1"/>
  <c r="CU225" i="8"/>
  <c r="CV225" i="8" s="1"/>
  <c r="CU224" i="8"/>
  <c r="CV224" i="8" s="1"/>
  <c r="CU223" i="8"/>
  <c r="CV223" i="8" s="1"/>
  <c r="CU222" i="8"/>
  <c r="CV222" i="8" s="1"/>
  <c r="CU221" i="8"/>
  <c r="CV221" i="8" s="1"/>
  <c r="CU220" i="8"/>
  <c r="CV220" i="8" s="1"/>
  <c r="CU219" i="8"/>
  <c r="CV219" i="8" s="1"/>
  <c r="CU218" i="8"/>
  <c r="CV218" i="8" s="1"/>
  <c r="CU217" i="8"/>
  <c r="CV217" i="8" s="1"/>
  <c r="CU216" i="8"/>
  <c r="CV216" i="8" s="1"/>
  <c r="CU215" i="8"/>
  <c r="CV215" i="8" s="1"/>
  <c r="CU214" i="8"/>
  <c r="CV214" i="8" s="1"/>
  <c r="CU213" i="8"/>
  <c r="CV213" i="8" s="1"/>
  <c r="CU212" i="8"/>
  <c r="CV212" i="8" s="1"/>
  <c r="CU211" i="8"/>
  <c r="CV211" i="8" s="1"/>
  <c r="CU210" i="8"/>
  <c r="CV210" i="8" s="1"/>
  <c r="CU209" i="8"/>
  <c r="CV209" i="8" s="1"/>
  <c r="CU208" i="8"/>
  <c r="CV208" i="8" s="1"/>
  <c r="CU207" i="8"/>
  <c r="CV207" i="8" s="1"/>
  <c r="CU206" i="8"/>
  <c r="CV206" i="8" s="1"/>
  <c r="CU205" i="8"/>
  <c r="CV205" i="8" s="1"/>
  <c r="CU204" i="8"/>
  <c r="CV204" i="8" s="1"/>
  <c r="CU203" i="8"/>
  <c r="CV203" i="8" s="1"/>
  <c r="CU202" i="8"/>
  <c r="CV202" i="8" s="1"/>
  <c r="CU201" i="8"/>
  <c r="CV201" i="8" s="1"/>
  <c r="CU200" i="8"/>
  <c r="CV200" i="8" s="1"/>
  <c r="CU199" i="8"/>
  <c r="CV199" i="8" s="1"/>
  <c r="CU198" i="8"/>
  <c r="CV198" i="8" s="1"/>
  <c r="CU197" i="8"/>
  <c r="CV197" i="8" s="1"/>
  <c r="CU196" i="8"/>
  <c r="CU195" i="8"/>
  <c r="CU194" i="8"/>
  <c r="CU193" i="8"/>
  <c r="CU192" i="8"/>
  <c r="CU191" i="8"/>
  <c r="CU190" i="8"/>
  <c r="CU189" i="8"/>
  <c r="CU188" i="8"/>
  <c r="CU187" i="8"/>
  <c r="CU186" i="8"/>
  <c r="CU184" i="8"/>
  <c r="CQ242" i="8"/>
  <c r="CQ245" i="8" s="1"/>
  <c r="CQ236" i="8"/>
  <c r="CR235" i="8"/>
  <c r="CS235" i="8" s="1"/>
  <c r="CR234" i="8"/>
  <c r="CS234" i="8" s="1"/>
  <c r="CR233" i="8"/>
  <c r="CS233" i="8" s="1"/>
  <c r="CR232" i="8"/>
  <c r="CS232" i="8" s="1"/>
  <c r="CR231" i="8"/>
  <c r="CS231" i="8" s="1"/>
  <c r="CR230" i="8"/>
  <c r="CS230" i="8" s="1"/>
  <c r="CR229" i="8"/>
  <c r="CS229" i="8" s="1"/>
  <c r="CR228" i="8"/>
  <c r="CS228" i="8" s="1"/>
  <c r="CR227" i="8"/>
  <c r="CS227" i="8" s="1"/>
  <c r="CR226" i="8"/>
  <c r="CS226" i="8" s="1"/>
  <c r="CR225" i="8"/>
  <c r="CS225" i="8" s="1"/>
  <c r="CR224" i="8"/>
  <c r="CS224" i="8" s="1"/>
  <c r="CR223" i="8"/>
  <c r="CS223" i="8" s="1"/>
  <c r="CR222" i="8"/>
  <c r="CS222" i="8" s="1"/>
  <c r="CR221" i="8"/>
  <c r="CS221" i="8" s="1"/>
  <c r="CR220" i="8"/>
  <c r="CS220" i="8" s="1"/>
  <c r="CR219" i="8"/>
  <c r="CS219" i="8" s="1"/>
  <c r="CR218" i="8"/>
  <c r="CS218" i="8" s="1"/>
  <c r="CR217" i="8"/>
  <c r="CS217" i="8" s="1"/>
  <c r="CR216" i="8"/>
  <c r="CS216" i="8" s="1"/>
  <c r="CR215" i="8"/>
  <c r="CS215" i="8" s="1"/>
  <c r="CR214" i="8"/>
  <c r="CS214" i="8" s="1"/>
  <c r="CR213" i="8"/>
  <c r="CS213" i="8" s="1"/>
  <c r="CR212" i="8"/>
  <c r="CS212" i="8" s="1"/>
  <c r="CR211" i="8"/>
  <c r="CS211" i="8" s="1"/>
  <c r="CR210" i="8"/>
  <c r="CS210" i="8" s="1"/>
  <c r="CR209" i="8"/>
  <c r="CS209" i="8" s="1"/>
  <c r="CR208" i="8"/>
  <c r="CS208" i="8" s="1"/>
  <c r="CR207" i="8"/>
  <c r="CS207" i="8" s="1"/>
  <c r="CR206" i="8"/>
  <c r="CS206" i="8" s="1"/>
  <c r="CR205" i="8"/>
  <c r="CS205" i="8" s="1"/>
  <c r="CR204" i="8"/>
  <c r="CS204" i="8" s="1"/>
  <c r="CR203" i="8"/>
  <c r="CS203" i="8" s="1"/>
  <c r="CR202" i="8"/>
  <c r="CS202" i="8" s="1"/>
  <c r="CR201" i="8"/>
  <c r="CS201" i="8" s="1"/>
  <c r="CR200" i="8"/>
  <c r="CS200" i="8" s="1"/>
  <c r="CR199" i="8"/>
  <c r="CS199" i="8" s="1"/>
  <c r="CR198" i="8"/>
  <c r="CS198" i="8" s="1"/>
  <c r="CR197" i="8"/>
  <c r="CS197" i="8" s="1"/>
  <c r="CR196" i="8"/>
  <c r="CR195" i="8"/>
  <c r="CR194" i="8"/>
  <c r="CR193" i="8"/>
  <c r="CR192" i="8"/>
  <c r="CR191" i="8"/>
  <c r="CR190" i="8"/>
  <c r="CR189" i="8"/>
  <c r="CR188" i="8"/>
  <c r="CR187" i="8"/>
  <c r="CR186" i="8"/>
  <c r="CR184" i="8"/>
  <c r="CN242" i="8"/>
  <c r="CN245" i="8" s="1"/>
  <c r="CN236" i="8"/>
  <c r="CO235" i="8"/>
  <c r="CP235" i="8" s="1"/>
  <c r="CO234" i="8"/>
  <c r="CP234" i="8" s="1"/>
  <c r="CO233" i="8"/>
  <c r="CP233" i="8" s="1"/>
  <c r="CO232" i="8"/>
  <c r="CP232" i="8" s="1"/>
  <c r="CO231" i="8"/>
  <c r="CP231" i="8" s="1"/>
  <c r="CO230" i="8"/>
  <c r="CP230" i="8" s="1"/>
  <c r="CO229" i="8"/>
  <c r="CP229" i="8" s="1"/>
  <c r="CO228" i="8"/>
  <c r="CP228" i="8" s="1"/>
  <c r="CO227" i="8"/>
  <c r="CP227" i="8" s="1"/>
  <c r="CO226" i="8"/>
  <c r="CP226" i="8" s="1"/>
  <c r="CO225" i="8"/>
  <c r="CP225" i="8" s="1"/>
  <c r="CO224" i="8"/>
  <c r="CP224" i="8" s="1"/>
  <c r="CO223" i="8"/>
  <c r="CP223" i="8" s="1"/>
  <c r="CO222" i="8"/>
  <c r="CP222" i="8" s="1"/>
  <c r="CO221" i="8"/>
  <c r="CP221" i="8" s="1"/>
  <c r="CO220" i="8"/>
  <c r="CP220" i="8" s="1"/>
  <c r="CO219" i="8"/>
  <c r="CP219" i="8" s="1"/>
  <c r="CO218" i="8"/>
  <c r="CP218" i="8" s="1"/>
  <c r="CO217" i="8"/>
  <c r="CP217" i="8" s="1"/>
  <c r="CO216" i="8"/>
  <c r="CP216" i="8" s="1"/>
  <c r="CO215" i="8"/>
  <c r="CP215" i="8" s="1"/>
  <c r="CO214" i="8"/>
  <c r="CP214" i="8" s="1"/>
  <c r="CO213" i="8"/>
  <c r="CP213" i="8" s="1"/>
  <c r="CO212" i="8"/>
  <c r="CP212" i="8" s="1"/>
  <c r="CO211" i="8"/>
  <c r="CP211" i="8" s="1"/>
  <c r="CO210" i="8"/>
  <c r="CP210" i="8" s="1"/>
  <c r="CO209" i="8"/>
  <c r="CP209" i="8" s="1"/>
  <c r="CO208" i="8"/>
  <c r="CP208" i="8" s="1"/>
  <c r="CO207" i="8"/>
  <c r="CP207" i="8" s="1"/>
  <c r="CO206" i="8"/>
  <c r="CP206" i="8" s="1"/>
  <c r="CO205" i="8"/>
  <c r="CP205" i="8" s="1"/>
  <c r="CO204" i="8"/>
  <c r="CP204" i="8" s="1"/>
  <c r="CO203" i="8"/>
  <c r="CP203" i="8" s="1"/>
  <c r="CO202" i="8"/>
  <c r="CP202" i="8" s="1"/>
  <c r="CO201" i="8"/>
  <c r="CP201" i="8" s="1"/>
  <c r="CO200" i="8"/>
  <c r="CP200" i="8" s="1"/>
  <c r="CO199" i="8"/>
  <c r="CP199" i="8" s="1"/>
  <c r="CO198" i="8"/>
  <c r="CP198" i="8" s="1"/>
  <c r="CO197" i="8"/>
  <c r="CP197" i="8" s="1"/>
  <c r="CO196" i="8"/>
  <c r="CO195" i="8"/>
  <c r="CO194" i="8"/>
  <c r="CO193" i="8"/>
  <c r="CO192" i="8"/>
  <c r="CO191" i="8"/>
  <c r="CO190" i="8"/>
  <c r="CO189" i="8"/>
  <c r="CO188" i="8"/>
  <c r="CO187" i="8"/>
  <c r="CO186" i="8"/>
  <c r="CO184" i="8"/>
  <c r="CK242" i="8"/>
  <c r="CK245" i="8" s="1"/>
  <c r="CK236" i="8"/>
  <c r="CL235" i="8"/>
  <c r="CM235" i="8" s="1"/>
  <c r="CL234" i="8"/>
  <c r="CM234" i="8" s="1"/>
  <c r="CL233" i="8"/>
  <c r="CM233" i="8" s="1"/>
  <c r="CL232" i="8"/>
  <c r="CM232" i="8" s="1"/>
  <c r="CL231" i="8"/>
  <c r="CM231" i="8" s="1"/>
  <c r="CL230" i="8"/>
  <c r="CM230" i="8" s="1"/>
  <c r="CL229" i="8"/>
  <c r="CM229" i="8" s="1"/>
  <c r="CL228" i="8"/>
  <c r="CM228" i="8" s="1"/>
  <c r="CL227" i="8"/>
  <c r="CM227" i="8" s="1"/>
  <c r="CL226" i="8"/>
  <c r="CM226" i="8" s="1"/>
  <c r="CL225" i="8"/>
  <c r="CM225" i="8" s="1"/>
  <c r="CL224" i="8"/>
  <c r="CM224" i="8" s="1"/>
  <c r="CL223" i="8"/>
  <c r="CM223" i="8" s="1"/>
  <c r="CL222" i="8"/>
  <c r="CM222" i="8" s="1"/>
  <c r="CL221" i="8"/>
  <c r="CM221" i="8" s="1"/>
  <c r="CL220" i="8"/>
  <c r="CM220" i="8" s="1"/>
  <c r="CL219" i="8"/>
  <c r="CM219" i="8" s="1"/>
  <c r="CL218" i="8"/>
  <c r="CM218" i="8" s="1"/>
  <c r="CL217" i="8"/>
  <c r="CM217" i="8" s="1"/>
  <c r="CL216" i="8"/>
  <c r="CM216" i="8" s="1"/>
  <c r="CL215" i="8"/>
  <c r="CM215" i="8" s="1"/>
  <c r="CL214" i="8"/>
  <c r="CM214" i="8" s="1"/>
  <c r="CL213" i="8"/>
  <c r="CM213" i="8" s="1"/>
  <c r="CL212" i="8"/>
  <c r="CM212" i="8" s="1"/>
  <c r="CL211" i="8"/>
  <c r="CM211" i="8" s="1"/>
  <c r="CL210" i="8"/>
  <c r="CM210" i="8" s="1"/>
  <c r="CL209" i="8"/>
  <c r="CM209" i="8" s="1"/>
  <c r="CL208" i="8"/>
  <c r="CM208" i="8" s="1"/>
  <c r="CL207" i="8"/>
  <c r="CM207" i="8" s="1"/>
  <c r="CL206" i="8"/>
  <c r="CM206" i="8" s="1"/>
  <c r="CL205" i="8"/>
  <c r="CM205" i="8" s="1"/>
  <c r="CL204" i="8"/>
  <c r="CM204" i="8" s="1"/>
  <c r="CL203" i="8"/>
  <c r="CM203" i="8" s="1"/>
  <c r="CL202" i="8"/>
  <c r="CM202" i="8" s="1"/>
  <c r="CL201" i="8"/>
  <c r="CM201" i="8" s="1"/>
  <c r="CL200" i="8"/>
  <c r="CM200" i="8" s="1"/>
  <c r="CL199" i="8"/>
  <c r="CM199" i="8" s="1"/>
  <c r="CL198" i="8"/>
  <c r="CM198" i="8" s="1"/>
  <c r="CL197" i="8"/>
  <c r="CM197" i="8" s="1"/>
  <c r="CL196" i="8"/>
  <c r="CL195" i="8"/>
  <c r="CL194" i="8"/>
  <c r="CL193" i="8"/>
  <c r="CL192" i="8"/>
  <c r="CL191" i="8"/>
  <c r="CL190" i="8"/>
  <c r="CL189" i="8"/>
  <c r="CL188" i="8"/>
  <c r="CL187" i="8"/>
  <c r="CL186" i="8"/>
  <c r="CL184" i="8"/>
  <c r="CH242" i="8"/>
  <c r="CH245" i="8" s="1"/>
  <c r="CH236" i="8"/>
  <c r="CI235" i="8"/>
  <c r="CJ235" i="8" s="1"/>
  <c r="CI234" i="8"/>
  <c r="CJ234" i="8" s="1"/>
  <c r="CI233" i="8"/>
  <c r="CJ233" i="8" s="1"/>
  <c r="CI232" i="8"/>
  <c r="CJ232" i="8" s="1"/>
  <c r="CI231" i="8"/>
  <c r="CJ231" i="8" s="1"/>
  <c r="CI230" i="8"/>
  <c r="CJ230" i="8" s="1"/>
  <c r="CI229" i="8"/>
  <c r="CJ229" i="8" s="1"/>
  <c r="CI228" i="8"/>
  <c r="CJ228" i="8" s="1"/>
  <c r="CI227" i="8"/>
  <c r="CJ227" i="8" s="1"/>
  <c r="CI226" i="8"/>
  <c r="CJ226" i="8" s="1"/>
  <c r="CI225" i="8"/>
  <c r="CJ225" i="8" s="1"/>
  <c r="CI224" i="8"/>
  <c r="CJ224" i="8" s="1"/>
  <c r="CI223" i="8"/>
  <c r="CJ223" i="8" s="1"/>
  <c r="CI222" i="8"/>
  <c r="CJ222" i="8" s="1"/>
  <c r="CI221" i="8"/>
  <c r="CJ221" i="8" s="1"/>
  <c r="CI220" i="8"/>
  <c r="CJ220" i="8" s="1"/>
  <c r="CI219" i="8"/>
  <c r="CJ219" i="8" s="1"/>
  <c r="CI218" i="8"/>
  <c r="CJ218" i="8" s="1"/>
  <c r="CI217" i="8"/>
  <c r="CJ217" i="8" s="1"/>
  <c r="CI216" i="8"/>
  <c r="CJ216" i="8" s="1"/>
  <c r="CI215" i="8"/>
  <c r="CJ215" i="8" s="1"/>
  <c r="CI214" i="8"/>
  <c r="CJ214" i="8" s="1"/>
  <c r="CI213" i="8"/>
  <c r="CJ213" i="8" s="1"/>
  <c r="CI212" i="8"/>
  <c r="CJ212" i="8" s="1"/>
  <c r="CI211" i="8"/>
  <c r="CJ211" i="8" s="1"/>
  <c r="CI210" i="8"/>
  <c r="CJ210" i="8" s="1"/>
  <c r="CI209" i="8"/>
  <c r="CJ209" i="8" s="1"/>
  <c r="CI208" i="8"/>
  <c r="CJ208" i="8" s="1"/>
  <c r="CI207" i="8"/>
  <c r="CJ207" i="8" s="1"/>
  <c r="CI206" i="8"/>
  <c r="CJ206" i="8" s="1"/>
  <c r="CI205" i="8"/>
  <c r="CJ205" i="8" s="1"/>
  <c r="CI204" i="8"/>
  <c r="CJ204" i="8" s="1"/>
  <c r="CI203" i="8"/>
  <c r="CJ203" i="8" s="1"/>
  <c r="CI202" i="8"/>
  <c r="CJ202" i="8" s="1"/>
  <c r="CI201" i="8"/>
  <c r="CJ201" i="8" s="1"/>
  <c r="CI200" i="8"/>
  <c r="CJ200" i="8" s="1"/>
  <c r="CI199" i="8"/>
  <c r="CJ199" i="8" s="1"/>
  <c r="CI198" i="8"/>
  <c r="CJ198" i="8" s="1"/>
  <c r="CI197" i="8"/>
  <c r="CJ197" i="8" s="1"/>
  <c r="CI196" i="8"/>
  <c r="CI195" i="8"/>
  <c r="CI194" i="8"/>
  <c r="CI193" i="8"/>
  <c r="CI192" i="8"/>
  <c r="CI191" i="8"/>
  <c r="CI190" i="8"/>
  <c r="CI189" i="8"/>
  <c r="CI188" i="8"/>
  <c r="CI187" i="8"/>
  <c r="CI186" i="8"/>
  <c r="CI184" i="8"/>
  <c r="CE242" i="8"/>
  <c r="CE245" i="8" s="1"/>
  <c r="CE236" i="8"/>
  <c r="CF235" i="8"/>
  <c r="CG235" i="8" s="1"/>
  <c r="CF234" i="8"/>
  <c r="CG234" i="8" s="1"/>
  <c r="CF233" i="8"/>
  <c r="CG233" i="8" s="1"/>
  <c r="CF232" i="8"/>
  <c r="CG232" i="8" s="1"/>
  <c r="CF231" i="8"/>
  <c r="CG231" i="8" s="1"/>
  <c r="CF230" i="8"/>
  <c r="CG230" i="8" s="1"/>
  <c r="CF229" i="8"/>
  <c r="CG229" i="8" s="1"/>
  <c r="CF228" i="8"/>
  <c r="CG228" i="8" s="1"/>
  <c r="CF227" i="8"/>
  <c r="CG227" i="8" s="1"/>
  <c r="CF226" i="8"/>
  <c r="CG226" i="8" s="1"/>
  <c r="CF225" i="8"/>
  <c r="CG225" i="8" s="1"/>
  <c r="CF224" i="8"/>
  <c r="CG224" i="8" s="1"/>
  <c r="CF223" i="8"/>
  <c r="CG223" i="8" s="1"/>
  <c r="CF222" i="8"/>
  <c r="CG222" i="8" s="1"/>
  <c r="CF221" i="8"/>
  <c r="CG221" i="8" s="1"/>
  <c r="CF220" i="8"/>
  <c r="CG220" i="8" s="1"/>
  <c r="CF219" i="8"/>
  <c r="CG219" i="8" s="1"/>
  <c r="CF218" i="8"/>
  <c r="CG218" i="8" s="1"/>
  <c r="CF217" i="8"/>
  <c r="CG217" i="8" s="1"/>
  <c r="CF216" i="8"/>
  <c r="CG216" i="8" s="1"/>
  <c r="CF215" i="8"/>
  <c r="CG215" i="8" s="1"/>
  <c r="CF214" i="8"/>
  <c r="CG214" i="8" s="1"/>
  <c r="CF213" i="8"/>
  <c r="CG213" i="8" s="1"/>
  <c r="CF212" i="8"/>
  <c r="CG212" i="8" s="1"/>
  <c r="CF211" i="8"/>
  <c r="CG211" i="8" s="1"/>
  <c r="CF210" i="8"/>
  <c r="CG210" i="8" s="1"/>
  <c r="CF209" i="8"/>
  <c r="CG209" i="8" s="1"/>
  <c r="CF208" i="8"/>
  <c r="CG208" i="8" s="1"/>
  <c r="CF207" i="8"/>
  <c r="CG207" i="8" s="1"/>
  <c r="CF206" i="8"/>
  <c r="CG206" i="8" s="1"/>
  <c r="CF205" i="8"/>
  <c r="CG205" i="8" s="1"/>
  <c r="CF204" i="8"/>
  <c r="CG204" i="8" s="1"/>
  <c r="CF203" i="8"/>
  <c r="CG203" i="8" s="1"/>
  <c r="CF202" i="8"/>
  <c r="CG202" i="8" s="1"/>
  <c r="CF201" i="8"/>
  <c r="CG201" i="8" s="1"/>
  <c r="CF200" i="8"/>
  <c r="CG200" i="8" s="1"/>
  <c r="CF199" i="8"/>
  <c r="CG199" i="8" s="1"/>
  <c r="CF198" i="8"/>
  <c r="CG198" i="8" s="1"/>
  <c r="CF197" i="8"/>
  <c r="CG197" i="8" s="1"/>
  <c r="CF196" i="8"/>
  <c r="CF195" i="8"/>
  <c r="CF194" i="8"/>
  <c r="CF193" i="8"/>
  <c r="CF192" i="8"/>
  <c r="CF191" i="8"/>
  <c r="CF190" i="8"/>
  <c r="CF189" i="8"/>
  <c r="CF188" i="8"/>
  <c r="CF187" i="8"/>
  <c r="CF186" i="8"/>
  <c r="CF184" i="8"/>
  <c r="CB242" i="8"/>
  <c r="CB245" i="8" s="1"/>
  <c r="CB236" i="8"/>
  <c r="CC235" i="8"/>
  <c r="CD235" i="8" s="1"/>
  <c r="CC234" i="8"/>
  <c r="CD234" i="8" s="1"/>
  <c r="CC233" i="8"/>
  <c r="CD233" i="8" s="1"/>
  <c r="CC232" i="8"/>
  <c r="CD232" i="8" s="1"/>
  <c r="CC231" i="8"/>
  <c r="CD231" i="8" s="1"/>
  <c r="CC230" i="8"/>
  <c r="CD230" i="8" s="1"/>
  <c r="CC229" i="8"/>
  <c r="CD229" i="8" s="1"/>
  <c r="CC228" i="8"/>
  <c r="CD228" i="8" s="1"/>
  <c r="CC227" i="8"/>
  <c r="CD227" i="8" s="1"/>
  <c r="CC226" i="8"/>
  <c r="CD226" i="8" s="1"/>
  <c r="CC225" i="8"/>
  <c r="CD225" i="8" s="1"/>
  <c r="CC224" i="8"/>
  <c r="CD224" i="8" s="1"/>
  <c r="CC223" i="8"/>
  <c r="CD223" i="8" s="1"/>
  <c r="CC222" i="8"/>
  <c r="CD222" i="8" s="1"/>
  <c r="CC221" i="8"/>
  <c r="CD221" i="8" s="1"/>
  <c r="CC220" i="8"/>
  <c r="CD220" i="8" s="1"/>
  <c r="CC219" i="8"/>
  <c r="CD219" i="8" s="1"/>
  <c r="CC218" i="8"/>
  <c r="CD218" i="8" s="1"/>
  <c r="CC217" i="8"/>
  <c r="CD217" i="8" s="1"/>
  <c r="CC216" i="8"/>
  <c r="CD216" i="8" s="1"/>
  <c r="CC215" i="8"/>
  <c r="CD215" i="8" s="1"/>
  <c r="CC214" i="8"/>
  <c r="CD214" i="8" s="1"/>
  <c r="CC213" i="8"/>
  <c r="CD213" i="8" s="1"/>
  <c r="CC212" i="8"/>
  <c r="CD212" i="8" s="1"/>
  <c r="CC211" i="8"/>
  <c r="CD211" i="8" s="1"/>
  <c r="CC210" i="8"/>
  <c r="CD210" i="8" s="1"/>
  <c r="CC209" i="8"/>
  <c r="CD209" i="8" s="1"/>
  <c r="CC208" i="8"/>
  <c r="CD208" i="8" s="1"/>
  <c r="CC207" i="8"/>
  <c r="CD207" i="8" s="1"/>
  <c r="CC206" i="8"/>
  <c r="CD206" i="8" s="1"/>
  <c r="CC205" i="8"/>
  <c r="CD205" i="8" s="1"/>
  <c r="CC204" i="8"/>
  <c r="CD204" i="8" s="1"/>
  <c r="CC203" i="8"/>
  <c r="CD203" i="8" s="1"/>
  <c r="CC202" i="8"/>
  <c r="CD202" i="8" s="1"/>
  <c r="CC201" i="8"/>
  <c r="CD201" i="8" s="1"/>
  <c r="CC200" i="8"/>
  <c r="CD200" i="8" s="1"/>
  <c r="CC199" i="8"/>
  <c r="CD199" i="8" s="1"/>
  <c r="CC198" i="8"/>
  <c r="CD198" i="8" s="1"/>
  <c r="CC197" i="8"/>
  <c r="CD197" i="8" s="1"/>
  <c r="CC196" i="8"/>
  <c r="CC195" i="8"/>
  <c r="CC194" i="8"/>
  <c r="CC193" i="8"/>
  <c r="CC192" i="8"/>
  <c r="CC191" i="8"/>
  <c r="CC190" i="8"/>
  <c r="CC189" i="8"/>
  <c r="CC188" i="8"/>
  <c r="CC187" i="8"/>
  <c r="CC186" i="8"/>
  <c r="CC184" i="8"/>
  <c r="BY242" i="8"/>
  <c r="BY245" i="8" s="1"/>
  <c r="BY236" i="8"/>
  <c r="BZ235" i="8"/>
  <c r="CA235" i="8" s="1"/>
  <c r="BZ234" i="8"/>
  <c r="CA234" i="8" s="1"/>
  <c r="BZ233" i="8"/>
  <c r="CA233" i="8" s="1"/>
  <c r="BZ232" i="8"/>
  <c r="CA232" i="8" s="1"/>
  <c r="BZ231" i="8"/>
  <c r="CA231" i="8" s="1"/>
  <c r="BZ230" i="8"/>
  <c r="CA230" i="8" s="1"/>
  <c r="BZ229" i="8"/>
  <c r="CA229" i="8" s="1"/>
  <c r="BZ228" i="8"/>
  <c r="CA228" i="8" s="1"/>
  <c r="BZ227" i="8"/>
  <c r="CA227" i="8" s="1"/>
  <c r="BZ226" i="8"/>
  <c r="CA226" i="8" s="1"/>
  <c r="BZ225" i="8"/>
  <c r="CA225" i="8" s="1"/>
  <c r="BZ224" i="8"/>
  <c r="CA224" i="8" s="1"/>
  <c r="BZ223" i="8"/>
  <c r="CA223" i="8" s="1"/>
  <c r="BZ222" i="8"/>
  <c r="CA222" i="8" s="1"/>
  <c r="BZ221" i="8"/>
  <c r="CA221" i="8" s="1"/>
  <c r="BZ220" i="8"/>
  <c r="CA220" i="8" s="1"/>
  <c r="BZ219" i="8"/>
  <c r="CA219" i="8" s="1"/>
  <c r="BZ218" i="8"/>
  <c r="CA218" i="8" s="1"/>
  <c r="BZ217" i="8"/>
  <c r="CA217" i="8" s="1"/>
  <c r="BZ216" i="8"/>
  <c r="CA216" i="8" s="1"/>
  <c r="BZ215" i="8"/>
  <c r="CA215" i="8" s="1"/>
  <c r="BZ214" i="8"/>
  <c r="CA214" i="8" s="1"/>
  <c r="BZ213" i="8"/>
  <c r="CA213" i="8" s="1"/>
  <c r="BZ212" i="8"/>
  <c r="CA212" i="8" s="1"/>
  <c r="BZ211" i="8"/>
  <c r="CA211" i="8" s="1"/>
  <c r="BZ210" i="8"/>
  <c r="CA210" i="8" s="1"/>
  <c r="BZ209" i="8"/>
  <c r="CA209" i="8" s="1"/>
  <c r="BZ208" i="8"/>
  <c r="CA208" i="8" s="1"/>
  <c r="BZ207" i="8"/>
  <c r="CA207" i="8" s="1"/>
  <c r="BZ206" i="8"/>
  <c r="CA206" i="8" s="1"/>
  <c r="BZ205" i="8"/>
  <c r="CA205" i="8" s="1"/>
  <c r="BZ204" i="8"/>
  <c r="CA204" i="8" s="1"/>
  <c r="BZ203" i="8"/>
  <c r="CA203" i="8" s="1"/>
  <c r="BZ202" i="8"/>
  <c r="CA202" i="8" s="1"/>
  <c r="BZ201" i="8"/>
  <c r="CA201" i="8" s="1"/>
  <c r="BZ200" i="8"/>
  <c r="CA200" i="8" s="1"/>
  <c r="BZ199" i="8"/>
  <c r="CA199" i="8" s="1"/>
  <c r="BZ198" i="8"/>
  <c r="CA198" i="8" s="1"/>
  <c r="BZ197" i="8"/>
  <c r="CA197" i="8" s="1"/>
  <c r="BZ196" i="8"/>
  <c r="BZ195" i="8"/>
  <c r="BZ194" i="8"/>
  <c r="BZ193" i="8"/>
  <c r="BZ192" i="8"/>
  <c r="BZ191" i="8"/>
  <c r="BZ190" i="8"/>
  <c r="BZ189" i="8"/>
  <c r="BZ188" i="8"/>
  <c r="BZ187" i="8"/>
  <c r="BZ186" i="8"/>
  <c r="BZ184" i="8"/>
  <c r="BV242" i="8"/>
  <c r="BV245" i="8" s="1"/>
  <c r="BV236" i="8"/>
  <c r="BW235" i="8"/>
  <c r="BX235" i="8" s="1"/>
  <c r="BW234" i="8"/>
  <c r="BX234" i="8" s="1"/>
  <c r="BW233" i="8"/>
  <c r="BX233" i="8" s="1"/>
  <c r="BW232" i="8"/>
  <c r="BX232" i="8" s="1"/>
  <c r="BW231" i="8"/>
  <c r="BX231" i="8" s="1"/>
  <c r="BW230" i="8"/>
  <c r="BX230" i="8" s="1"/>
  <c r="BW229" i="8"/>
  <c r="BX229" i="8" s="1"/>
  <c r="BW228" i="8"/>
  <c r="BX228" i="8" s="1"/>
  <c r="BW227" i="8"/>
  <c r="BX227" i="8" s="1"/>
  <c r="BW226" i="8"/>
  <c r="BX226" i="8" s="1"/>
  <c r="BW225" i="8"/>
  <c r="BX225" i="8" s="1"/>
  <c r="BW224" i="8"/>
  <c r="BX224" i="8" s="1"/>
  <c r="BW223" i="8"/>
  <c r="BX223" i="8" s="1"/>
  <c r="BW222" i="8"/>
  <c r="BX222" i="8" s="1"/>
  <c r="BW221" i="8"/>
  <c r="BX221" i="8" s="1"/>
  <c r="BW220" i="8"/>
  <c r="BX220" i="8" s="1"/>
  <c r="BW219" i="8"/>
  <c r="BX219" i="8" s="1"/>
  <c r="BW218" i="8"/>
  <c r="BX218" i="8" s="1"/>
  <c r="BW217" i="8"/>
  <c r="BX217" i="8" s="1"/>
  <c r="BW216" i="8"/>
  <c r="BX216" i="8" s="1"/>
  <c r="BW215" i="8"/>
  <c r="BX215" i="8" s="1"/>
  <c r="BW214" i="8"/>
  <c r="BX214" i="8" s="1"/>
  <c r="BW213" i="8"/>
  <c r="BX213" i="8" s="1"/>
  <c r="BW212" i="8"/>
  <c r="BX212" i="8" s="1"/>
  <c r="BW211" i="8"/>
  <c r="BX211" i="8" s="1"/>
  <c r="BW210" i="8"/>
  <c r="BX210" i="8" s="1"/>
  <c r="BW209" i="8"/>
  <c r="BX209" i="8" s="1"/>
  <c r="BW208" i="8"/>
  <c r="BX208" i="8" s="1"/>
  <c r="BW207" i="8"/>
  <c r="BX207" i="8" s="1"/>
  <c r="BW206" i="8"/>
  <c r="BX206" i="8" s="1"/>
  <c r="BW205" i="8"/>
  <c r="BX205" i="8" s="1"/>
  <c r="BW204" i="8"/>
  <c r="BX204" i="8" s="1"/>
  <c r="BW203" i="8"/>
  <c r="BX203" i="8" s="1"/>
  <c r="BW202" i="8"/>
  <c r="BX202" i="8" s="1"/>
  <c r="BW201" i="8"/>
  <c r="BX201" i="8" s="1"/>
  <c r="BW200" i="8"/>
  <c r="BX200" i="8" s="1"/>
  <c r="BW199" i="8"/>
  <c r="BX199" i="8" s="1"/>
  <c r="BW198" i="8"/>
  <c r="BX198" i="8" s="1"/>
  <c r="BW197" i="8"/>
  <c r="BX197" i="8" s="1"/>
  <c r="BW196" i="8"/>
  <c r="BW195" i="8"/>
  <c r="BW194" i="8"/>
  <c r="BW193" i="8"/>
  <c r="BW192" i="8"/>
  <c r="BW191" i="8"/>
  <c r="BW190" i="8"/>
  <c r="BW189" i="8"/>
  <c r="BW188" i="8"/>
  <c r="BW187" i="8"/>
  <c r="BW186" i="8"/>
  <c r="BW184" i="8"/>
  <c r="BS242" i="8"/>
  <c r="BS245" i="8" s="1"/>
  <c r="BS236" i="8"/>
  <c r="BT235" i="8"/>
  <c r="BU235" i="8" s="1"/>
  <c r="BT234" i="8"/>
  <c r="BU234" i="8" s="1"/>
  <c r="BT233" i="8"/>
  <c r="BU233" i="8" s="1"/>
  <c r="BT232" i="8"/>
  <c r="BU232" i="8" s="1"/>
  <c r="BT231" i="8"/>
  <c r="BU231" i="8" s="1"/>
  <c r="BT230" i="8"/>
  <c r="BU230" i="8" s="1"/>
  <c r="BT229" i="8"/>
  <c r="BU229" i="8" s="1"/>
  <c r="BT228" i="8"/>
  <c r="BU228" i="8" s="1"/>
  <c r="BT227" i="8"/>
  <c r="BU227" i="8" s="1"/>
  <c r="BT226" i="8"/>
  <c r="BU226" i="8" s="1"/>
  <c r="BT225" i="8"/>
  <c r="BU225" i="8" s="1"/>
  <c r="BT224" i="8"/>
  <c r="BU224" i="8" s="1"/>
  <c r="BT223" i="8"/>
  <c r="BU223" i="8" s="1"/>
  <c r="BT222" i="8"/>
  <c r="BU222" i="8" s="1"/>
  <c r="BT221" i="8"/>
  <c r="BU221" i="8" s="1"/>
  <c r="BT220" i="8"/>
  <c r="BU220" i="8" s="1"/>
  <c r="BT219" i="8"/>
  <c r="BU219" i="8" s="1"/>
  <c r="BT218" i="8"/>
  <c r="BU218" i="8" s="1"/>
  <c r="BT217" i="8"/>
  <c r="BU217" i="8" s="1"/>
  <c r="BT216" i="8"/>
  <c r="BU216" i="8" s="1"/>
  <c r="BT215" i="8"/>
  <c r="BU215" i="8" s="1"/>
  <c r="BT214" i="8"/>
  <c r="BU214" i="8" s="1"/>
  <c r="BT213" i="8"/>
  <c r="BU213" i="8" s="1"/>
  <c r="BT212" i="8"/>
  <c r="BU212" i="8" s="1"/>
  <c r="BT211" i="8"/>
  <c r="BU211" i="8" s="1"/>
  <c r="BT210" i="8"/>
  <c r="BU210" i="8" s="1"/>
  <c r="BT209" i="8"/>
  <c r="BU209" i="8" s="1"/>
  <c r="BT208" i="8"/>
  <c r="BU208" i="8" s="1"/>
  <c r="BT207" i="8"/>
  <c r="BU207" i="8" s="1"/>
  <c r="BT206" i="8"/>
  <c r="BU206" i="8" s="1"/>
  <c r="BT205" i="8"/>
  <c r="BU205" i="8" s="1"/>
  <c r="BT204" i="8"/>
  <c r="BU204" i="8" s="1"/>
  <c r="BT203" i="8"/>
  <c r="BU203" i="8" s="1"/>
  <c r="BT202" i="8"/>
  <c r="BU202" i="8" s="1"/>
  <c r="BT201" i="8"/>
  <c r="BU201" i="8" s="1"/>
  <c r="BT200" i="8"/>
  <c r="BU200" i="8" s="1"/>
  <c r="BT199" i="8"/>
  <c r="BU199" i="8" s="1"/>
  <c r="BT198" i="8"/>
  <c r="BU198" i="8" s="1"/>
  <c r="BT197" i="8"/>
  <c r="BU197" i="8" s="1"/>
  <c r="BT196" i="8"/>
  <c r="BT195" i="8"/>
  <c r="BT194" i="8"/>
  <c r="BT193" i="8"/>
  <c r="BT192" i="8"/>
  <c r="BT191" i="8"/>
  <c r="BT190" i="8"/>
  <c r="BT189" i="8"/>
  <c r="BT188" i="8"/>
  <c r="BT187" i="8"/>
  <c r="BT186" i="8"/>
  <c r="BT184" i="8"/>
  <c r="BP242" i="8"/>
  <c r="BP245" i="8" s="1"/>
  <c r="BP236" i="8"/>
  <c r="BQ235" i="8"/>
  <c r="BR235" i="8" s="1"/>
  <c r="BQ234" i="8"/>
  <c r="BR234" i="8" s="1"/>
  <c r="BQ233" i="8"/>
  <c r="BR233" i="8" s="1"/>
  <c r="BQ232" i="8"/>
  <c r="BR232" i="8" s="1"/>
  <c r="BQ231" i="8"/>
  <c r="BR231" i="8" s="1"/>
  <c r="BQ230" i="8"/>
  <c r="BR230" i="8" s="1"/>
  <c r="BQ229" i="8"/>
  <c r="BR229" i="8" s="1"/>
  <c r="BQ228" i="8"/>
  <c r="BR228" i="8" s="1"/>
  <c r="BQ227" i="8"/>
  <c r="BR227" i="8" s="1"/>
  <c r="BQ226" i="8"/>
  <c r="BR226" i="8" s="1"/>
  <c r="BQ225" i="8"/>
  <c r="BR225" i="8" s="1"/>
  <c r="BQ224" i="8"/>
  <c r="BR224" i="8" s="1"/>
  <c r="BQ223" i="8"/>
  <c r="BR223" i="8" s="1"/>
  <c r="BQ222" i="8"/>
  <c r="BR222" i="8" s="1"/>
  <c r="BQ221" i="8"/>
  <c r="BR221" i="8" s="1"/>
  <c r="BQ220" i="8"/>
  <c r="BR220" i="8" s="1"/>
  <c r="BQ219" i="8"/>
  <c r="BR219" i="8" s="1"/>
  <c r="BQ218" i="8"/>
  <c r="BR218" i="8" s="1"/>
  <c r="BQ217" i="8"/>
  <c r="BR217" i="8" s="1"/>
  <c r="BQ216" i="8"/>
  <c r="BR216" i="8" s="1"/>
  <c r="BQ215" i="8"/>
  <c r="BR215" i="8" s="1"/>
  <c r="BQ214" i="8"/>
  <c r="BR214" i="8" s="1"/>
  <c r="BQ213" i="8"/>
  <c r="BR213" i="8" s="1"/>
  <c r="BQ212" i="8"/>
  <c r="BR212" i="8" s="1"/>
  <c r="BQ211" i="8"/>
  <c r="BR211" i="8" s="1"/>
  <c r="BQ210" i="8"/>
  <c r="BR210" i="8" s="1"/>
  <c r="BQ209" i="8"/>
  <c r="BR209" i="8" s="1"/>
  <c r="BQ208" i="8"/>
  <c r="BR208" i="8" s="1"/>
  <c r="BQ207" i="8"/>
  <c r="BR207" i="8" s="1"/>
  <c r="BQ206" i="8"/>
  <c r="BR206" i="8" s="1"/>
  <c r="BQ205" i="8"/>
  <c r="BR205" i="8" s="1"/>
  <c r="BQ204" i="8"/>
  <c r="BR204" i="8" s="1"/>
  <c r="BQ203" i="8"/>
  <c r="BR203" i="8" s="1"/>
  <c r="BQ202" i="8"/>
  <c r="BR202" i="8" s="1"/>
  <c r="BQ201" i="8"/>
  <c r="BR201" i="8" s="1"/>
  <c r="BQ200" i="8"/>
  <c r="BR200" i="8" s="1"/>
  <c r="BQ199" i="8"/>
  <c r="BR199" i="8" s="1"/>
  <c r="BQ198" i="8"/>
  <c r="BR198" i="8" s="1"/>
  <c r="BQ197" i="8"/>
  <c r="BR197" i="8" s="1"/>
  <c r="BQ196" i="8"/>
  <c r="BQ195" i="8"/>
  <c r="BQ194" i="8"/>
  <c r="BQ193" i="8"/>
  <c r="BQ192" i="8"/>
  <c r="BQ191" i="8"/>
  <c r="BQ190" i="8"/>
  <c r="BQ189" i="8"/>
  <c r="BQ188" i="8"/>
  <c r="BQ187" i="8"/>
  <c r="BQ186" i="8"/>
  <c r="BQ184" i="8"/>
  <c r="BM242" i="8"/>
  <c r="BM245" i="8" s="1"/>
  <c r="BM236" i="8"/>
  <c r="BN235" i="8"/>
  <c r="BO235" i="8" s="1"/>
  <c r="BN234" i="8"/>
  <c r="BO234" i="8" s="1"/>
  <c r="BN233" i="8"/>
  <c r="BO233" i="8" s="1"/>
  <c r="BN232" i="8"/>
  <c r="BO232" i="8" s="1"/>
  <c r="BN231" i="8"/>
  <c r="BO231" i="8" s="1"/>
  <c r="BN230" i="8"/>
  <c r="BO230" i="8" s="1"/>
  <c r="BN229" i="8"/>
  <c r="BO229" i="8" s="1"/>
  <c r="BN228" i="8"/>
  <c r="BO228" i="8" s="1"/>
  <c r="BN227" i="8"/>
  <c r="BO227" i="8" s="1"/>
  <c r="BN226" i="8"/>
  <c r="BO226" i="8" s="1"/>
  <c r="BN225" i="8"/>
  <c r="BO225" i="8" s="1"/>
  <c r="BN224" i="8"/>
  <c r="BO224" i="8" s="1"/>
  <c r="BN223" i="8"/>
  <c r="BO223" i="8" s="1"/>
  <c r="BN222" i="8"/>
  <c r="BO222" i="8" s="1"/>
  <c r="BN221" i="8"/>
  <c r="BO221" i="8" s="1"/>
  <c r="BN220" i="8"/>
  <c r="BO220" i="8" s="1"/>
  <c r="BN219" i="8"/>
  <c r="BO219" i="8" s="1"/>
  <c r="BN218" i="8"/>
  <c r="BO218" i="8" s="1"/>
  <c r="BN217" i="8"/>
  <c r="BO217" i="8" s="1"/>
  <c r="BN216" i="8"/>
  <c r="BO216" i="8" s="1"/>
  <c r="BN215" i="8"/>
  <c r="BO215" i="8" s="1"/>
  <c r="BN214" i="8"/>
  <c r="BO214" i="8" s="1"/>
  <c r="BN213" i="8"/>
  <c r="BO213" i="8" s="1"/>
  <c r="BN212" i="8"/>
  <c r="BO212" i="8" s="1"/>
  <c r="BN211" i="8"/>
  <c r="BO211" i="8" s="1"/>
  <c r="BN210" i="8"/>
  <c r="BO210" i="8" s="1"/>
  <c r="BN209" i="8"/>
  <c r="BO209" i="8" s="1"/>
  <c r="BN208" i="8"/>
  <c r="BO208" i="8" s="1"/>
  <c r="BN207" i="8"/>
  <c r="BO207" i="8" s="1"/>
  <c r="BN206" i="8"/>
  <c r="BO206" i="8" s="1"/>
  <c r="BN205" i="8"/>
  <c r="BO205" i="8" s="1"/>
  <c r="BN204" i="8"/>
  <c r="BO204" i="8" s="1"/>
  <c r="BN203" i="8"/>
  <c r="BO203" i="8" s="1"/>
  <c r="BN202" i="8"/>
  <c r="BO202" i="8" s="1"/>
  <c r="BN201" i="8"/>
  <c r="BO201" i="8" s="1"/>
  <c r="BN200" i="8"/>
  <c r="BO200" i="8" s="1"/>
  <c r="BN199" i="8"/>
  <c r="BO199" i="8" s="1"/>
  <c r="BN198" i="8"/>
  <c r="BO198" i="8" s="1"/>
  <c r="BN197" i="8"/>
  <c r="BO197" i="8" s="1"/>
  <c r="BN196" i="8"/>
  <c r="BN195" i="8"/>
  <c r="BN194" i="8"/>
  <c r="BN193" i="8"/>
  <c r="BN192" i="8"/>
  <c r="BN191" i="8"/>
  <c r="BN190" i="8"/>
  <c r="BN189" i="8"/>
  <c r="BN188" i="8"/>
  <c r="BN187" i="8"/>
  <c r="BN186" i="8"/>
  <c r="BN184" i="8"/>
  <c r="BJ242" i="8"/>
  <c r="BJ245" i="8" s="1"/>
  <c r="BJ236" i="8"/>
  <c r="BK235" i="8"/>
  <c r="BL235" i="8" s="1"/>
  <c r="BK234" i="8"/>
  <c r="BL234" i="8" s="1"/>
  <c r="BK233" i="8"/>
  <c r="BL233" i="8" s="1"/>
  <c r="BK232" i="8"/>
  <c r="BL232" i="8" s="1"/>
  <c r="BK231" i="8"/>
  <c r="BL231" i="8" s="1"/>
  <c r="BK230" i="8"/>
  <c r="BL230" i="8" s="1"/>
  <c r="BK229" i="8"/>
  <c r="BL229" i="8" s="1"/>
  <c r="BK228" i="8"/>
  <c r="BL228" i="8" s="1"/>
  <c r="BK227" i="8"/>
  <c r="BL227" i="8" s="1"/>
  <c r="BK226" i="8"/>
  <c r="BL226" i="8" s="1"/>
  <c r="BK225" i="8"/>
  <c r="BL225" i="8" s="1"/>
  <c r="BK224" i="8"/>
  <c r="BL224" i="8" s="1"/>
  <c r="BK223" i="8"/>
  <c r="BL223" i="8" s="1"/>
  <c r="BK222" i="8"/>
  <c r="BL222" i="8" s="1"/>
  <c r="BK221" i="8"/>
  <c r="BL221" i="8" s="1"/>
  <c r="BK220" i="8"/>
  <c r="BL220" i="8" s="1"/>
  <c r="BK219" i="8"/>
  <c r="BL219" i="8" s="1"/>
  <c r="BK218" i="8"/>
  <c r="BL218" i="8" s="1"/>
  <c r="BK217" i="8"/>
  <c r="BL217" i="8" s="1"/>
  <c r="BK216" i="8"/>
  <c r="BL216" i="8" s="1"/>
  <c r="BK215" i="8"/>
  <c r="BL215" i="8" s="1"/>
  <c r="BK214" i="8"/>
  <c r="BL214" i="8" s="1"/>
  <c r="BK213" i="8"/>
  <c r="BL213" i="8" s="1"/>
  <c r="BK212" i="8"/>
  <c r="BL212" i="8" s="1"/>
  <c r="BK211" i="8"/>
  <c r="BL211" i="8" s="1"/>
  <c r="BK210" i="8"/>
  <c r="BL210" i="8" s="1"/>
  <c r="BK209" i="8"/>
  <c r="BL209" i="8" s="1"/>
  <c r="BK208" i="8"/>
  <c r="BL208" i="8" s="1"/>
  <c r="BK207" i="8"/>
  <c r="BL207" i="8" s="1"/>
  <c r="BK206" i="8"/>
  <c r="BL206" i="8" s="1"/>
  <c r="BK205" i="8"/>
  <c r="BL205" i="8" s="1"/>
  <c r="BK204" i="8"/>
  <c r="BL204" i="8" s="1"/>
  <c r="BK203" i="8"/>
  <c r="BL203" i="8" s="1"/>
  <c r="BK202" i="8"/>
  <c r="BL202" i="8" s="1"/>
  <c r="BK201" i="8"/>
  <c r="BL201" i="8" s="1"/>
  <c r="BK200" i="8"/>
  <c r="BL200" i="8" s="1"/>
  <c r="BK199" i="8"/>
  <c r="BL199" i="8" s="1"/>
  <c r="BK198" i="8"/>
  <c r="BL198" i="8" s="1"/>
  <c r="BK197" i="8"/>
  <c r="BL197" i="8" s="1"/>
  <c r="BK196" i="8"/>
  <c r="BK195" i="8"/>
  <c r="BK194" i="8"/>
  <c r="BK193" i="8"/>
  <c r="BK192" i="8"/>
  <c r="BK191" i="8"/>
  <c r="BK190" i="8"/>
  <c r="BK189" i="8"/>
  <c r="BK188" i="8"/>
  <c r="BK187" i="8"/>
  <c r="BK186" i="8"/>
  <c r="BK184" i="8"/>
  <c r="BG242" i="8"/>
  <c r="BG245" i="8" s="1"/>
  <c r="BG236" i="8"/>
  <c r="BH235" i="8"/>
  <c r="BI235" i="8" s="1"/>
  <c r="BH234" i="8"/>
  <c r="BI234" i="8" s="1"/>
  <c r="BH233" i="8"/>
  <c r="BI233" i="8" s="1"/>
  <c r="BH232" i="8"/>
  <c r="BI232" i="8" s="1"/>
  <c r="BH231" i="8"/>
  <c r="BI231" i="8" s="1"/>
  <c r="BH230" i="8"/>
  <c r="BI230" i="8" s="1"/>
  <c r="BH229" i="8"/>
  <c r="BI229" i="8" s="1"/>
  <c r="BH228" i="8"/>
  <c r="BI228" i="8" s="1"/>
  <c r="BH227" i="8"/>
  <c r="BI227" i="8" s="1"/>
  <c r="BH226" i="8"/>
  <c r="BI226" i="8" s="1"/>
  <c r="BH225" i="8"/>
  <c r="BI225" i="8" s="1"/>
  <c r="BH224" i="8"/>
  <c r="BI224" i="8" s="1"/>
  <c r="BH223" i="8"/>
  <c r="BI223" i="8" s="1"/>
  <c r="BH222" i="8"/>
  <c r="BI222" i="8" s="1"/>
  <c r="BH221" i="8"/>
  <c r="BI221" i="8" s="1"/>
  <c r="BH220" i="8"/>
  <c r="BI220" i="8" s="1"/>
  <c r="BH219" i="8"/>
  <c r="BI219" i="8" s="1"/>
  <c r="BH218" i="8"/>
  <c r="BI218" i="8" s="1"/>
  <c r="BH217" i="8"/>
  <c r="BI217" i="8" s="1"/>
  <c r="BH216" i="8"/>
  <c r="BI216" i="8" s="1"/>
  <c r="BH215" i="8"/>
  <c r="BI215" i="8" s="1"/>
  <c r="BH214" i="8"/>
  <c r="BI214" i="8" s="1"/>
  <c r="BH213" i="8"/>
  <c r="BI213" i="8" s="1"/>
  <c r="BH212" i="8"/>
  <c r="BI212" i="8" s="1"/>
  <c r="BH211" i="8"/>
  <c r="BI211" i="8" s="1"/>
  <c r="BH210" i="8"/>
  <c r="BI210" i="8" s="1"/>
  <c r="BH209" i="8"/>
  <c r="BI209" i="8" s="1"/>
  <c r="BH208" i="8"/>
  <c r="BI208" i="8" s="1"/>
  <c r="BH207" i="8"/>
  <c r="BI207" i="8" s="1"/>
  <c r="BH206" i="8"/>
  <c r="BI206" i="8" s="1"/>
  <c r="BH205" i="8"/>
  <c r="BI205" i="8" s="1"/>
  <c r="BH204" i="8"/>
  <c r="BI204" i="8" s="1"/>
  <c r="BH203" i="8"/>
  <c r="BI203" i="8" s="1"/>
  <c r="BH202" i="8"/>
  <c r="BI202" i="8" s="1"/>
  <c r="BH201" i="8"/>
  <c r="BI201" i="8" s="1"/>
  <c r="BH200" i="8"/>
  <c r="BI200" i="8" s="1"/>
  <c r="BH199" i="8"/>
  <c r="BI199" i="8" s="1"/>
  <c r="BH198" i="8"/>
  <c r="BI198" i="8" s="1"/>
  <c r="BH197" i="8"/>
  <c r="BI197" i="8" s="1"/>
  <c r="BH196" i="8"/>
  <c r="BH195" i="8"/>
  <c r="BH194" i="8"/>
  <c r="BH193" i="8"/>
  <c r="BH192" i="8"/>
  <c r="BH191" i="8"/>
  <c r="BH190" i="8"/>
  <c r="BH189" i="8"/>
  <c r="BH188" i="8"/>
  <c r="BH187" i="8"/>
  <c r="BH186" i="8"/>
  <c r="BH184" i="8"/>
  <c r="BD242" i="8"/>
  <c r="BD245" i="8" s="1"/>
  <c r="BD236" i="8"/>
  <c r="BE235" i="8"/>
  <c r="BF235" i="8" s="1"/>
  <c r="BE234" i="8"/>
  <c r="BF234" i="8" s="1"/>
  <c r="BE233" i="8"/>
  <c r="BF233" i="8" s="1"/>
  <c r="BE232" i="8"/>
  <c r="BF232" i="8" s="1"/>
  <c r="BE231" i="8"/>
  <c r="BF231" i="8" s="1"/>
  <c r="BE230" i="8"/>
  <c r="BF230" i="8" s="1"/>
  <c r="BE229" i="8"/>
  <c r="BF229" i="8" s="1"/>
  <c r="BE228" i="8"/>
  <c r="BF228" i="8" s="1"/>
  <c r="BE227" i="8"/>
  <c r="BF227" i="8" s="1"/>
  <c r="BE226" i="8"/>
  <c r="BF226" i="8" s="1"/>
  <c r="BE225" i="8"/>
  <c r="BF225" i="8" s="1"/>
  <c r="BE224" i="8"/>
  <c r="BF224" i="8" s="1"/>
  <c r="BE223" i="8"/>
  <c r="BF223" i="8" s="1"/>
  <c r="BE222" i="8"/>
  <c r="BF222" i="8" s="1"/>
  <c r="BE221" i="8"/>
  <c r="BF221" i="8" s="1"/>
  <c r="BE220" i="8"/>
  <c r="BF220" i="8" s="1"/>
  <c r="BE219" i="8"/>
  <c r="BF219" i="8" s="1"/>
  <c r="BE218" i="8"/>
  <c r="BF218" i="8" s="1"/>
  <c r="BE217" i="8"/>
  <c r="BF217" i="8" s="1"/>
  <c r="BE216" i="8"/>
  <c r="BF216" i="8" s="1"/>
  <c r="BE215" i="8"/>
  <c r="BF215" i="8" s="1"/>
  <c r="BE214" i="8"/>
  <c r="BF214" i="8" s="1"/>
  <c r="BE213" i="8"/>
  <c r="BF213" i="8" s="1"/>
  <c r="BE212" i="8"/>
  <c r="BF212" i="8" s="1"/>
  <c r="BE211" i="8"/>
  <c r="BF211" i="8" s="1"/>
  <c r="BE210" i="8"/>
  <c r="BF210" i="8" s="1"/>
  <c r="BE209" i="8"/>
  <c r="BF209" i="8" s="1"/>
  <c r="BE208" i="8"/>
  <c r="BF208" i="8" s="1"/>
  <c r="BE207" i="8"/>
  <c r="BF207" i="8" s="1"/>
  <c r="BE206" i="8"/>
  <c r="BF206" i="8" s="1"/>
  <c r="BE205" i="8"/>
  <c r="BF205" i="8" s="1"/>
  <c r="BE204" i="8"/>
  <c r="BF204" i="8" s="1"/>
  <c r="BE203" i="8"/>
  <c r="BF203" i="8" s="1"/>
  <c r="BE202" i="8"/>
  <c r="BF202" i="8" s="1"/>
  <c r="BE201" i="8"/>
  <c r="BF201" i="8" s="1"/>
  <c r="BE200" i="8"/>
  <c r="BF200" i="8" s="1"/>
  <c r="BE199" i="8"/>
  <c r="BF199" i="8" s="1"/>
  <c r="BE198" i="8"/>
  <c r="BF198" i="8" s="1"/>
  <c r="BE197" i="8"/>
  <c r="BF197" i="8" s="1"/>
  <c r="BE196" i="8"/>
  <c r="BE195" i="8"/>
  <c r="BE194" i="8"/>
  <c r="BE193" i="8"/>
  <c r="BE192" i="8"/>
  <c r="BE191" i="8"/>
  <c r="BE190" i="8"/>
  <c r="BE189" i="8"/>
  <c r="BE188" i="8"/>
  <c r="BE187" i="8"/>
  <c r="BE186" i="8"/>
  <c r="BE184" i="8"/>
  <c r="BA242" i="8"/>
  <c r="BA245" i="8" s="1"/>
  <c r="BA236" i="8"/>
  <c r="BB235" i="8"/>
  <c r="BC235" i="8" s="1"/>
  <c r="BB234" i="8"/>
  <c r="BC234" i="8" s="1"/>
  <c r="BB233" i="8"/>
  <c r="BC233" i="8" s="1"/>
  <c r="BB232" i="8"/>
  <c r="BC232" i="8" s="1"/>
  <c r="BB231" i="8"/>
  <c r="BC231" i="8" s="1"/>
  <c r="BB230" i="8"/>
  <c r="BC230" i="8" s="1"/>
  <c r="BB229" i="8"/>
  <c r="BC229" i="8" s="1"/>
  <c r="BB228" i="8"/>
  <c r="BC228" i="8" s="1"/>
  <c r="BB227" i="8"/>
  <c r="BC227" i="8" s="1"/>
  <c r="BB226" i="8"/>
  <c r="BC226" i="8" s="1"/>
  <c r="BB225" i="8"/>
  <c r="BC225" i="8" s="1"/>
  <c r="BB224" i="8"/>
  <c r="BC224" i="8" s="1"/>
  <c r="BB223" i="8"/>
  <c r="BC223" i="8" s="1"/>
  <c r="BB222" i="8"/>
  <c r="BC222" i="8" s="1"/>
  <c r="BB221" i="8"/>
  <c r="BC221" i="8" s="1"/>
  <c r="BB220" i="8"/>
  <c r="BC220" i="8" s="1"/>
  <c r="BB219" i="8"/>
  <c r="BC219" i="8" s="1"/>
  <c r="BB218" i="8"/>
  <c r="BC218" i="8" s="1"/>
  <c r="BB217" i="8"/>
  <c r="BC217" i="8" s="1"/>
  <c r="BB216" i="8"/>
  <c r="BC216" i="8" s="1"/>
  <c r="BB215" i="8"/>
  <c r="BC215" i="8" s="1"/>
  <c r="BB214" i="8"/>
  <c r="BC214" i="8" s="1"/>
  <c r="BB213" i="8"/>
  <c r="BC213" i="8" s="1"/>
  <c r="BB212" i="8"/>
  <c r="BC212" i="8" s="1"/>
  <c r="BB211" i="8"/>
  <c r="BC211" i="8" s="1"/>
  <c r="BB210" i="8"/>
  <c r="BC210" i="8" s="1"/>
  <c r="BB209" i="8"/>
  <c r="BC209" i="8" s="1"/>
  <c r="BB208" i="8"/>
  <c r="BC208" i="8" s="1"/>
  <c r="BB207" i="8"/>
  <c r="BC207" i="8" s="1"/>
  <c r="BB206" i="8"/>
  <c r="BC206" i="8" s="1"/>
  <c r="BB205" i="8"/>
  <c r="BC205" i="8" s="1"/>
  <c r="BB204" i="8"/>
  <c r="BC204" i="8" s="1"/>
  <c r="BB203" i="8"/>
  <c r="BC203" i="8" s="1"/>
  <c r="BB202" i="8"/>
  <c r="BC202" i="8" s="1"/>
  <c r="BB201" i="8"/>
  <c r="BC201" i="8" s="1"/>
  <c r="BB200" i="8"/>
  <c r="BC200" i="8" s="1"/>
  <c r="BB199" i="8"/>
  <c r="BC199" i="8" s="1"/>
  <c r="BB198" i="8"/>
  <c r="BC198" i="8" s="1"/>
  <c r="BB197" i="8"/>
  <c r="BC197" i="8" s="1"/>
  <c r="BB196" i="8"/>
  <c r="BB195" i="8"/>
  <c r="BB194" i="8"/>
  <c r="BB193" i="8"/>
  <c r="BB192" i="8"/>
  <c r="BB191" i="8"/>
  <c r="BB190" i="8"/>
  <c r="BB189" i="8"/>
  <c r="BB188" i="8"/>
  <c r="BB187" i="8"/>
  <c r="BB186" i="8"/>
  <c r="BB184" i="8"/>
  <c r="AX242" i="8"/>
  <c r="AX245" i="8" s="1"/>
  <c r="AX236" i="8"/>
  <c r="AY235" i="8"/>
  <c r="AZ235" i="8" s="1"/>
  <c r="AY234" i="8"/>
  <c r="AZ234" i="8" s="1"/>
  <c r="AY233" i="8"/>
  <c r="AZ233" i="8" s="1"/>
  <c r="AY232" i="8"/>
  <c r="AZ232" i="8" s="1"/>
  <c r="AY231" i="8"/>
  <c r="AZ231" i="8" s="1"/>
  <c r="AY230" i="8"/>
  <c r="AZ230" i="8" s="1"/>
  <c r="AY229" i="8"/>
  <c r="AZ229" i="8" s="1"/>
  <c r="AY228" i="8"/>
  <c r="AZ228" i="8" s="1"/>
  <c r="AY227" i="8"/>
  <c r="AZ227" i="8" s="1"/>
  <c r="AY226" i="8"/>
  <c r="AZ226" i="8" s="1"/>
  <c r="AY225" i="8"/>
  <c r="AZ225" i="8" s="1"/>
  <c r="AY224" i="8"/>
  <c r="AZ224" i="8" s="1"/>
  <c r="AY223" i="8"/>
  <c r="AZ223" i="8" s="1"/>
  <c r="AY222" i="8"/>
  <c r="AZ222" i="8" s="1"/>
  <c r="AY221" i="8"/>
  <c r="AZ221" i="8" s="1"/>
  <c r="AY220" i="8"/>
  <c r="AZ220" i="8" s="1"/>
  <c r="AY219" i="8"/>
  <c r="AZ219" i="8" s="1"/>
  <c r="AY218" i="8"/>
  <c r="AZ218" i="8" s="1"/>
  <c r="AY217" i="8"/>
  <c r="AZ217" i="8" s="1"/>
  <c r="AY216" i="8"/>
  <c r="AZ216" i="8" s="1"/>
  <c r="AY215" i="8"/>
  <c r="AZ215" i="8" s="1"/>
  <c r="AY214" i="8"/>
  <c r="AZ214" i="8" s="1"/>
  <c r="AY213" i="8"/>
  <c r="AZ213" i="8" s="1"/>
  <c r="AY212" i="8"/>
  <c r="AZ212" i="8" s="1"/>
  <c r="AY211" i="8"/>
  <c r="AZ211" i="8" s="1"/>
  <c r="AY210" i="8"/>
  <c r="AZ210" i="8" s="1"/>
  <c r="AY209" i="8"/>
  <c r="AZ209" i="8" s="1"/>
  <c r="AY208" i="8"/>
  <c r="AZ208" i="8" s="1"/>
  <c r="AY207" i="8"/>
  <c r="AZ207" i="8" s="1"/>
  <c r="AY206" i="8"/>
  <c r="AZ206" i="8" s="1"/>
  <c r="AY205" i="8"/>
  <c r="AZ205" i="8" s="1"/>
  <c r="AY204" i="8"/>
  <c r="AZ204" i="8" s="1"/>
  <c r="AY203" i="8"/>
  <c r="AZ203" i="8" s="1"/>
  <c r="AY202" i="8"/>
  <c r="AZ202" i="8" s="1"/>
  <c r="AY201" i="8"/>
  <c r="AZ201" i="8" s="1"/>
  <c r="AY200" i="8"/>
  <c r="AZ200" i="8" s="1"/>
  <c r="AY199" i="8"/>
  <c r="AZ199" i="8" s="1"/>
  <c r="AY198" i="8"/>
  <c r="AZ198" i="8" s="1"/>
  <c r="AY197" i="8"/>
  <c r="AZ197" i="8" s="1"/>
  <c r="AY196" i="8"/>
  <c r="AY195" i="8"/>
  <c r="AY194" i="8"/>
  <c r="AY193" i="8"/>
  <c r="AY192" i="8"/>
  <c r="AY191" i="8"/>
  <c r="AY190" i="8"/>
  <c r="AY189" i="8"/>
  <c r="AY188" i="8"/>
  <c r="AY187" i="8"/>
  <c r="AY186" i="8"/>
  <c r="AY184" i="8"/>
  <c r="AU242" i="8"/>
  <c r="AU245" i="8" s="1"/>
  <c r="AU236" i="8"/>
  <c r="AV235" i="8"/>
  <c r="AW235" i="8" s="1"/>
  <c r="AV234" i="8"/>
  <c r="AW234" i="8" s="1"/>
  <c r="AV233" i="8"/>
  <c r="AW233" i="8" s="1"/>
  <c r="AV232" i="8"/>
  <c r="AW232" i="8" s="1"/>
  <c r="AV231" i="8"/>
  <c r="AW231" i="8" s="1"/>
  <c r="AV230" i="8"/>
  <c r="AW230" i="8" s="1"/>
  <c r="AV229" i="8"/>
  <c r="AW229" i="8" s="1"/>
  <c r="AV228" i="8"/>
  <c r="AW228" i="8" s="1"/>
  <c r="AV227" i="8"/>
  <c r="AW227" i="8" s="1"/>
  <c r="AV226" i="8"/>
  <c r="AW226" i="8" s="1"/>
  <c r="AV225" i="8"/>
  <c r="AW225" i="8" s="1"/>
  <c r="AV224" i="8"/>
  <c r="AW224" i="8" s="1"/>
  <c r="AV223" i="8"/>
  <c r="AW223" i="8" s="1"/>
  <c r="AV222" i="8"/>
  <c r="AW222" i="8" s="1"/>
  <c r="AV221" i="8"/>
  <c r="AW221" i="8" s="1"/>
  <c r="AV220" i="8"/>
  <c r="AW220" i="8" s="1"/>
  <c r="AV219" i="8"/>
  <c r="AW219" i="8" s="1"/>
  <c r="AV218" i="8"/>
  <c r="AW218" i="8" s="1"/>
  <c r="AV217" i="8"/>
  <c r="AW217" i="8" s="1"/>
  <c r="AV216" i="8"/>
  <c r="AW216" i="8" s="1"/>
  <c r="AV215" i="8"/>
  <c r="AW215" i="8" s="1"/>
  <c r="AV214" i="8"/>
  <c r="AW214" i="8" s="1"/>
  <c r="AV213" i="8"/>
  <c r="AW213" i="8" s="1"/>
  <c r="AV212" i="8"/>
  <c r="AW212" i="8" s="1"/>
  <c r="AV211" i="8"/>
  <c r="AW211" i="8" s="1"/>
  <c r="AV210" i="8"/>
  <c r="AW210" i="8" s="1"/>
  <c r="AV209" i="8"/>
  <c r="AW209" i="8" s="1"/>
  <c r="AV208" i="8"/>
  <c r="AW208" i="8" s="1"/>
  <c r="AV207" i="8"/>
  <c r="AW207" i="8" s="1"/>
  <c r="AV206" i="8"/>
  <c r="AW206" i="8" s="1"/>
  <c r="AV205" i="8"/>
  <c r="AW205" i="8" s="1"/>
  <c r="AV204" i="8"/>
  <c r="AW204" i="8" s="1"/>
  <c r="AV203" i="8"/>
  <c r="AW203" i="8" s="1"/>
  <c r="AV202" i="8"/>
  <c r="AW202" i="8" s="1"/>
  <c r="AV201" i="8"/>
  <c r="AW201" i="8" s="1"/>
  <c r="AV200" i="8"/>
  <c r="AW200" i="8" s="1"/>
  <c r="AV199" i="8"/>
  <c r="AW199" i="8" s="1"/>
  <c r="AV198" i="8"/>
  <c r="AW198" i="8" s="1"/>
  <c r="AV197" i="8"/>
  <c r="AW197" i="8" s="1"/>
  <c r="AV196" i="8"/>
  <c r="AV195" i="8"/>
  <c r="AV194" i="8"/>
  <c r="AV193" i="8"/>
  <c r="AV192" i="8"/>
  <c r="AV191" i="8"/>
  <c r="AV190" i="8"/>
  <c r="AV189" i="8"/>
  <c r="AV188" i="8"/>
  <c r="AV187" i="8"/>
  <c r="AV186" i="8"/>
  <c r="AV184" i="8"/>
  <c r="AR242" i="8"/>
  <c r="AR245" i="8" s="1"/>
  <c r="AR236" i="8"/>
  <c r="AS235" i="8"/>
  <c r="AT235" i="8" s="1"/>
  <c r="AS234" i="8"/>
  <c r="AT234" i="8" s="1"/>
  <c r="AS233" i="8"/>
  <c r="AT233" i="8" s="1"/>
  <c r="AS232" i="8"/>
  <c r="AT232" i="8" s="1"/>
  <c r="AS231" i="8"/>
  <c r="AT231" i="8" s="1"/>
  <c r="AS230" i="8"/>
  <c r="AT230" i="8" s="1"/>
  <c r="AS229" i="8"/>
  <c r="AT229" i="8" s="1"/>
  <c r="AS228" i="8"/>
  <c r="AT228" i="8" s="1"/>
  <c r="AS227" i="8"/>
  <c r="AT227" i="8" s="1"/>
  <c r="AS226" i="8"/>
  <c r="AT226" i="8" s="1"/>
  <c r="AS225" i="8"/>
  <c r="AT225" i="8" s="1"/>
  <c r="AS224" i="8"/>
  <c r="AT224" i="8" s="1"/>
  <c r="AS223" i="8"/>
  <c r="AT223" i="8" s="1"/>
  <c r="AS222" i="8"/>
  <c r="AT222" i="8" s="1"/>
  <c r="AS221" i="8"/>
  <c r="AT221" i="8" s="1"/>
  <c r="AS220" i="8"/>
  <c r="AT220" i="8" s="1"/>
  <c r="AS219" i="8"/>
  <c r="AT219" i="8" s="1"/>
  <c r="AS218" i="8"/>
  <c r="AT218" i="8" s="1"/>
  <c r="AS217" i="8"/>
  <c r="AT217" i="8" s="1"/>
  <c r="AS216" i="8"/>
  <c r="AT216" i="8" s="1"/>
  <c r="AS215" i="8"/>
  <c r="AT215" i="8" s="1"/>
  <c r="AS214" i="8"/>
  <c r="AT214" i="8" s="1"/>
  <c r="AS213" i="8"/>
  <c r="AT213" i="8" s="1"/>
  <c r="AS212" i="8"/>
  <c r="AT212" i="8" s="1"/>
  <c r="AS211" i="8"/>
  <c r="AT211" i="8" s="1"/>
  <c r="AS210" i="8"/>
  <c r="AT210" i="8" s="1"/>
  <c r="AS209" i="8"/>
  <c r="AT209" i="8" s="1"/>
  <c r="AS208" i="8"/>
  <c r="AT208" i="8" s="1"/>
  <c r="AS207" i="8"/>
  <c r="AT207" i="8" s="1"/>
  <c r="AS206" i="8"/>
  <c r="AT206" i="8" s="1"/>
  <c r="AS205" i="8"/>
  <c r="AT205" i="8" s="1"/>
  <c r="AS204" i="8"/>
  <c r="AT204" i="8" s="1"/>
  <c r="AS203" i="8"/>
  <c r="AT203" i="8" s="1"/>
  <c r="AS202" i="8"/>
  <c r="AT202" i="8" s="1"/>
  <c r="AS201" i="8"/>
  <c r="AT201" i="8" s="1"/>
  <c r="AS200" i="8"/>
  <c r="AT200" i="8" s="1"/>
  <c r="AS199" i="8"/>
  <c r="AT199" i="8" s="1"/>
  <c r="AS198" i="8"/>
  <c r="AT198" i="8" s="1"/>
  <c r="AS197" i="8"/>
  <c r="AT197" i="8" s="1"/>
  <c r="AS196" i="8"/>
  <c r="AS195" i="8"/>
  <c r="AS194" i="8"/>
  <c r="AS193" i="8"/>
  <c r="AS192" i="8"/>
  <c r="AS191" i="8"/>
  <c r="AS190" i="8"/>
  <c r="AS189" i="8"/>
  <c r="AS188" i="8"/>
  <c r="AS187" i="8"/>
  <c r="AS186" i="8"/>
  <c r="AS184" i="8"/>
  <c r="AO242" i="8"/>
  <c r="AO245" i="8" s="1"/>
  <c r="AO236" i="8"/>
  <c r="AP235" i="8"/>
  <c r="AQ235" i="8" s="1"/>
  <c r="AP234" i="8"/>
  <c r="AQ234" i="8" s="1"/>
  <c r="AP233" i="8"/>
  <c r="AQ233" i="8" s="1"/>
  <c r="AP232" i="8"/>
  <c r="AQ232" i="8" s="1"/>
  <c r="AP231" i="8"/>
  <c r="AQ231" i="8" s="1"/>
  <c r="AP230" i="8"/>
  <c r="AQ230" i="8" s="1"/>
  <c r="AP229" i="8"/>
  <c r="AQ229" i="8" s="1"/>
  <c r="AP228" i="8"/>
  <c r="AQ228" i="8" s="1"/>
  <c r="AP227" i="8"/>
  <c r="AQ227" i="8" s="1"/>
  <c r="AP226" i="8"/>
  <c r="AQ226" i="8" s="1"/>
  <c r="AP225" i="8"/>
  <c r="AQ225" i="8" s="1"/>
  <c r="AP224" i="8"/>
  <c r="AQ224" i="8" s="1"/>
  <c r="AP223" i="8"/>
  <c r="AQ223" i="8" s="1"/>
  <c r="AP222" i="8"/>
  <c r="AQ222" i="8" s="1"/>
  <c r="AP221" i="8"/>
  <c r="AQ221" i="8" s="1"/>
  <c r="AP220" i="8"/>
  <c r="AQ220" i="8" s="1"/>
  <c r="AP219" i="8"/>
  <c r="AQ219" i="8" s="1"/>
  <c r="AP218" i="8"/>
  <c r="AQ218" i="8" s="1"/>
  <c r="AP217" i="8"/>
  <c r="AQ217" i="8" s="1"/>
  <c r="AP216" i="8"/>
  <c r="AQ216" i="8" s="1"/>
  <c r="AP215" i="8"/>
  <c r="AQ215" i="8" s="1"/>
  <c r="AP214" i="8"/>
  <c r="AQ214" i="8" s="1"/>
  <c r="AP213" i="8"/>
  <c r="AQ213" i="8" s="1"/>
  <c r="AP212" i="8"/>
  <c r="AQ212" i="8" s="1"/>
  <c r="AP211" i="8"/>
  <c r="AQ211" i="8" s="1"/>
  <c r="AP210" i="8"/>
  <c r="AQ210" i="8" s="1"/>
  <c r="AP209" i="8"/>
  <c r="AQ209" i="8" s="1"/>
  <c r="AP208" i="8"/>
  <c r="AQ208" i="8" s="1"/>
  <c r="AP207" i="8"/>
  <c r="AQ207" i="8" s="1"/>
  <c r="AP206" i="8"/>
  <c r="AQ206" i="8" s="1"/>
  <c r="AP205" i="8"/>
  <c r="AQ205" i="8" s="1"/>
  <c r="AP204" i="8"/>
  <c r="AQ204" i="8" s="1"/>
  <c r="AP203" i="8"/>
  <c r="AQ203" i="8" s="1"/>
  <c r="AP202" i="8"/>
  <c r="AQ202" i="8" s="1"/>
  <c r="AP201" i="8"/>
  <c r="AQ201" i="8" s="1"/>
  <c r="AP200" i="8"/>
  <c r="AQ200" i="8" s="1"/>
  <c r="AP199" i="8"/>
  <c r="AQ199" i="8" s="1"/>
  <c r="AP198" i="8"/>
  <c r="AQ198" i="8" s="1"/>
  <c r="AP197" i="8"/>
  <c r="AQ197" i="8" s="1"/>
  <c r="AP196" i="8"/>
  <c r="AP195" i="8"/>
  <c r="AP194" i="8"/>
  <c r="AP193" i="8"/>
  <c r="AP192" i="8"/>
  <c r="AP191" i="8"/>
  <c r="AP190" i="8"/>
  <c r="AP189" i="8"/>
  <c r="AP188" i="8"/>
  <c r="AP187" i="8"/>
  <c r="AP186" i="8"/>
  <c r="AP184" i="8"/>
  <c r="AL242" i="8"/>
  <c r="AL245" i="8" s="1"/>
  <c r="AL236" i="8"/>
  <c r="AM235" i="8"/>
  <c r="AN235" i="8" s="1"/>
  <c r="AM234" i="8"/>
  <c r="AN234" i="8" s="1"/>
  <c r="AM233" i="8"/>
  <c r="AN233" i="8" s="1"/>
  <c r="AM232" i="8"/>
  <c r="AN232" i="8" s="1"/>
  <c r="AM231" i="8"/>
  <c r="AN231" i="8" s="1"/>
  <c r="AM230" i="8"/>
  <c r="AN230" i="8" s="1"/>
  <c r="AM229" i="8"/>
  <c r="AN229" i="8" s="1"/>
  <c r="AM228" i="8"/>
  <c r="AN228" i="8" s="1"/>
  <c r="AM227" i="8"/>
  <c r="AN227" i="8" s="1"/>
  <c r="AM226" i="8"/>
  <c r="AN226" i="8" s="1"/>
  <c r="AM225" i="8"/>
  <c r="AN225" i="8" s="1"/>
  <c r="AM224" i="8"/>
  <c r="AN224" i="8" s="1"/>
  <c r="AM223" i="8"/>
  <c r="AN223" i="8" s="1"/>
  <c r="AM222" i="8"/>
  <c r="AN222" i="8" s="1"/>
  <c r="AM221" i="8"/>
  <c r="AN221" i="8" s="1"/>
  <c r="AM220" i="8"/>
  <c r="AN220" i="8" s="1"/>
  <c r="AM219" i="8"/>
  <c r="AN219" i="8" s="1"/>
  <c r="AM218" i="8"/>
  <c r="AN218" i="8" s="1"/>
  <c r="AM217" i="8"/>
  <c r="AN217" i="8" s="1"/>
  <c r="AM216" i="8"/>
  <c r="AN216" i="8" s="1"/>
  <c r="AM215" i="8"/>
  <c r="AN215" i="8" s="1"/>
  <c r="AM214" i="8"/>
  <c r="AN214" i="8" s="1"/>
  <c r="AM213" i="8"/>
  <c r="AN213" i="8" s="1"/>
  <c r="AM212" i="8"/>
  <c r="AN212" i="8" s="1"/>
  <c r="AM211" i="8"/>
  <c r="AN211" i="8" s="1"/>
  <c r="AM210" i="8"/>
  <c r="AN210" i="8" s="1"/>
  <c r="AM209" i="8"/>
  <c r="AN209" i="8" s="1"/>
  <c r="AM208" i="8"/>
  <c r="AN208" i="8" s="1"/>
  <c r="AM207" i="8"/>
  <c r="AN207" i="8" s="1"/>
  <c r="AM206" i="8"/>
  <c r="AN206" i="8" s="1"/>
  <c r="AM205" i="8"/>
  <c r="AN205" i="8" s="1"/>
  <c r="AM204" i="8"/>
  <c r="AN204" i="8" s="1"/>
  <c r="AM203" i="8"/>
  <c r="AN203" i="8" s="1"/>
  <c r="AM202" i="8"/>
  <c r="AN202" i="8" s="1"/>
  <c r="AM201" i="8"/>
  <c r="AN201" i="8" s="1"/>
  <c r="AM200" i="8"/>
  <c r="AN200" i="8" s="1"/>
  <c r="AM199" i="8"/>
  <c r="AN199" i="8" s="1"/>
  <c r="AM198" i="8"/>
  <c r="AN198" i="8" s="1"/>
  <c r="AM197" i="8"/>
  <c r="AN197" i="8" s="1"/>
  <c r="AM196" i="8"/>
  <c r="AM195" i="8"/>
  <c r="AM194" i="8"/>
  <c r="AM193" i="8"/>
  <c r="AM192" i="8"/>
  <c r="AM191" i="8"/>
  <c r="AM190" i="8"/>
  <c r="AM189" i="8"/>
  <c r="AM188" i="8"/>
  <c r="AM187" i="8"/>
  <c r="AM184" i="8"/>
  <c r="AJ188" i="8"/>
  <c r="AI236" i="8"/>
  <c r="AF236" i="8"/>
  <c r="AC236" i="8"/>
  <c r="Z236" i="8"/>
  <c r="W236" i="8"/>
  <c r="T236" i="8"/>
  <c r="Q236" i="8"/>
  <c r="N236" i="8"/>
  <c r="K236" i="8"/>
  <c r="K242" i="8"/>
  <c r="H305" i="7" s="1"/>
  <c r="N242" i="8"/>
  <c r="H306" i="7" s="1"/>
  <c r="Q242" i="8"/>
  <c r="H307" i="7" s="1"/>
  <c r="T242" i="8"/>
  <c r="H308" i="7" s="1"/>
  <c r="W242" i="8"/>
  <c r="H309" i="7" s="1"/>
  <c r="Z242" i="8"/>
  <c r="H310" i="7" s="1"/>
  <c r="AC242" i="8"/>
  <c r="H311" i="7" s="1"/>
  <c r="AF242" i="8"/>
  <c r="AI242" i="8"/>
  <c r="H242" i="8"/>
  <c r="L206" i="8"/>
  <c r="M206" i="8" s="1"/>
  <c r="O206" i="8"/>
  <c r="P206" i="8" s="1"/>
  <c r="R206" i="8"/>
  <c r="S206" i="8" s="1"/>
  <c r="U206" i="8"/>
  <c r="V206" i="8" s="1"/>
  <c r="X206" i="8"/>
  <c r="Y206" i="8" s="1"/>
  <c r="AA206" i="8"/>
  <c r="AB206" i="8" s="1"/>
  <c r="AD206" i="8"/>
  <c r="AE206" i="8" s="1"/>
  <c r="AG206" i="8"/>
  <c r="AH206" i="8" s="1"/>
  <c r="AJ206" i="8"/>
  <c r="AK206" i="8" s="1"/>
  <c r="L207" i="8"/>
  <c r="M207" i="8" s="1"/>
  <c r="O207" i="8"/>
  <c r="P207" i="8" s="1"/>
  <c r="R207" i="8"/>
  <c r="S207" i="8" s="1"/>
  <c r="U207" i="8"/>
  <c r="V207" i="8" s="1"/>
  <c r="X207" i="8"/>
  <c r="Y207" i="8" s="1"/>
  <c r="AA207" i="8"/>
  <c r="AB207" i="8" s="1"/>
  <c r="AD207" i="8"/>
  <c r="AE207" i="8" s="1"/>
  <c r="AG207" i="8"/>
  <c r="AH207" i="8" s="1"/>
  <c r="AJ207" i="8"/>
  <c r="AK207" i="8" s="1"/>
  <c r="L208" i="8"/>
  <c r="M208" i="8" s="1"/>
  <c r="O208" i="8"/>
  <c r="P208" i="8" s="1"/>
  <c r="R208" i="8"/>
  <c r="S208" i="8" s="1"/>
  <c r="U208" i="8"/>
  <c r="V208" i="8" s="1"/>
  <c r="X208" i="8"/>
  <c r="Y208" i="8" s="1"/>
  <c r="AA208" i="8"/>
  <c r="AB208" i="8" s="1"/>
  <c r="AD208" i="8"/>
  <c r="AE208" i="8" s="1"/>
  <c r="AG208" i="8"/>
  <c r="AH208" i="8" s="1"/>
  <c r="AJ208" i="8"/>
  <c r="AK208" i="8" s="1"/>
  <c r="L209" i="8"/>
  <c r="M209" i="8" s="1"/>
  <c r="O209" i="8"/>
  <c r="P209" i="8" s="1"/>
  <c r="R209" i="8"/>
  <c r="S209" i="8" s="1"/>
  <c r="U209" i="8"/>
  <c r="V209" i="8" s="1"/>
  <c r="X209" i="8"/>
  <c r="Y209" i="8" s="1"/>
  <c r="AA209" i="8"/>
  <c r="AB209" i="8" s="1"/>
  <c r="AD209" i="8"/>
  <c r="AE209" i="8" s="1"/>
  <c r="AG209" i="8"/>
  <c r="AH209" i="8" s="1"/>
  <c r="AJ209" i="8"/>
  <c r="AK209" i="8" s="1"/>
  <c r="L210" i="8"/>
  <c r="M210" i="8" s="1"/>
  <c r="O210" i="8"/>
  <c r="P210" i="8" s="1"/>
  <c r="R210" i="8"/>
  <c r="S210" i="8" s="1"/>
  <c r="U210" i="8"/>
  <c r="V210" i="8" s="1"/>
  <c r="X210" i="8"/>
  <c r="Y210" i="8" s="1"/>
  <c r="AA210" i="8"/>
  <c r="AB210" i="8" s="1"/>
  <c r="AD210" i="8"/>
  <c r="AE210" i="8" s="1"/>
  <c r="AG210" i="8"/>
  <c r="AH210" i="8" s="1"/>
  <c r="AJ210" i="8"/>
  <c r="AK210" i="8" s="1"/>
  <c r="L211" i="8"/>
  <c r="M211" i="8" s="1"/>
  <c r="O211" i="8"/>
  <c r="P211" i="8" s="1"/>
  <c r="R211" i="8"/>
  <c r="S211" i="8" s="1"/>
  <c r="U211" i="8"/>
  <c r="V211" i="8" s="1"/>
  <c r="X211" i="8"/>
  <c r="Y211" i="8" s="1"/>
  <c r="AA211" i="8"/>
  <c r="AB211" i="8" s="1"/>
  <c r="AD211" i="8"/>
  <c r="AE211" i="8" s="1"/>
  <c r="AG211" i="8"/>
  <c r="AH211" i="8" s="1"/>
  <c r="AJ211" i="8"/>
  <c r="AK211" i="8" s="1"/>
  <c r="L212" i="8"/>
  <c r="M212" i="8" s="1"/>
  <c r="O212" i="8"/>
  <c r="P212" i="8" s="1"/>
  <c r="R212" i="8"/>
  <c r="S212" i="8" s="1"/>
  <c r="U212" i="8"/>
  <c r="V212" i="8" s="1"/>
  <c r="X212" i="8"/>
  <c r="Y212" i="8" s="1"/>
  <c r="AA212" i="8"/>
  <c r="AB212" i="8" s="1"/>
  <c r="AD212" i="8"/>
  <c r="AE212" i="8" s="1"/>
  <c r="AG212" i="8"/>
  <c r="AH212" i="8" s="1"/>
  <c r="AJ212" i="8"/>
  <c r="AK212" i="8" s="1"/>
  <c r="L213" i="8"/>
  <c r="M213" i="8" s="1"/>
  <c r="O213" i="8"/>
  <c r="P213" i="8" s="1"/>
  <c r="R213" i="8"/>
  <c r="S213" i="8" s="1"/>
  <c r="U213" i="8"/>
  <c r="V213" i="8" s="1"/>
  <c r="X213" i="8"/>
  <c r="Y213" i="8" s="1"/>
  <c r="AA213" i="8"/>
  <c r="AB213" i="8" s="1"/>
  <c r="AD213" i="8"/>
  <c r="AE213" i="8" s="1"/>
  <c r="AG213" i="8"/>
  <c r="AH213" i="8" s="1"/>
  <c r="AJ213" i="8"/>
  <c r="AK213" i="8" s="1"/>
  <c r="L214" i="8"/>
  <c r="M214" i="8" s="1"/>
  <c r="O214" i="8"/>
  <c r="P214" i="8" s="1"/>
  <c r="R214" i="8"/>
  <c r="S214" i="8" s="1"/>
  <c r="U214" i="8"/>
  <c r="V214" i="8" s="1"/>
  <c r="X214" i="8"/>
  <c r="Y214" i="8" s="1"/>
  <c r="AA214" i="8"/>
  <c r="AB214" i="8" s="1"/>
  <c r="AD214" i="8"/>
  <c r="AE214" i="8" s="1"/>
  <c r="AG214" i="8"/>
  <c r="AH214" i="8" s="1"/>
  <c r="AJ214" i="8"/>
  <c r="AK214" i="8" s="1"/>
  <c r="L215" i="8"/>
  <c r="M215" i="8" s="1"/>
  <c r="O215" i="8"/>
  <c r="P215" i="8" s="1"/>
  <c r="R215" i="8"/>
  <c r="S215" i="8" s="1"/>
  <c r="U215" i="8"/>
  <c r="V215" i="8" s="1"/>
  <c r="X215" i="8"/>
  <c r="Y215" i="8" s="1"/>
  <c r="AA215" i="8"/>
  <c r="AB215" i="8" s="1"/>
  <c r="AD215" i="8"/>
  <c r="AE215" i="8" s="1"/>
  <c r="AG215" i="8"/>
  <c r="AH215" i="8" s="1"/>
  <c r="AJ215" i="8"/>
  <c r="AK215" i="8" s="1"/>
  <c r="L216" i="8"/>
  <c r="M216" i="8" s="1"/>
  <c r="O216" i="8"/>
  <c r="P216" i="8" s="1"/>
  <c r="R216" i="8"/>
  <c r="S216" i="8" s="1"/>
  <c r="U216" i="8"/>
  <c r="V216" i="8" s="1"/>
  <c r="X216" i="8"/>
  <c r="Y216" i="8" s="1"/>
  <c r="AA216" i="8"/>
  <c r="AB216" i="8" s="1"/>
  <c r="AD216" i="8"/>
  <c r="AE216" i="8" s="1"/>
  <c r="AG216" i="8"/>
  <c r="AH216" i="8" s="1"/>
  <c r="AJ216" i="8"/>
  <c r="AK216" i="8" s="1"/>
  <c r="L217" i="8"/>
  <c r="M217" i="8" s="1"/>
  <c r="O217" i="8"/>
  <c r="P217" i="8" s="1"/>
  <c r="R217" i="8"/>
  <c r="S217" i="8" s="1"/>
  <c r="U217" i="8"/>
  <c r="V217" i="8" s="1"/>
  <c r="X217" i="8"/>
  <c r="Y217" i="8" s="1"/>
  <c r="AA217" i="8"/>
  <c r="AB217" i="8" s="1"/>
  <c r="AD217" i="8"/>
  <c r="AE217" i="8" s="1"/>
  <c r="AG217" i="8"/>
  <c r="AH217" i="8" s="1"/>
  <c r="AJ217" i="8"/>
  <c r="AK217" i="8" s="1"/>
  <c r="L218" i="8"/>
  <c r="M218" i="8" s="1"/>
  <c r="O218" i="8"/>
  <c r="P218" i="8" s="1"/>
  <c r="R218" i="8"/>
  <c r="S218" i="8" s="1"/>
  <c r="U218" i="8"/>
  <c r="V218" i="8" s="1"/>
  <c r="X218" i="8"/>
  <c r="Y218" i="8" s="1"/>
  <c r="AA218" i="8"/>
  <c r="AB218" i="8" s="1"/>
  <c r="AD218" i="8"/>
  <c r="AE218" i="8" s="1"/>
  <c r="AG218" i="8"/>
  <c r="AH218" i="8" s="1"/>
  <c r="AJ218" i="8"/>
  <c r="AK218" i="8" s="1"/>
  <c r="L219" i="8"/>
  <c r="M219" i="8" s="1"/>
  <c r="O219" i="8"/>
  <c r="P219" i="8" s="1"/>
  <c r="R219" i="8"/>
  <c r="S219" i="8" s="1"/>
  <c r="U219" i="8"/>
  <c r="V219" i="8" s="1"/>
  <c r="X219" i="8"/>
  <c r="Y219" i="8" s="1"/>
  <c r="AA219" i="8"/>
  <c r="AB219" i="8" s="1"/>
  <c r="AD219" i="8"/>
  <c r="AE219" i="8" s="1"/>
  <c r="AG219" i="8"/>
  <c r="AH219" i="8" s="1"/>
  <c r="AJ219" i="8"/>
  <c r="AK219" i="8" s="1"/>
  <c r="L220" i="8"/>
  <c r="M220" i="8" s="1"/>
  <c r="O220" i="8"/>
  <c r="P220" i="8" s="1"/>
  <c r="R220" i="8"/>
  <c r="S220" i="8" s="1"/>
  <c r="U220" i="8"/>
  <c r="V220" i="8" s="1"/>
  <c r="X220" i="8"/>
  <c r="Y220" i="8" s="1"/>
  <c r="AA220" i="8"/>
  <c r="AB220" i="8" s="1"/>
  <c r="AD220" i="8"/>
  <c r="AE220" i="8" s="1"/>
  <c r="AG220" i="8"/>
  <c r="AH220" i="8" s="1"/>
  <c r="AJ220" i="8"/>
  <c r="AK220" i="8" s="1"/>
  <c r="L221" i="8"/>
  <c r="M221" i="8" s="1"/>
  <c r="O221" i="8"/>
  <c r="P221" i="8" s="1"/>
  <c r="R221" i="8"/>
  <c r="S221" i="8" s="1"/>
  <c r="U221" i="8"/>
  <c r="V221" i="8" s="1"/>
  <c r="X221" i="8"/>
  <c r="Y221" i="8" s="1"/>
  <c r="AA221" i="8"/>
  <c r="AB221" i="8" s="1"/>
  <c r="AD221" i="8"/>
  <c r="AE221" i="8" s="1"/>
  <c r="AG221" i="8"/>
  <c r="AH221" i="8" s="1"/>
  <c r="AJ221" i="8"/>
  <c r="AK221" i="8" s="1"/>
  <c r="L222" i="8"/>
  <c r="M222" i="8" s="1"/>
  <c r="O222" i="8"/>
  <c r="P222" i="8" s="1"/>
  <c r="R222" i="8"/>
  <c r="S222" i="8" s="1"/>
  <c r="U222" i="8"/>
  <c r="V222" i="8" s="1"/>
  <c r="X222" i="8"/>
  <c r="Y222" i="8" s="1"/>
  <c r="AA222" i="8"/>
  <c r="AB222" i="8" s="1"/>
  <c r="AD222" i="8"/>
  <c r="AE222" i="8" s="1"/>
  <c r="AG222" i="8"/>
  <c r="AH222" i="8" s="1"/>
  <c r="AJ222" i="8"/>
  <c r="AK222" i="8" s="1"/>
  <c r="L223" i="8"/>
  <c r="M223" i="8" s="1"/>
  <c r="O223" i="8"/>
  <c r="P223" i="8" s="1"/>
  <c r="R223" i="8"/>
  <c r="S223" i="8" s="1"/>
  <c r="U223" i="8"/>
  <c r="V223" i="8" s="1"/>
  <c r="X223" i="8"/>
  <c r="Y223" i="8" s="1"/>
  <c r="AA223" i="8"/>
  <c r="AB223" i="8" s="1"/>
  <c r="AD223" i="8"/>
  <c r="AE223" i="8" s="1"/>
  <c r="AG223" i="8"/>
  <c r="AH223" i="8" s="1"/>
  <c r="AJ223" i="8"/>
  <c r="AK223" i="8" s="1"/>
  <c r="L224" i="8"/>
  <c r="M224" i="8" s="1"/>
  <c r="O224" i="8"/>
  <c r="P224" i="8" s="1"/>
  <c r="R224" i="8"/>
  <c r="S224" i="8" s="1"/>
  <c r="U224" i="8"/>
  <c r="V224" i="8" s="1"/>
  <c r="X224" i="8"/>
  <c r="Y224" i="8" s="1"/>
  <c r="AA224" i="8"/>
  <c r="AB224" i="8" s="1"/>
  <c r="AD224" i="8"/>
  <c r="AE224" i="8" s="1"/>
  <c r="AG224" i="8"/>
  <c r="AH224" i="8" s="1"/>
  <c r="AJ224" i="8"/>
  <c r="AK224" i="8" s="1"/>
  <c r="L225" i="8"/>
  <c r="M225" i="8" s="1"/>
  <c r="O225" i="8"/>
  <c r="P225" i="8" s="1"/>
  <c r="R225" i="8"/>
  <c r="S225" i="8" s="1"/>
  <c r="U225" i="8"/>
  <c r="V225" i="8" s="1"/>
  <c r="X225" i="8"/>
  <c r="Y225" i="8" s="1"/>
  <c r="AA225" i="8"/>
  <c r="AB225" i="8" s="1"/>
  <c r="AD225" i="8"/>
  <c r="AE225" i="8" s="1"/>
  <c r="AG225" i="8"/>
  <c r="AH225" i="8" s="1"/>
  <c r="AJ225" i="8"/>
  <c r="AK225" i="8" s="1"/>
  <c r="L226" i="8"/>
  <c r="M226" i="8" s="1"/>
  <c r="O226" i="8"/>
  <c r="P226" i="8" s="1"/>
  <c r="R226" i="8"/>
  <c r="S226" i="8" s="1"/>
  <c r="U226" i="8"/>
  <c r="V226" i="8" s="1"/>
  <c r="X226" i="8"/>
  <c r="Y226" i="8" s="1"/>
  <c r="AA226" i="8"/>
  <c r="AB226" i="8" s="1"/>
  <c r="AD226" i="8"/>
  <c r="AE226" i="8" s="1"/>
  <c r="AG226" i="8"/>
  <c r="AH226" i="8" s="1"/>
  <c r="AJ226" i="8"/>
  <c r="AK226" i="8" s="1"/>
  <c r="L227" i="8"/>
  <c r="M227" i="8" s="1"/>
  <c r="O227" i="8"/>
  <c r="P227" i="8" s="1"/>
  <c r="R227" i="8"/>
  <c r="S227" i="8" s="1"/>
  <c r="U227" i="8"/>
  <c r="V227" i="8" s="1"/>
  <c r="X227" i="8"/>
  <c r="Y227" i="8" s="1"/>
  <c r="AA227" i="8"/>
  <c r="AB227" i="8" s="1"/>
  <c r="AD227" i="8"/>
  <c r="AE227" i="8" s="1"/>
  <c r="AG227" i="8"/>
  <c r="AH227" i="8" s="1"/>
  <c r="AJ227" i="8"/>
  <c r="AK227" i="8" s="1"/>
  <c r="L228" i="8"/>
  <c r="M228" i="8" s="1"/>
  <c r="O228" i="8"/>
  <c r="P228" i="8" s="1"/>
  <c r="R228" i="8"/>
  <c r="S228" i="8" s="1"/>
  <c r="U228" i="8"/>
  <c r="V228" i="8" s="1"/>
  <c r="X228" i="8"/>
  <c r="Y228" i="8" s="1"/>
  <c r="AA228" i="8"/>
  <c r="AB228" i="8" s="1"/>
  <c r="AD228" i="8"/>
  <c r="AE228" i="8" s="1"/>
  <c r="AG228" i="8"/>
  <c r="AH228" i="8" s="1"/>
  <c r="AJ228" i="8"/>
  <c r="AK228" i="8" s="1"/>
  <c r="L229" i="8"/>
  <c r="M229" i="8" s="1"/>
  <c r="O229" i="8"/>
  <c r="P229" i="8" s="1"/>
  <c r="R229" i="8"/>
  <c r="S229" i="8" s="1"/>
  <c r="U229" i="8"/>
  <c r="V229" i="8" s="1"/>
  <c r="X229" i="8"/>
  <c r="Y229" i="8" s="1"/>
  <c r="AA229" i="8"/>
  <c r="AB229" i="8" s="1"/>
  <c r="AD229" i="8"/>
  <c r="AE229" i="8" s="1"/>
  <c r="AG229" i="8"/>
  <c r="AH229" i="8" s="1"/>
  <c r="AJ229" i="8"/>
  <c r="AK229" i="8" s="1"/>
  <c r="L230" i="8"/>
  <c r="M230" i="8" s="1"/>
  <c r="O230" i="8"/>
  <c r="P230" i="8" s="1"/>
  <c r="R230" i="8"/>
  <c r="S230" i="8" s="1"/>
  <c r="U230" i="8"/>
  <c r="V230" i="8" s="1"/>
  <c r="X230" i="8"/>
  <c r="Y230" i="8" s="1"/>
  <c r="AA230" i="8"/>
  <c r="AB230" i="8" s="1"/>
  <c r="AD230" i="8"/>
  <c r="AE230" i="8" s="1"/>
  <c r="AG230" i="8"/>
  <c r="AH230" i="8" s="1"/>
  <c r="AJ230" i="8"/>
  <c r="AK230" i="8" s="1"/>
  <c r="L231" i="8"/>
  <c r="M231" i="8" s="1"/>
  <c r="O231" i="8"/>
  <c r="P231" i="8" s="1"/>
  <c r="R231" i="8"/>
  <c r="S231" i="8" s="1"/>
  <c r="U231" i="8"/>
  <c r="V231" i="8" s="1"/>
  <c r="X231" i="8"/>
  <c r="Y231" i="8" s="1"/>
  <c r="AA231" i="8"/>
  <c r="AB231" i="8" s="1"/>
  <c r="AD231" i="8"/>
  <c r="AE231" i="8" s="1"/>
  <c r="AG231" i="8"/>
  <c r="AH231" i="8" s="1"/>
  <c r="AJ231" i="8"/>
  <c r="AK231" i="8" s="1"/>
  <c r="L232" i="8"/>
  <c r="M232" i="8" s="1"/>
  <c r="O232" i="8"/>
  <c r="P232" i="8" s="1"/>
  <c r="R232" i="8"/>
  <c r="S232" i="8" s="1"/>
  <c r="U232" i="8"/>
  <c r="V232" i="8" s="1"/>
  <c r="X232" i="8"/>
  <c r="Y232" i="8" s="1"/>
  <c r="AA232" i="8"/>
  <c r="AB232" i="8" s="1"/>
  <c r="AD232" i="8"/>
  <c r="AE232" i="8" s="1"/>
  <c r="AG232" i="8"/>
  <c r="AH232" i="8" s="1"/>
  <c r="AJ232" i="8"/>
  <c r="AK232" i="8" s="1"/>
  <c r="L233" i="8"/>
  <c r="M233" i="8" s="1"/>
  <c r="O233" i="8"/>
  <c r="P233" i="8" s="1"/>
  <c r="R233" i="8"/>
  <c r="S233" i="8" s="1"/>
  <c r="U233" i="8"/>
  <c r="V233" i="8" s="1"/>
  <c r="X233" i="8"/>
  <c r="Y233" i="8" s="1"/>
  <c r="AA233" i="8"/>
  <c r="AB233" i="8" s="1"/>
  <c r="AD233" i="8"/>
  <c r="AE233" i="8" s="1"/>
  <c r="AG233" i="8"/>
  <c r="AH233" i="8" s="1"/>
  <c r="AJ233" i="8"/>
  <c r="AK233" i="8" s="1"/>
  <c r="L234" i="8"/>
  <c r="M234" i="8" s="1"/>
  <c r="O234" i="8"/>
  <c r="P234" i="8" s="1"/>
  <c r="R234" i="8"/>
  <c r="S234" i="8" s="1"/>
  <c r="U234" i="8"/>
  <c r="V234" i="8" s="1"/>
  <c r="X234" i="8"/>
  <c r="Y234" i="8" s="1"/>
  <c r="AA234" i="8"/>
  <c r="AB234" i="8" s="1"/>
  <c r="AD234" i="8"/>
  <c r="AE234" i="8" s="1"/>
  <c r="AG234" i="8"/>
  <c r="AH234" i="8" s="1"/>
  <c r="AJ234" i="8"/>
  <c r="AK234" i="8" s="1"/>
  <c r="L235" i="8"/>
  <c r="M235" i="8" s="1"/>
  <c r="O235" i="8"/>
  <c r="P235" i="8" s="1"/>
  <c r="R235" i="8"/>
  <c r="S235" i="8" s="1"/>
  <c r="U235" i="8"/>
  <c r="V235" i="8" s="1"/>
  <c r="X235" i="8"/>
  <c r="Y235" i="8" s="1"/>
  <c r="AA235" i="8"/>
  <c r="AB235" i="8" s="1"/>
  <c r="AD235" i="8"/>
  <c r="AE235" i="8" s="1"/>
  <c r="AG235" i="8"/>
  <c r="AH235" i="8" s="1"/>
  <c r="AJ235" i="8"/>
  <c r="AK235" i="8" s="1"/>
  <c r="I206" i="8"/>
  <c r="J206" i="8" s="1"/>
  <c r="I207" i="8"/>
  <c r="J207" i="8" s="1"/>
  <c r="I208" i="8"/>
  <c r="J208" i="8" s="1"/>
  <c r="I209" i="8"/>
  <c r="J209" i="8" s="1"/>
  <c r="I210" i="8"/>
  <c r="J210" i="8" s="1"/>
  <c r="I211" i="8"/>
  <c r="J211" i="8" s="1"/>
  <c r="I212" i="8"/>
  <c r="J212" i="8" s="1"/>
  <c r="I213" i="8"/>
  <c r="J213" i="8" s="1"/>
  <c r="I214" i="8"/>
  <c r="J214" i="8" s="1"/>
  <c r="I215" i="8"/>
  <c r="J215" i="8" s="1"/>
  <c r="I216" i="8"/>
  <c r="J216" i="8" s="1"/>
  <c r="I217" i="8"/>
  <c r="J217" i="8" s="1"/>
  <c r="I218" i="8"/>
  <c r="J218" i="8" s="1"/>
  <c r="I219" i="8"/>
  <c r="J219" i="8" s="1"/>
  <c r="I220" i="8"/>
  <c r="J220" i="8" s="1"/>
  <c r="I221" i="8"/>
  <c r="J221" i="8" s="1"/>
  <c r="I222" i="8"/>
  <c r="J222" i="8" s="1"/>
  <c r="I223" i="8"/>
  <c r="J223" i="8" s="1"/>
  <c r="I224" i="8"/>
  <c r="J224" i="8" s="1"/>
  <c r="I225" i="8"/>
  <c r="J225" i="8" s="1"/>
  <c r="I226" i="8"/>
  <c r="J226" i="8" s="1"/>
  <c r="I227" i="8"/>
  <c r="J227" i="8" s="1"/>
  <c r="I228" i="8"/>
  <c r="J228" i="8" s="1"/>
  <c r="I229" i="8"/>
  <c r="J229" i="8" s="1"/>
  <c r="I230" i="8"/>
  <c r="J230" i="8" s="1"/>
  <c r="I231" i="8"/>
  <c r="J231" i="8" s="1"/>
  <c r="I232" i="8"/>
  <c r="J232" i="8" s="1"/>
  <c r="I233" i="8"/>
  <c r="J233" i="8" s="1"/>
  <c r="I234" i="8"/>
  <c r="J234" i="8" s="1"/>
  <c r="I235" i="8"/>
  <c r="J235" i="8" s="1"/>
  <c r="H236"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H162"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M166" i="8"/>
  <c r="N166" i="8"/>
  <c r="O166" i="8"/>
  <c r="P166" i="8"/>
  <c r="Q166" i="8"/>
  <c r="R166" i="8"/>
  <c r="S166" i="8"/>
  <c r="T166" i="8"/>
  <c r="U166" i="8"/>
  <c r="V166" i="8"/>
  <c r="W166" i="8"/>
  <c r="X166" i="8"/>
  <c r="Y166" i="8"/>
  <c r="Z166" i="8"/>
  <c r="AA166" i="8"/>
  <c r="M162" i="8"/>
  <c r="N162" i="8"/>
  <c r="O162" i="8"/>
  <c r="P162" i="8"/>
  <c r="Q162" i="8"/>
  <c r="R162" i="8"/>
  <c r="S162" i="8"/>
  <c r="T162" i="8"/>
  <c r="U162" i="8"/>
  <c r="V162" i="8"/>
  <c r="W162" i="8"/>
  <c r="X162" i="8"/>
  <c r="Y162" i="8"/>
  <c r="Z162" i="8"/>
  <c r="AA162" i="8"/>
  <c r="H166" i="8"/>
  <c r="J107" i="8"/>
  <c r="K107" i="8" s="1"/>
  <c r="L107" i="8" s="1"/>
  <c r="M107" i="8" s="1"/>
  <c r="N107" i="8" s="1"/>
  <c r="O107" i="8" s="1"/>
  <c r="P107" i="8" s="1"/>
  <c r="Q107" i="8" s="1"/>
  <c r="R107" i="8" s="1"/>
  <c r="S107" i="8" s="1"/>
  <c r="T107" i="8" s="1"/>
  <c r="U107" i="8" s="1"/>
  <c r="V107" i="8" s="1"/>
  <c r="W107" i="8" s="1"/>
  <c r="X107" i="8" s="1"/>
  <c r="Y107" i="8" s="1"/>
  <c r="Z107" i="8" s="1"/>
  <c r="AA107" i="8" s="1"/>
  <c r="DU88" i="8"/>
  <c r="DU90" i="8" s="1"/>
  <c r="N88" i="8"/>
  <c r="Q88" i="8"/>
  <c r="T88" i="8"/>
  <c r="W88" i="8"/>
  <c r="Z88" i="8"/>
  <c r="AC88" i="8"/>
  <c r="AF88" i="8"/>
  <c r="AI88" i="8"/>
  <c r="AL88" i="8"/>
  <c r="AL90" i="8" s="1"/>
  <c r="AO88" i="8"/>
  <c r="AO90" i="8" s="1"/>
  <c r="AR88" i="8"/>
  <c r="AR90" i="8" s="1"/>
  <c r="AU88" i="8"/>
  <c r="AU90" i="8" s="1"/>
  <c r="AX88" i="8"/>
  <c r="AX90" i="8" s="1"/>
  <c r="BA88" i="8"/>
  <c r="BA90" i="8" s="1"/>
  <c r="BD88" i="8"/>
  <c r="BD90" i="8" s="1"/>
  <c r="BG88" i="8"/>
  <c r="BG90" i="8" s="1"/>
  <c r="BJ88" i="8"/>
  <c r="BJ90" i="8" s="1"/>
  <c r="BM88" i="8"/>
  <c r="BM90" i="8" s="1"/>
  <c r="BP88" i="8"/>
  <c r="BP90" i="8" s="1"/>
  <c r="BS88" i="8"/>
  <c r="BS90" i="8" s="1"/>
  <c r="BV88" i="8"/>
  <c r="BV90" i="8" s="1"/>
  <c r="BY88" i="8"/>
  <c r="BY90" i="8" s="1"/>
  <c r="CB88" i="8"/>
  <c r="CB90" i="8" s="1"/>
  <c r="CE88" i="8"/>
  <c r="CE92" i="8" s="1"/>
  <c r="K234" i="7" s="1"/>
  <c r="CH88" i="8"/>
  <c r="CH90" i="8" s="1"/>
  <c r="CK88" i="8"/>
  <c r="CK90" i="8" s="1"/>
  <c r="CN88" i="8"/>
  <c r="CN90" i="8" s="1"/>
  <c r="CQ88" i="8"/>
  <c r="CQ90" i="8" s="1"/>
  <c r="CT88" i="8"/>
  <c r="CT90" i="8" s="1"/>
  <c r="CW88" i="8"/>
  <c r="CW90" i="8" s="1"/>
  <c r="CZ88" i="8"/>
  <c r="CZ90" i="8" s="1"/>
  <c r="DC88" i="8"/>
  <c r="DC90" i="8" s="1"/>
  <c r="DF88" i="8"/>
  <c r="DF92" i="8" s="1"/>
  <c r="K243" i="7" s="1"/>
  <c r="DI88" i="8"/>
  <c r="DI90" i="8" s="1"/>
  <c r="DL88" i="8"/>
  <c r="DL90" i="8" s="1"/>
  <c r="DO88" i="8"/>
  <c r="DO90" i="8" s="1"/>
  <c r="DR88" i="8"/>
  <c r="DR90" i="8" s="1"/>
  <c r="K88" i="8"/>
  <c r="H88" i="8"/>
  <c r="H92" i="8" s="1"/>
  <c r="DU82" i="8"/>
  <c r="DR82" i="8"/>
  <c r="DO82" i="8"/>
  <c r="DL82" i="8"/>
  <c r="DI82" i="8"/>
  <c r="DF82" i="8"/>
  <c r="DC82" i="8"/>
  <c r="CZ82" i="8"/>
  <c r="CW82" i="8"/>
  <c r="CT82" i="8"/>
  <c r="CQ82" i="8"/>
  <c r="CN82" i="8"/>
  <c r="CK82" i="8"/>
  <c r="CH82" i="8"/>
  <c r="CE82" i="8"/>
  <c r="CB82" i="8"/>
  <c r="BY82" i="8"/>
  <c r="BV82" i="8"/>
  <c r="BS82" i="8"/>
  <c r="BP82" i="8"/>
  <c r="BM82" i="8"/>
  <c r="BJ82" i="8"/>
  <c r="BG82" i="8"/>
  <c r="BD82" i="8"/>
  <c r="BA82" i="8"/>
  <c r="AX82" i="8"/>
  <c r="AU82" i="8"/>
  <c r="AR82" i="8"/>
  <c r="AO82" i="8"/>
  <c r="AL82" i="8"/>
  <c r="AI82" i="8"/>
  <c r="AF82" i="8"/>
  <c r="AC82" i="8"/>
  <c r="Z82" i="8"/>
  <c r="W82" i="8"/>
  <c r="T82" i="8"/>
  <c r="Q82" i="8"/>
  <c r="N82" i="8"/>
  <c r="K82" i="8"/>
  <c r="H82" i="8"/>
  <c r="I52" i="8"/>
  <c r="J52" i="8" s="1"/>
  <c r="L52" i="8"/>
  <c r="M52" i="8" s="1"/>
  <c r="O52" i="8"/>
  <c r="P52" i="8" s="1"/>
  <c r="R52" i="8"/>
  <c r="S52" i="8" s="1"/>
  <c r="U52" i="8"/>
  <c r="V52" i="8" s="1"/>
  <c r="X52" i="8"/>
  <c r="Y52" i="8" s="1"/>
  <c r="AA52" i="8"/>
  <c r="AB52" i="8" s="1"/>
  <c r="AD52" i="8"/>
  <c r="AE52" i="8" s="1"/>
  <c r="AG52" i="8"/>
  <c r="AH52" i="8" s="1"/>
  <c r="AJ52" i="8"/>
  <c r="AK52" i="8" s="1"/>
  <c r="AM52" i="8"/>
  <c r="AN52" i="8" s="1"/>
  <c r="AP52" i="8"/>
  <c r="AQ52" i="8" s="1"/>
  <c r="AS52" i="8"/>
  <c r="AT52" i="8" s="1"/>
  <c r="AV52" i="8"/>
  <c r="AW52" i="8" s="1"/>
  <c r="AY52" i="8"/>
  <c r="AZ52" i="8" s="1"/>
  <c r="BB52" i="8"/>
  <c r="BC52" i="8" s="1"/>
  <c r="BE52" i="8"/>
  <c r="BF52" i="8" s="1"/>
  <c r="BH52" i="8"/>
  <c r="BI52" i="8" s="1"/>
  <c r="BK52" i="8"/>
  <c r="BL52" i="8" s="1"/>
  <c r="BN52" i="8"/>
  <c r="BO52" i="8" s="1"/>
  <c r="BQ52" i="8"/>
  <c r="BR52" i="8" s="1"/>
  <c r="BT52" i="8"/>
  <c r="BU52" i="8" s="1"/>
  <c r="BW52" i="8"/>
  <c r="BX52" i="8" s="1"/>
  <c r="BZ52" i="8"/>
  <c r="CA52" i="8" s="1"/>
  <c r="CC52" i="8"/>
  <c r="CD52" i="8" s="1"/>
  <c r="CF52" i="8"/>
  <c r="CG52" i="8" s="1"/>
  <c r="CI52" i="8"/>
  <c r="CJ52" i="8" s="1"/>
  <c r="CL52" i="8"/>
  <c r="CM52" i="8" s="1"/>
  <c r="CO52" i="8"/>
  <c r="CP52" i="8" s="1"/>
  <c r="CR52" i="8"/>
  <c r="CS52" i="8" s="1"/>
  <c r="CU52" i="8"/>
  <c r="CV52" i="8" s="1"/>
  <c r="CX52" i="8"/>
  <c r="CY52" i="8" s="1"/>
  <c r="DA52" i="8"/>
  <c r="DB52" i="8" s="1"/>
  <c r="DD52" i="8"/>
  <c r="DE52" i="8" s="1"/>
  <c r="DG52" i="8"/>
  <c r="DH52" i="8" s="1"/>
  <c r="DJ52" i="8"/>
  <c r="DK52" i="8" s="1"/>
  <c r="DM52" i="8"/>
  <c r="DN52" i="8" s="1"/>
  <c r="DP52" i="8"/>
  <c r="DQ52" i="8" s="1"/>
  <c r="DS52" i="8"/>
  <c r="DT52" i="8" s="1"/>
  <c r="DV52" i="8"/>
  <c r="DW52" i="8" s="1"/>
  <c r="I53" i="8"/>
  <c r="J53" i="8" s="1"/>
  <c r="L53" i="8"/>
  <c r="M53" i="8" s="1"/>
  <c r="O53" i="8"/>
  <c r="P53" i="8" s="1"/>
  <c r="R53" i="8"/>
  <c r="S53" i="8" s="1"/>
  <c r="U53" i="8"/>
  <c r="V53" i="8" s="1"/>
  <c r="X53" i="8"/>
  <c r="Y53" i="8" s="1"/>
  <c r="AA53" i="8"/>
  <c r="AB53" i="8" s="1"/>
  <c r="AD53" i="8"/>
  <c r="AE53" i="8" s="1"/>
  <c r="AG53" i="8"/>
  <c r="AH53" i="8" s="1"/>
  <c r="AJ53" i="8"/>
  <c r="AK53" i="8" s="1"/>
  <c r="AM53" i="8"/>
  <c r="AN53" i="8" s="1"/>
  <c r="AP53" i="8"/>
  <c r="AQ53" i="8" s="1"/>
  <c r="AS53" i="8"/>
  <c r="AT53" i="8" s="1"/>
  <c r="AV53" i="8"/>
  <c r="AW53" i="8" s="1"/>
  <c r="AY53" i="8"/>
  <c r="AZ53" i="8" s="1"/>
  <c r="BB53" i="8"/>
  <c r="BC53" i="8" s="1"/>
  <c r="BE53" i="8"/>
  <c r="BF53" i="8" s="1"/>
  <c r="BH53" i="8"/>
  <c r="BI53" i="8" s="1"/>
  <c r="BK53" i="8"/>
  <c r="BL53" i="8" s="1"/>
  <c r="BN53" i="8"/>
  <c r="BO53" i="8" s="1"/>
  <c r="BQ53" i="8"/>
  <c r="BR53" i="8" s="1"/>
  <c r="BT53" i="8"/>
  <c r="BU53" i="8" s="1"/>
  <c r="BW53" i="8"/>
  <c r="BX53" i="8" s="1"/>
  <c r="BZ53" i="8"/>
  <c r="CA53" i="8" s="1"/>
  <c r="CC53" i="8"/>
  <c r="CD53" i="8" s="1"/>
  <c r="CF53" i="8"/>
  <c r="CG53" i="8" s="1"/>
  <c r="CI53" i="8"/>
  <c r="CJ53" i="8" s="1"/>
  <c r="CL53" i="8"/>
  <c r="CM53" i="8" s="1"/>
  <c r="CO53" i="8"/>
  <c r="CP53" i="8" s="1"/>
  <c r="CR53" i="8"/>
  <c r="CS53" i="8" s="1"/>
  <c r="CU53" i="8"/>
  <c r="CV53" i="8" s="1"/>
  <c r="CX53" i="8"/>
  <c r="CY53" i="8" s="1"/>
  <c r="DA53" i="8"/>
  <c r="DB53" i="8" s="1"/>
  <c r="DD53" i="8"/>
  <c r="DE53" i="8" s="1"/>
  <c r="DG53" i="8"/>
  <c r="DH53" i="8" s="1"/>
  <c r="DJ53" i="8"/>
  <c r="DK53" i="8" s="1"/>
  <c r="DM53" i="8"/>
  <c r="DN53" i="8" s="1"/>
  <c r="DP53" i="8"/>
  <c r="DQ53" i="8" s="1"/>
  <c r="DS53" i="8"/>
  <c r="DT53" i="8" s="1"/>
  <c r="DV53" i="8"/>
  <c r="DW53" i="8" s="1"/>
  <c r="I54" i="8"/>
  <c r="J54" i="8" s="1"/>
  <c r="L54" i="8"/>
  <c r="M54" i="8" s="1"/>
  <c r="O54" i="8"/>
  <c r="P54" i="8" s="1"/>
  <c r="R54" i="8"/>
  <c r="S54" i="8" s="1"/>
  <c r="U54" i="8"/>
  <c r="V54" i="8" s="1"/>
  <c r="X54" i="8"/>
  <c r="Y54" i="8" s="1"/>
  <c r="AA54" i="8"/>
  <c r="AB54" i="8" s="1"/>
  <c r="AD54" i="8"/>
  <c r="AE54" i="8" s="1"/>
  <c r="AG54" i="8"/>
  <c r="AH54" i="8" s="1"/>
  <c r="AJ54" i="8"/>
  <c r="AK54" i="8" s="1"/>
  <c r="AM54" i="8"/>
  <c r="AN54" i="8" s="1"/>
  <c r="AP54" i="8"/>
  <c r="AQ54" i="8" s="1"/>
  <c r="AS54" i="8"/>
  <c r="AT54" i="8" s="1"/>
  <c r="AV54" i="8"/>
  <c r="AW54" i="8" s="1"/>
  <c r="AY54" i="8"/>
  <c r="AZ54" i="8" s="1"/>
  <c r="BB54" i="8"/>
  <c r="BC54" i="8" s="1"/>
  <c r="BE54" i="8"/>
  <c r="BF54" i="8" s="1"/>
  <c r="BH54" i="8"/>
  <c r="BI54" i="8" s="1"/>
  <c r="BK54" i="8"/>
  <c r="BL54" i="8" s="1"/>
  <c r="BN54" i="8"/>
  <c r="BO54" i="8" s="1"/>
  <c r="BQ54" i="8"/>
  <c r="BR54" i="8" s="1"/>
  <c r="BT54" i="8"/>
  <c r="BU54" i="8" s="1"/>
  <c r="BW54" i="8"/>
  <c r="BX54" i="8" s="1"/>
  <c r="BZ54" i="8"/>
  <c r="CA54" i="8" s="1"/>
  <c r="CC54" i="8"/>
  <c r="CD54" i="8" s="1"/>
  <c r="CF54" i="8"/>
  <c r="CG54" i="8" s="1"/>
  <c r="CI54" i="8"/>
  <c r="CJ54" i="8" s="1"/>
  <c r="CL54" i="8"/>
  <c r="CM54" i="8" s="1"/>
  <c r="CO54" i="8"/>
  <c r="CP54" i="8" s="1"/>
  <c r="CR54" i="8"/>
  <c r="CS54" i="8" s="1"/>
  <c r="CU54" i="8"/>
  <c r="CV54" i="8" s="1"/>
  <c r="CX54" i="8"/>
  <c r="CY54" i="8" s="1"/>
  <c r="DA54" i="8"/>
  <c r="DB54" i="8" s="1"/>
  <c r="DD54" i="8"/>
  <c r="DE54" i="8" s="1"/>
  <c r="DG54" i="8"/>
  <c r="DH54" i="8" s="1"/>
  <c r="DJ54" i="8"/>
  <c r="DK54" i="8" s="1"/>
  <c r="DM54" i="8"/>
  <c r="DN54" i="8" s="1"/>
  <c r="DP54" i="8"/>
  <c r="DQ54" i="8" s="1"/>
  <c r="DS54" i="8"/>
  <c r="DT54" i="8" s="1"/>
  <c r="DV54" i="8"/>
  <c r="DW54" i="8" s="1"/>
  <c r="I55" i="8"/>
  <c r="J55" i="8" s="1"/>
  <c r="L55" i="8"/>
  <c r="M55" i="8" s="1"/>
  <c r="O55" i="8"/>
  <c r="P55" i="8" s="1"/>
  <c r="R55" i="8"/>
  <c r="S55" i="8" s="1"/>
  <c r="U55" i="8"/>
  <c r="V55" i="8" s="1"/>
  <c r="X55" i="8"/>
  <c r="Y55" i="8" s="1"/>
  <c r="AA55" i="8"/>
  <c r="AB55" i="8" s="1"/>
  <c r="AD55" i="8"/>
  <c r="AE55" i="8" s="1"/>
  <c r="AG55" i="8"/>
  <c r="AH55" i="8" s="1"/>
  <c r="AJ55" i="8"/>
  <c r="AK55" i="8" s="1"/>
  <c r="AM55" i="8"/>
  <c r="AN55" i="8" s="1"/>
  <c r="AP55" i="8"/>
  <c r="AQ55" i="8" s="1"/>
  <c r="AS55" i="8"/>
  <c r="AT55" i="8" s="1"/>
  <c r="AV55" i="8"/>
  <c r="AW55" i="8" s="1"/>
  <c r="AY55" i="8"/>
  <c r="AZ55" i="8" s="1"/>
  <c r="BB55" i="8"/>
  <c r="BC55" i="8" s="1"/>
  <c r="BE55" i="8"/>
  <c r="BF55" i="8" s="1"/>
  <c r="BH55" i="8"/>
  <c r="BI55" i="8" s="1"/>
  <c r="BK55" i="8"/>
  <c r="BL55" i="8" s="1"/>
  <c r="BN55" i="8"/>
  <c r="BO55" i="8" s="1"/>
  <c r="BQ55" i="8"/>
  <c r="BR55" i="8" s="1"/>
  <c r="BT55" i="8"/>
  <c r="BU55" i="8" s="1"/>
  <c r="BW55" i="8"/>
  <c r="BX55" i="8" s="1"/>
  <c r="BZ55" i="8"/>
  <c r="CA55" i="8" s="1"/>
  <c r="CC55" i="8"/>
  <c r="CD55" i="8" s="1"/>
  <c r="CF55" i="8"/>
  <c r="CG55" i="8" s="1"/>
  <c r="CI55" i="8"/>
  <c r="CJ55" i="8" s="1"/>
  <c r="CL55" i="8"/>
  <c r="CM55" i="8" s="1"/>
  <c r="CO55" i="8"/>
  <c r="CP55" i="8" s="1"/>
  <c r="CR55" i="8"/>
  <c r="CS55" i="8" s="1"/>
  <c r="CU55" i="8"/>
  <c r="CV55" i="8" s="1"/>
  <c r="CX55" i="8"/>
  <c r="CY55" i="8" s="1"/>
  <c r="DA55" i="8"/>
  <c r="DB55" i="8" s="1"/>
  <c r="DD55" i="8"/>
  <c r="DE55" i="8" s="1"/>
  <c r="DG55" i="8"/>
  <c r="DH55" i="8" s="1"/>
  <c r="DJ55" i="8"/>
  <c r="DK55" i="8" s="1"/>
  <c r="DM55" i="8"/>
  <c r="DN55" i="8" s="1"/>
  <c r="DP55" i="8"/>
  <c r="DQ55" i="8" s="1"/>
  <c r="DS55" i="8"/>
  <c r="DT55" i="8" s="1"/>
  <c r="DV55" i="8"/>
  <c r="DW55" i="8" s="1"/>
  <c r="I56" i="8"/>
  <c r="J56" i="8" s="1"/>
  <c r="L56" i="8"/>
  <c r="M56" i="8" s="1"/>
  <c r="O56" i="8"/>
  <c r="P56" i="8" s="1"/>
  <c r="R56" i="8"/>
  <c r="S56" i="8" s="1"/>
  <c r="U56" i="8"/>
  <c r="V56" i="8" s="1"/>
  <c r="X56" i="8"/>
  <c r="Y56" i="8" s="1"/>
  <c r="AA56" i="8"/>
  <c r="AB56" i="8" s="1"/>
  <c r="AD56" i="8"/>
  <c r="AE56" i="8" s="1"/>
  <c r="AG56" i="8"/>
  <c r="AH56" i="8" s="1"/>
  <c r="AJ56" i="8"/>
  <c r="AK56" i="8" s="1"/>
  <c r="AM56" i="8"/>
  <c r="AN56" i="8" s="1"/>
  <c r="AP56" i="8"/>
  <c r="AQ56" i="8" s="1"/>
  <c r="AS56" i="8"/>
  <c r="AT56" i="8" s="1"/>
  <c r="AV56" i="8"/>
  <c r="AW56" i="8" s="1"/>
  <c r="AY56" i="8"/>
  <c r="AZ56" i="8" s="1"/>
  <c r="BB56" i="8"/>
  <c r="BC56" i="8" s="1"/>
  <c r="BE56" i="8"/>
  <c r="BF56" i="8" s="1"/>
  <c r="BH56" i="8"/>
  <c r="BI56" i="8" s="1"/>
  <c r="BK56" i="8"/>
  <c r="BL56" i="8" s="1"/>
  <c r="BN56" i="8"/>
  <c r="BO56" i="8" s="1"/>
  <c r="BQ56" i="8"/>
  <c r="BR56" i="8" s="1"/>
  <c r="BT56" i="8"/>
  <c r="BU56" i="8" s="1"/>
  <c r="BW56" i="8"/>
  <c r="BX56" i="8" s="1"/>
  <c r="BZ56" i="8"/>
  <c r="CA56" i="8" s="1"/>
  <c r="CC56" i="8"/>
  <c r="CD56" i="8" s="1"/>
  <c r="CF56" i="8"/>
  <c r="CG56" i="8" s="1"/>
  <c r="CI56" i="8"/>
  <c r="CJ56" i="8" s="1"/>
  <c r="CL56" i="8"/>
  <c r="CM56" i="8" s="1"/>
  <c r="CO56" i="8"/>
  <c r="CP56" i="8" s="1"/>
  <c r="CR56" i="8"/>
  <c r="CS56" i="8" s="1"/>
  <c r="CU56" i="8"/>
  <c r="CV56" i="8" s="1"/>
  <c r="CX56" i="8"/>
  <c r="CY56" i="8" s="1"/>
  <c r="DA56" i="8"/>
  <c r="DB56" i="8" s="1"/>
  <c r="DD56" i="8"/>
  <c r="DE56" i="8" s="1"/>
  <c r="DG56" i="8"/>
  <c r="DH56" i="8" s="1"/>
  <c r="DJ56" i="8"/>
  <c r="DK56" i="8" s="1"/>
  <c r="DM56" i="8"/>
  <c r="DN56" i="8" s="1"/>
  <c r="DP56" i="8"/>
  <c r="DQ56" i="8" s="1"/>
  <c r="DS56" i="8"/>
  <c r="DT56" i="8" s="1"/>
  <c r="DV56" i="8"/>
  <c r="DW56" i="8" s="1"/>
  <c r="I57" i="8"/>
  <c r="J57" i="8" s="1"/>
  <c r="L57" i="8"/>
  <c r="M57" i="8" s="1"/>
  <c r="O57" i="8"/>
  <c r="P57" i="8" s="1"/>
  <c r="R57" i="8"/>
  <c r="S57" i="8" s="1"/>
  <c r="U57" i="8"/>
  <c r="V57" i="8" s="1"/>
  <c r="X57" i="8"/>
  <c r="Y57" i="8" s="1"/>
  <c r="AA57" i="8"/>
  <c r="AB57" i="8" s="1"/>
  <c r="AD57" i="8"/>
  <c r="AE57" i="8" s="1"/>
  <c r="AG57" i="8"/>
  <c r="AH57" i="8" s="1"/>
  <c r="AJ57" i="8"/>
  <c r="AK57" i="8" s="1"/>
  <c r="AM57" i="8"/>
  <c r="AN57" i="8" s="1"/>
  <c r="AP57" i="8"/>
  <c r="AQ57" i="8" s="1"/>
  <c r="AS57" i="8"/>
  <c r="AT57" i="8" s="1"/>
  <c r="AV57" i="8"/>
  <c r="AW57" i="8" s="1"/>
  <c r="AY57" i="8"/>
  <c r="AZ57" i="8" s="1"/>
  <c r="BB57" i="8"/>
  <c r="BC57" i="8" s="1"/>
  <c r="BE57" i="8"/>
  <c r="BF57" i="8" s="1"/>
  <c r="BH57" i="8"/>
  <c r="BI57" i="8" s="1"/>
  <c r="BK57" i="8"/>
  <c r="BL57" i="8" s="1"/>
  <c r="BN57" i="8"/>
  <c r="BO57" i="8" s="1"/>
  <c r="BQ57" i="8"/>
  <c r="BR57" i="8" s="1"/>
  <c r="BT57" i="8"/>
  <c r="BU57" i="8" s="1"/>
  <c r="BW57" i="8"/>
  <c r="BX57" i="8" s="1"/>
  <c r="BZ57" i="8"/>
  <c r="CA57" i="8" s="1"/>
  <c r="CC57" i="8"/>
  <c r="CD57" i="8" s="1"/>
  <c r="CF57" i="8"/>
  <c r="CG57" i="8" s="1"/>
  <c r="CI57" i="8"/>
  <c r="CJ57" i="8" s="1"/>
  <c r="CL57" i="8"/>
  <c r="CM57" i="8" s="1"/>
  <c r="CO57" i="8"/>
  <c r="CP57" i="8" s="1"/>
  <c r="CR57" i="8"/>
  <c r="CS57" i="8" s="1"/>
  <c r="CU57" i="8"/>
  <c r="CV57" i="8" s="1"/>
  <c r="CX57" i="8"/>
  <c r="CY57" i="8" s="1"/>
  <c r="DA57" i="8"/>
  <c r="DB57" i="8" s="1"/>
  <c r="DD57" i="8"/>
  <c r="DE57" i="8" s="1"/>
  <c r="DG57" i="8"/>
  <c r="DH57" i="8" s="1"/>
  <c r="DJ57" i="8"/>
  <c r="DK57" i="8" s="1"/>
  <c r="DM57" i="8"/>
  <c r="DN57" i="8" s="1"/>
  <c r="DP57" i="8"/>
  <c r="DQ57" i="8" s="1"/>
  <c r="DS57" i="8"/>
  <c r="DT57" i="8" s="1"/>
  <c r="DV57" i="8"/>
  <c r="DW57" i="8" s="1"/>
  <c r="I58" i="8"/>
  <c r="J58" i="8" s="1"/>
  <c r="L58" i="8"/>
  <c r="M58" i="8" s="1"/>
  <c r="O58" i="8"/>
  <c r="P58" i="8" s="1"/>
  <c r="R58" i="8"/>
  <c r="S58" i="8" s="1"/>
  <c r="U58" i="8"/>
  <c r="V58" i="8" s="1"/>
  <c r="X58" i="8"/>
  <c r="Y58" i="8" s="1"/>
  <c r="AA58" i="8"/>
  <c r="AB58" i="8" s="1"/>
  <c r="AD58" i="8"/>
  <c r="AE58" i="8" s="1"/>
  <c r="AG58" i="8"/>
  <c r="AH58" i="8" s="1"/>
  <c r="AJ58" i="8"/>
  <c r="AK58" i="8" s="1"/>
  <c r="AM58" i="8"/>
  <c r="AN58" i="8" s="1"/>
  <c r="AP58" i="8"/>
  <c r="AQ58" i="8" s="1"/>
  <c r="AS58" i="8"/>
  <c r="AT58" i="8" s="1"/>
  <c r="AV58" i="8"/>
  <c r="AW58" i="8" s="1"/>
  <c r="AY58" i="8"/>
  <c r="AZ58" i="8" s="1"/>
  <c r="BB58" i="8"/>
  <c r="BC58" i="8" s="1"/>
  <c r="BE58" i="8"/>
  <c r="BF58" i="8" s="1"/>
  <c r="BH58" i="8"/>
  <c r="BI58" i="8" s="1"/>
  <c r="BK58" i="8"/>
  <c r="BL58" i="8" s="1"/>
  <c r="BN58" i="8"/>
  <c r="BO58" i="8" s="1"/>
  <c r="BQ58" i="8"/>
  <c r="BR58" i="8" s="1"/>
  <c r="BT58" i="8"/>
  <c r="BU58" i="8" s="1"/>
  <c r="BW58" i="8"/>
  <c r="BX58" i="8" s="1"/>
  <c r="BZ58" i="8"/>
  <c r="CA58" i="8" s="1"/>
  <c r="CC58" i="8"/>
  <c r="CD58" i="8" s="1"/>
  <c r="CF58" i="8"/>
  <c r="CG58" i="8" s="1"/>
  <c r="CI58" i="8"/>
  <c r="CJ58" i="8" s="1"/>
  <c r="CL58" i="8"/>
  <c r="CM58" i="8" s="1"/>
  <c r="CO58" i="8"/>
  <c r="CP58" i="8" s="1"/>
  <c r="CR58" i="8"/>
  <c r="CS58" i="8" s="1"/>
  <c r="CU58" i="8"/>
  <c r="CV58" i="8" s="1"/>
  <c r="CX58" i="8"/>
  <c r="CY58" i="8" s="1"/>
  <c r="DA58" i="8"/>
  <c r="DB58" i="8" s="1"/>
  <c r="DD58" i="8"/>
  <c r="DE58" i="8" s="1"/>
  <c r="DG58" i="8"/>
  <c r="DH58" i="8" s="1"/>
  <c r="DJ58" i="8"/>
  <c r="DK58" i="8" s="1"/>
  <c r="DM58" i="8"/>
  <c r="DN58" i="8" s="1"/>
  <c r="DP58" i="8"/>
  <c r="DQ58" i="8" s="1"/>
  <c r="DS58" i="8"/>
  <c r="DT58" i="8" s="1"/>
  <c r="DV58" i="8"/>
  <c r="DW58" i="8" s="1"/>
  <c r="I59" i="8"/>
  <c r="J59" i="8" s="1"/>
  <c r="L59" i="8"/>
  <c r="M59" i="8" s="1"/>
  <c r="O59" i="8"/>
  <c r="P59" i="8" s="1"/>
  <c r="R59" i="8"/>
  <c r="S59" i="8" s="1"/>
  <c r="U59" i="8"/>
  <c r="V59" i="8" s="1"/>
  <c r="X59" i="8"/>
  <c r="Y59" i="8" s="1"/>
  <c r="AA59" i="8"/>
  <c r="AB59" i="8" s="1"/>
  <c r="AD59" i="8"/>
  <c r="AE59" i="8" s="1"/>
  <c r="AG59" i="8"/>
  <c r="AH59" i="8" s="1"/>
  <c r="AJ59" i="8"/>
  <c r="AK59" i="8" s="1"/>
  <c r="AM59" i="8"/>
  <c r="AN59" i="8" s="1"/>
  <c r="AP59" i="8"/>
  <c r="AQ59" i="8" s="1"/>
  <c r="AS59" i="8"/>
  <c r="AT59" i="8" s="1"/>
  <c r="AV59" i="8"/>
  <c r="AW59" i="8" s="1"/>
  <c r="AY59" i="8"/>
  <c r="AZ59" i="8" s="1"/>
  <c r="BB59" i="8"/>
  <c r="BC59" i="8" s="1"/>
  <c r="BE59" i="8"/>
  <c r="BF59" i="8" s="1"/>
  <c r="BH59" i="8"/>
  <c r="BI59" i="8" s="1"/>
  <c r="BK59" i="8"/>
  <c r="BL59" i="8" s="1"/>
  <c r="BN59" i="8"/>
  <c r="BO59" i="8" s="1"/>
  <c r="BQ59" i="8"/>
  <c r="BR59" i="8" s="1"/>
  <c r="BT59" i="8"/>
  <c r="BU59" i="8" s="1"/>
  <c r="BW59" i="8"/>
  <c r="BX59" i="8" s="1"/>
  <c r="BZ59" i="8"/>
  <c r="CA59" i="8" s="1"/>
  <c r="CC59" i="8"/>
  <c r="CD59" i="8" s="1"/>
  <c r="CF59" i="8"/>
  <c r="CG59" i="8" s="1"/>
  <c r="CI59" i="8"/>
  <c r="CJ59" i="8" s="1"/>
  <c r="CL59" i="8"/>
  <c r="CM59" i="8" s="1"/>
  <c r="CO59" i="8"/>
  <c r="CP59" i="8" s="1"/>
  <c r="CR59" i="8"/>
  <c r="CS59" i="8" s="1"/>
  <c r="CU59" i="8"/>
  <c r="CV59" i="8" s="1"/>
  <c r="CX59" i="8"/>
  <c r="CY59" i="8" s="1"/>
  <c r="DA59" i="8"/>
  <c r="DB59" i="8" s="1"/>
  <c r="DD59" i="8"/>
  <c r="DE59" i="8" s="1"/>
  <c r="DG59" i="8"/>
  <c r="DH59" i="8" s="1"/>
  <c r="DJ59" i="8"/>
  <c r="DK59" i="8" s="1"/>
  <c r="DM59" i="8"/>
  <c r="DN59" i="8" s="1"/>
  <c r="DP59" i="8"/>
  <c r="DQ59" i="8" s="1"/>
  <c r="DS59" i="8"/>
  <c r="DT59" i="8" s="1"/>
  <c r="DV59" i="8"/>
  <c r="DW59" i="8" s="1"/>
  <c r="I60" i="8"/>
  <c r="J60" i="8" s="1"/>
  <c r="L60" i="8"/>
  <c r="M60" i="8" s="1"/>
  <c r="O60" i="8"/>
  <c r="P60" i="8" s="1"/>
  <c r="R60" i="8"/>
  <c r="S60" i="8" s="1"/>
  <c r="U60" i="8"/>
  <c r="V60" i="8" s="1"/>
  <c r="X60" i="8"/>
  <c r="Y60" i="8" s="1"/>
  <c r="AA60" i="8"/>
  <c r="AB60" i="8" s="1"/>
  <c r="AD60" i="8"/>
  <c r="AE60" i="8" s="1"/>
  <c r="AG60" i="8"/>
  <c r="AH60" i="8" s="1"/>
  <c r="AJ60" i="8"/>
  <c r="AK60" i="8" s="1"/>
  <c r="AM60" i="8"/>
  <c r="AN60" i="8" s="1"/>
  <c r="AP60" i="8"/>
  <c r="AQ60" i="8" s="1"/>
  <c r="AS60" i="8"/>
  <c r="AT60" i="8" s="1"/>
  <c r="AV60" i="8"/>
  <c r="AW60" i="8" s="1"/>
  <c r="AY60" i="8"/>
  <c r="AZ60" i="8" s="1"/>
  <c r="BB60" i="8"/>
  <c r="BC60" i="8" s="1"/>
  <c r="BE60" i="8"/>
  <c r="BF60" i="8" s="1"/>
  <c r="BH60" i="8"/>
  <c r="BI60" i="8" s="1"/>
  <c r="BK60" i="8"/>
  <c r="BL60" i="8" s="1"/>
  <c r="BN60" i="8"/>
  <c r="BO60" i="8" s="1"/>
  <c r="BQ60" i="8"/>
  <c r="BR60" i="8" s="1"/>
  <c r="BT60" i="8"/>
  <c r="BU60" i="8" s="1"/>
  <c r="BW60" i="8"/>
  <c r="BX60" i="8" s="1"/>
  <c r="BZ60" i="8"/>
  <c r="CA60" i="8" s="1"/>
  <c r="CC60" i="8"/>
  <c r="CD60" i="8" s="1"/>
  <c r="CF60" i="8"/>
  <c r="CG60" i="8" s="1"/>
  <c r="CI60" i="8"/>
  <c r="CJ60" i="8" s="1"/>
  <c r="CL60" i="8"/>
  <c r="CM60" i="8" s="1"/>
  <c r="CO60" i="8"/>
  <c r="CP60" i="8" s="1"/>
  <c r="CR60" i="8"/>
  <c r="CS60" i="8" s="1"/>
  <c r="CU60" i="8"/>
  <c r="CV60" i="8" s="1"/>
  <c r="CX60" i="8"/>
  <c r="CY60" i="8" s="1"/>
  <c r="DA60" i="8"/>
  <c r="DB60" i="8" s="1"/>
  <c r="DD60" i="8"/>
  <c r="DE60" i="8" s="1"/>
  <c r="DG60" i="8"/>
  <c r="DH60" i="8" s="1"/>
  <c r="DJ60" i="8"/>
  <c r="DK60" i="8" s="1"/>
  <c r="DM60" i="8"/>
  <c r="DN60" i="8" s="1"/>
  <c r="DP60" i="8"/>
  <c r="DQ60" i="8" s="1"/>
  <c r="DS60" i="8"/>
  <c r="DT60" i="8" s="1"/>
  <c r="DV60" i="8"/>
  <c r="DW60" i="8" s="1"/>
  <c r="I61" i="8"/>
  <c r="J61" i="8" s="1"/>
  <c r="L61" i="8"/>
  <c r="M61" i="8" s="1"/>
  <c r="O61" i="8"/>
  <c r="P61" i="8" s="1"/>
  <c r="R61" i="8"/>
  <c r="S61" i="8" s="1"/>
  <c r="U61" i="8"/>
  <c r="V61" i="8" s="1"/>
  <c r="X61" i="8"/>
  <c r="Y61" i="8" s="1"/>
  <c r="AA61" i="8"/>
  <c r="AB61" i="8" s="1"/>
  <c r="AD61" i="8"/>
  <c r="AE61" i="8" s="1"/>
  <c r="AG61" i="8"/>
  <c r="AH61" i="8" s="1"/>
  <c r="AJ61" i="8"/>
  <c r="AK61" i="8" s="1"/>
  <c r="AM61" i="8"/>
  <c r="AN61" i="8" s="1"/>
  <c r="AP61" i="8"/>
  <c r="AQ61" i="8" s="1"/>
  <c r="AS61" i="8"/>
  <c r="AT61" i="8" s="1"/>
  <c r="AV61" i="8"/>
  <c r="AW61" i="8" s="1"/>
  <c r="AY61" i="8"/>
  <c r="AZ61" i="8" s="1"/>
  <c r="BB61" i="8"/>
  <c r="BC61" i="8" s="1"/>
  <c r="BE61" i="8"/>
  <c r="BF61" i="8" s="1"/>
  <c r="BH61" i="8"/>
  <c r="BI61" i="8" s="1"/>
  <c r="BK61" i="8"/>
  <c r="BL61" i="8" s="1"/>
  <c r="BN61" i="8"/>
  <c r="BO61" i="8" s="1"/>
  <c r="BQ61" i="8"/>
  <c r="BR61" i="8" s="1"/>
  <c r="BT61" i="8"/>
  <c r="BU61" i="8" s="1"/>
  <c r="BW61" i="8"/>
  <c r="BX61" i="8" s="1"/>
  <c r="BZ61" i="8"/>
  <c r="CA61" i="8" s="1"/>
  <c r="CC61" i="8"/>
  <c r="CD61" i="8" s="1"/>
  <c r="CF61" i="8"/>
  <c r="CG61" i="8" s="1"/>
  <c r="CI61" i="8"/>
  <c r="CJ61" i="8" s="1"/>
  <c r="CL61" i="8"/>
  <c r="CM61" i="8" s="1"/>
  <c r="CO61" i="8"/>
  <c r="CP61" i="8" s="1"/>
  <c r="CR61" i="8"/>
  <c r="CS61" i="8" s="1"/>
  <c r="CU61" i="8"/>
  <c r="CV61" i="8" s="1"/>
  <c r="CX61" i="8"/>
  <c r="CY61" i="8" s="1"/>
  <c r="DA61" i="8"/>
  <c r="DB61" i="8" s="1"/>
  <c r="DD61" i="8"/>
  <c r="DE61" i="8" s="1"/>
  <c r="DG61" i="8"/>
  <c r="DH61" i="8" s="1"/>
  <c r="DJ61" i="8"/>
  <c r="DK61" i="8" s="1"/>
  <c r="DM61" i="8"/>
  <c r="DN61" i="8" s="1"/>
  <c r="DP61" i="8"/>
  <c r="DQ61" i="8" s="1"/>
  <c r="DS61" i="8"/>
  <c r="DT61" i="8" s="1"/>
  <c r="DV61" i="8"/>
  <c r="DW61" i="8" s="1"/>
  <c r="I62" i="8"/>
  <c r="J62" i="8" s="1"/>
  <c r="L62" i="8"/>
  <c r="M62" i="8" s="1"/>
  <c r="O62" i="8"/>
  <c r="P62" i="8" s="1"/>
  <c r="R62" i="8"/>
  <c r="S62" i="8" s="1"/>
  <c r="U62" i="8"/>
  <c r="V62" i="8" s="1"/>
  <c r="X62" i="8"/>
  <c r="Y62" i="8" s="1"/>
  <c r="AA62" i="8"/>
  <c r="AB62" i="8" s="1"/>
  <c r="AD62" i="8"/>
  <c r="AE62" i="8" s="1"/>
  <c r="AG62" i="8"/>
  <c r="AH62" i="8" s="1"/>
  <c r="AJ62" i="8"/>
  <c r="AK62" i="8" s="1"/>
  <c r="AM62" i="8"/>
  <c r="AN62" i="8" s="1"/>
  <c r="AP62" i="8"/>
  <c r="AQ62" i="8" s="1"/>
  <c r="AS62" i="8"/>
  <c r="AT62" i="8" s="1"/>
  <c r="AV62" i="8"/>
  <c r="AW62" i="8" s="1"/>
  <c r="AY62" i="8"/>
  <c r="AZ62" i="8" s="1"/>
  <c r="BB62" i="8"/>
  <c r="BC62" i="8" s="1"/>
  <c r="BE62" i="8"/>
  <c r="BF62" i="8" s="1"/>
  <c r="BH62" i="8"/>
  <c r="BI62" i="8" s="1"/>
  <c r="BK62" i="8"/>
  <c r="BL62" i="8" s="1"/>
  <c r="BN62" i="8"/>
  <c r="BO62" i="8" s="1"/>
  <c r="BQ62" i="8"/>
  <c r="BR62" i="8" s="1"/>
  <c r="BT62" i="8"/>
  <c r="BU62" i="8" s="1"/>
  <c r="BW62" i="8"/>
  <c r="BX62" i="8" s="1"/>
  <c r="BZ62" i="8"/>
  <c r="CA62" i="8" s="1"/>
  <c r="CC62" i="8"/>
  <c r="CD62" i="8" s="1"/>
  <c r="CF62" i="8"/>
  <c r="CG62" i="8" s="1"/>
  <c r="CI62" i="8"/>
  <c r="CJ62" i="8" s="1"/>
  <c r="CL62" i="8"/>
  <c r="CM62" i="8" s="1"/>
  <c r="CO62" i="8"/>
  <c r="CP62" i="8" s="1"/>
  <c r="CR62" i="8"/>
  <c r="CS62" i="8" s="1"/>
  <c r="CU62" i="8"/>
  <c r="CV62" i="8" s="1"/>
  <c r="CX62" i="8"/>
  <c r="CY62" i="8" s="1"/>
  <c r="DA62" i="8"/>
  <c r="DB62" i="8" s="1"/>
  <c r="DD62" i="8"/>
  <c r="DE62" i="8" s="1"/>
  <c r="DG62" i="8"/>
  <c r="DH62" i="8" s="1"/>
  <c r="DJ62" i="8"/>
  <c r="DK62" i="8" s="1"/>
  <c r="DM62" i="8"/>
  <c r="DN62" i="8" s="1"/>
  <c r="DP62" i="8"/>
  <c r="DQ62" i="8" s="1"/>
  <c r="DS62" i="8"/>
  <c r="DT62" i="8" s="1"/>
  <c r="DV62" i="8"/>
  <c r="DW62" i="8" s="1"/>
  <c r="I63" i="8"/>
  <c r="J63" i="8" s="1"/>
  <c r="L63" i="8"/>
  <c r="M63" i="8" s="1"/>
  <c r="O63" i="8"/>
  <c r="P63" i="8" s="1"/>
  <c r="R63" i="8"/>
  <c r="S63" i="8" s="1"/>
  <c r="U63" i="8"/>
  <c r="V63" i="8" s="1"/>
  <c r="X63" i="8"/>
  <c r="Y63" i="8" s="1"/>
  <c r="AA63" i="8"/>
  <c r="AB63" i="8" s="1"/>
  <c r="AD63" i="8"/>
  <c r="AE63" i="8" s="1"/>
  <c r="AG63" i="8"/>
  <c r="AH63" i="8" s="1"/>
  <c r="AJ63" i="8"/>
  <c r="AK63" i="8" s="1"/>
  <c r="AM63" i="8"/>
  <c r="AN63" i="8" s="1"/>
  <c r="AP63" i="8"/>
  <c r="AQ63" i="8" s="1"/>
  <c r="AS63" i="8"/>
  <c r="AT63" i="8" s="1"/>
  <c r="AV63" i="8"/>
  <c r="AW63" i="8" s="1"/>
  <c r="AY63" i="8"/>
  <c r="AZ63" i="8" s="1"/>
  <c r="BB63" i="8"/>
  <c r="BC63" i="8" s="1"/>
  <c r="BE63" i="8"/>
  <c r="BF63" i="8" s="1"/>
  <c r="BH63" i="8"/>
  <c r="BI63" i="8" s="1"/>
  <c r="BK63" i="8"/>
  <c r="BL63" i="8" s="1"/>
  <c r="BN63" i="8"/>
  <c r="BO63" i="8" s="1"/>
  <c r="BQ63" i="8"/>
  <c r="BR63" i="8" s="1"/>
  <c r="BT63" i="8"/>
  <c r="BU63" i="8" s="1"/>
  <c r="BW63" i="8"/>
  <c r="BX63" i="8" s="1"/>
  <c r="BZ63" i="8"/>
  <c r="CA63" i="8" s="1"/>
  <c r="CC63" i="8"/>
  <c r="CD63" i="8" s="1"/>
  <c r="CF63" i="8"/>
  <c r="CG63" i="8" s="1"/>
  <c r="CI63" i="8"/>
  <c r="CJ63" i="8" s="1"/>
  <c r="CL63" i="8"/>
  <c r="CM63" i="8" s="1"/>
  <c r="CO63" i="8"/>
  <c r="CP63" i="8" s="1"/>
  <c r="CR63" i="8"/>
  <c r="CS63" i="8" s="1"/>
  <c r="CU63" i="8"/>
  <c r="CV63" i="8" s="1"/>
  <c r="CX63" i="8"/>
  <c r="CY63" i="8" s="1"/>
  <c r="DA63" i="8"/>
  <c r="DB63" i="8" s="1"/>
  <c r="DD63" i="8"/>
  <c r="DE63" i="8" s="1"/>
  <c r="DG63" i="8"/>
  <c r="DH63" i="8" s="1"/>
  <c r="DJ63" i="8"/>
  <c r="DK63" i="8" s="1"/>
  <c r="DM63" i="8"/>
  <c r="DN63" i="8" s="1"/>
  <c r="DP63" i="8"/>
  <c r="DQ63" i="8" s="1"/>
  <c r="DS63" i="8"/>
  <c r="DT63" i="8" s="1"/>
  <c r="DV63" i="8"/>
  <c r="DW63" i="8" s="1"/>
  <c r="I64" i="8"/>
  <c r="J64" i="8" s="1"/>
  <c r="L64" i="8"/>
  <c r="M64" i="8" s="1"/>
  <c r="O64" i="8"/>
  <c r="P64" i="8" s="1"/>
  <c r="R64" i="8"/>
  <c r="S64" i="8" s="1"/>
  <c r="U64" i="8"/>
  <c r="V64" i="8" s="1"/>
  <c r="X64" i="8"/>
  <c r="Y64" i="8" s="1"/>
  <c r="AA64" i="8"/>
  <c r="AB64" i="8" s="1"/>
  <c r="AD64" i="8"/>
  <c r="AE64" i="8" s="1"/>
  <c r="AG64" i="8"/>
  <c r="AH64" i="8" s="1"/>
  <c r="AJ64" i="8"/>
  <c r="AK64" i="8" s="1"/>
  <c r="AM64" i="8"/>
  <c r="AN64" i="8" s="1"/>
  <c r="AP64" i="8"/>
  <c r="AQ64" i="8" s="1"/>
  <c r="AS64" i="8"/>
  <c r="AT64" i="8" s="1"/>
  <c r="AV64" i="8"/>
  <c r="AW64" i="8" s="1"/>
  <c r="AY64" i="8"/>
  <c r="AZ64" i="8" s="1"/>
  <c r="BB64" i="8"/>
  <c r="BC64" i="8" s="1"/>
  <c r="BE64" i="8"/>
  <c r="BF64" i="8" s="1"/>
  <c r="BH64" i="8"/>
  <c r="BI64" i="8" s="1"/>
  <c r="BK64" i="8"/>
  <c r="BL64" i="8" s="1"/>
  <c r="BN64" i="8"/>
  <c r="BO64" i="8" s="1"/>
  <c r="BQ64" i="8"/>
  <c r="BR64" i="8" s="1"/>
  <c r="BT64" i="8"/>
  <c r="BU64" i="8" s="1"/>
  <c r="BW64" i="8"/>
  <c r="BX64" i="8" s="1"/>
  <c r="BZ64" i="8"/>
  <c r="CA64" i="8" s="1"/>
  <c r="CC64" i="8"/>
  <c r="CD64" i="8" s="1"/>
  <c r="CF64" i="8"/>
  <c r="CG64" i="8" s="1"/>
  <c r="CI64" i="8"/>
  <c r="CJ64" i="8" s="1"/>
  <c r="CL64" i="8"/>
  <c r="CM64" i="8" s="1"/>
  <c r="CO64" i="8"/>
  <c r="CP64" i="8" s="1"/>
  <c r="CR64" i="8"/>
  <c r="CS64" i="8" s="1"/>
  <c r="CU64" i="8"/>
  <c r="CV64" i="8" s="1"/>
  <c r="CX64" i="8"/>
  <c r="CY64" i="8" s="1"/>
  <c r="DA64" i="8"/>
  <c r="DB64" i="8" s="1"/>
  <c r="DD64" i="8"/>
  <c r="DE64" i="8" s="1"/>
  <c r="DG64" i="8"/>
  <c r="DH64" i="8" s="1"/>
  <c r="DJ64" i="8"/>
  <c r="DK64" i="8" s="1"/>
  <c r="DM64" i="8"/>
  <c r="DN64" i="8" s="1"/>
  <c r="DP64" i="8"/>
  <c r="DQ64" i="8" s="1"/>
  <c r="DS64" i="8"/>
  <c r="DT64" i="8" s="1"/>
  <c r="DV64" i="8"/>
  <c r="DW64" i="8" s="1"/>
  <c r="I65" i="8"/>
  <c r="J65" i="8" s="1"/>
  <c r="L65" i="8"/>
  <c r="M65" i="8" s="1"/>
  <c r="O65" i="8"/>
  <c r="P65" i="8" s="1"/>
  <c r="R65" i="8"/>
  <c r="S65" i="8" s="1"/>
  <c r="U65" i="8"/>
  <c r="V65" i="8" s="1"/>
  <c r="X65" i="8"/>
  <c r="Y65" i="8" s="1"/>
  <c r="AA65" i="8"/>
  <c r="AB65" i="8" s="1"/>
  <c r="AD65" i="8"/>
  <c r="AE65" i="8" s="1"/>
  <c r="AG65" i="8"/>
  <c r="AH65" i="8" s="1"/>
  <c r="AJ65" i="8"/>
  <c r="AK65" i="8" s="1"/>
  <c r="AM65" i="8"/>
  <c r="AN65" i="8" s="1"/>
  <c r="AP65" i="8"/>
  <c r="AQ65" i="8" s="1"/>
  <c r="AS65" i="8"/>
  <c r="AT65" i="8" s="1"/>
  <c r="AV65" i="8"/>
  <c r="AW65" i="8" s="1"/>
  <c r="AY65" i="8"/>
  <c r="AZ65" i="8" s="1"/>
  <c r="BB65" i="8"/>
  <c r="BC65" i="8" s="1"/>
  <c r="BE65" i="8"/>
  <c r="BF65" i="8" s="1"/>
  <c r="BH65" i="8"/>
  <c r="BI65" i="8" s="1"/>
  <c r="BK65" i="8"/>
  <c r="BL65" i="8" s="1"/>
  <c r="BN65" i="8"/>
  <c r="BO65" i="8" s="1"/>
  <c r="BQ65" i="8"/>
  <c r="BR65" i="8" s="1"/>
  <c r="BT65" i="8"/>
  <c r="BU65" i="8" s="1"/>
  <c r="BW65" i="8"/>
  <c r="BX65" i="8" s="1"/>
  <c r="BZ65" i="8"/>
  <c r="CA65" i="8" s="1"/>
  <c r="CC65" i="8"/>
  <c r="CD65" i="8" s="1"/>
  <c r="CF65" i="8"/>
  <c r="CG65" i="8" s="1"/>
  <c r="CI65" i="8"/>
  <c r="CJ65" i="8" s="1"/>
  <c r="CL65" i="8"/>
  <c r="CM65" i="8" s="1"/>
  <c r="CO65" i="8"/>
  <c r="CP65" i="8" s="1"/>
  <c r="CR65" i="8"/>
  <c r="CS65" i="8" s="1"/>
  <c r="CU65" i="8"/>
  <c r="CV65" i="8" s="1"/>
  <c r="CX65" i="8"/>
  <c r="CY65" i="8" s="1"/>
  <c r="DA65" i="8"/>
  <c r="DB65" i="8" s="1"/>
  <c r="DD65" i="8"/>
  <c r="DE65" i="8" s="1"/>
  <c r="DG65" i="8"/>
  <c r="DH65" i="8" s="1"/>
  <c r="DJ65" i="8"/>
  <c r="DK65" i="8" s="1"/>
  <c r="DM65" i="8"/>
  <c r="DN65" i="8" s="1"/>
  <c r="DP65" i="8"/>
  <c r="DQ65" i="8" s="1"/>
  <c r="DS65" i="8"/>
  <c r="DT65" i="8" s="1"/>
  <c r="DV65" i="8"/>
  <c r="DW65" i="8" s="1"/>
  <c r="I66" i="8"/>
  <c r="J66" i="8" s="1"/>
  <c r="L66" i="8"/>
  <c r="M66" i="8" s="1"/>
  <c r="O66" i="8"/>
  <c r="P66" i="8" s="1"/>
  <c r="R66" i="8"/>
  <c r="S66" i="8" s="1"/>
  <c r="U66" i="8"/>
  <c r="V66" i="8" s="1"/>
  <c r="X66" i="8"/>
  <c r="Y66" i="8" s="1"/>
  <c r="AA66" i="8"/>
  <c r="AB66" i="8" s="1"/>
  <c r="AD66" i="8"/>
  <c r="AE66" i="8" s="1"/>
  <c r="AG66" i="8"/>
  <c r="AH66" i="8" s="1"/>
  <c r="AJ66" i="8"/>
  <c r="AK66" i="8" s="1"/>
  <c r="AM66" i="8"/>
  <c r="AN66" i="8" s="1"/>
  <c r="AP66" i="8"/>
  <c r="AQ66" i="8" s="1"/>
  <c r="AS66" i="8"/>
  <c r="AT66" i="8" s="1"/>
  <c r="AV66" i="8"/>
  <c r="AW66" i="8" s="1"/>
  <c r="AY66" i="8"/>
  <c r="AZ66" i="8" s="1"/>
  <c r="BB66" i="8"/>
  <c r="BC66" i="8" s="1"/>
  <c r="BE66" i="8"/>
  <c r="BF66" i="8" s="1"/>
  <c r="BH66" i="8"/>
  <c r="BI66" i="8" s="1"/>
  <c r="BK66" i="8"/>
  <c r="BL66" i="8" s="1"/>
  <c r="BN66" i="8"/>
  <c r="BO66" i="8" s="1"/>
  <c r="BQ66" i="8"/>
  <c r="BR66" i="8" s="1"/>
  <c r="BT66" i="8"/>
  <c r="BU66" i="8" s="1"/>
  <c r="BW66" i="8"/>
  <c r="BX66" i="8" s="1"/>
  <c r="BZ66" i="8"/>
  <c r="CA66" i="8" s="1"/>
  <c r="CC66" i="8"/>
  <c r="CD66" i="8" s="1"/>
  <c r="CF66" i="8"/>
  <c r="CG66" i="8" s="1"/>
  <c r="CI66" i="8"/>
  <c r="CJ66" i="8" s="1"/>
  <c r="CL66" i="8"/>
  <c r="CM66" i="8" s="1"/>
  <c r="CO66" i="8"/>
  <c r="CP66" i="8" s="1"/>
  <c r="CR66" i="8"/>
  <c r="CS66" i="8" s="1"/>
  <c r="CU66" i="8"/>
  <c r="CV66" i="8" s="1"/>
  <c r="CX66" i="8"/>
  <c r="CY66" i="8" s="1"/>
  <c r="DA66" i="8"/>
  <c r="DB66" i="8" s="1"/>
  <c r="DD66" i="8"/>
  <c r="DE66" i="8" s="1"/>
  <c r="DG66" i="8"/>
  <c r="DH66" i="8" s="1"/>
  <c r="DJ66" i="8"/>
  <c r="DK66" i="8" s="1"/>
  <c r="DM66" i="8"/>
  <c r="DN66" i="8" s="1"/>
  <c r="DP66" i="8"/>
  <c r="DQ66" i="8" s="1"/>
  <c r="DS66" i="8"/>
  <c r="DT66" i="8" s="1"/>
  <c r="DV66" i="8"/>
  <c r="DW66" i="8" s="1"/>
  <c r="I67" i="8"/>
  <c r="J67" i="8" s="1"/>
  <c r="L67" i="8"/>
  <c r="M67" i="8" s="1"/>
  <c r="O67" i="8"/>
  <c r="P67" i="8" s="1"/>
  <c r="R67" i="8"/>
  <c r="S67" i="8" s="1"/>
  <c r="U67" i="8"/>
  <c r="V67" i="8" s="1"/>
  <c r="X67" i="8"/>
  <c r="Y67" i="8" s="1"/>
  <c r="AA67" i="8"/>
  <c r="AB67" i="8" s="1"/>
  <c r="AD67" i="8"/>
  <c r="AE67" i="8" s="1"/>
  <c r="AG67" i="8"/>
  <c r="AH67" i="8" s="1"/>
  <c r="AJ67" i="8"/>
  <c r="AK67" i="8" s="1"/>
  <c r="AM67" i="8"/>
  <c r="AN67" i="8" s="1"/>
  <c r="AP67" i="8"/>
  <c r="AQ67" i="8" s="1"/>
  <c r="AS67" i="8"/>
  <c r="AT67" i="8" s="1"/>
  <c r="AV67" i="8"/>
  <c r="AW67" i="8" s="1"/>
  <c r="AY67" i="8"/>
  <c r="AZ67" i="8" s="1"/>
  <c r="BB67" i="8"/>
  <c r="BC67" i="8" s="1"/>
  <c r="BE67" i="8"/>
  <c r="BF67" i="8" s="1"/>
  <c r="BH67" i="8"/>
  <c r="BI67" i="8" s="1"/>
  <c r="BK67" i="8"/>
  <c r="BL67" i="8" s="1"/>
  <c r="BN67" i="8"/>
  <c r="BO67" i="8" s="1"/>
  <c r="BQ67" i="8"/>
  <c r="BR67" i="8" s="1"/>
  <c r="BT67" i="8"/>
  <c r="BU67" i="8" s="1"/>
  <c r="BW67" i="8"/>
  <c r="BX67" i="8" s="1"/>
  <c r="BZ67" i="8"/>
  <c r="CA67" i="8" s="1"/>
  <c r="CC67" i="8"/>
  <c r="CD67" i="8" s="1"/>
  <c r="CF67" i="8"/>
  <c r="CG67" i="8" s="1"/>
  <c r="CI67" i="8"/>
  <c r="CJ67" i="8" s="1"/>
  <c r="CL67" i="8"/>
  <c r="CM67" i="8" s="1"/>
  <c r="CO67" i="8"/>
  <c r="CP67" i="8" s="1"/>
  <c r="CR67" i="8"/>
  <c r="CS67" i="8" s="1"/>
  <c r="CU67" i="8"/>
  <c r="CV67" i="8" s="1"/>
  <c r="CX67" i="8"/>
  <c r="CY67" i="8" s="1"/>
  <c r="DA67" i="8"/>
  <c r="DB67" i="8" s="1"/>
  <c r="DD67" i="8"/>
  <c r="DE67" i="8" s="1"/>
  <c r="DG67" i="8"/>
  <c r="DH67" i="8" s="1"/>
  <c r="DJ67" i="8"/>
  <c r="DK67" i="8" s="1"/>
  <c r="DM67" i="8"/>
  <c r="DN67" i="8" s="1"/>
  <c r="DP67" i="8"/>
  <c r="DQ67" i="8" s="1"/>
  <c r="DS67" i="8"/>
  <c r="DT67" i="8" s="1"/>
  <c r="DV67" i="8"/>
  <c r="DW67" i="8" s="1"/>
  <c r="I68" i="8"/>
  <c r="J68" i="8" s="1"/>
  <c r="L68" i="8"/>
  <c r="M68" i="8" s="1"/>
  <c r="O68" i="8"/>
  <c r="P68" i="8" s="1"/>
  <c r="R68" i="8"/>
  <c r="S68" i="8" s="1"/>
  <c r="U68" i="8"/>
  <c r="V68" i="8" s="1"/>
  <c r="X68" i="8"/>
  <c r="Y68" i="8" s="1"/>
  <c r="AA68" i="8"/>
  <c r="AB68" i="8" s="1"/>
  <c r="AD68" i="8"/>
  <c r="AE68" i="8" s="1"/>
  <c r="AG68" i="8"/>
  <c r="AH68" i="8" s="1"/>
  <c r="AJ68" i="8"/>
  <c r="AK68" i="8" s="1"/>
  <c r="AM68" i="8"/>
  <c r="AN68" i="8" s="1"/>
  <c r="AP68" i="8"/>
  <c r="AQ68" i="8" s="1"/>
  <c r="AS68" i="8"/>
  <c r="AT68" i="8" s="1"/>
  <c r="AV68" i="8"/>
  <c r="AW68" i="8" s="1"/>
  <c r="AY68" i="8"/>
  <c r="AZ68" i="8" s="1"/>
  <c r="BB68" i="8"/>
  <c r="BC68" i="8" s="1"/>
  <c r="BE68" i="8"/>
  <c r="BF68" i="8" s="1"/>
  <c r="BH68" i="8"/>
  <c r="BI68" i="8" s="1"/>
  <c r="BK68" i="8"/>
  <c r="BL68" i="8" s="1"/>
  <c r="BN68" i="8"/>
  <c r="BO68" i="8" s="1"/>
  <c r="BQ68" i="8"/>
  <c r="BR68" i="8" s="1"/>
  <c r="BT68" i="8"/>
  <c r="BU68" i="8" s="1"/>
  <c r="BW68" i="8"/>
  <c r="BX68" i="8" s="1"/>
  <c r="BZ68" i="8"/>
  <c r="CA68" i="8" s="1"/>
  <c r="CC68" i="8"/>
  <c r="CD68" i="8" s="1"/>
  <c r="CF68" i="8"/>
  <c r="CG68" i="8" s="1"/>
  <c r="CI68" i="8"/>
  <c r="CJ68" i="8" s="1"/>
  <c r="CL68" i="8"/>
  <c r="CM68" i="8" s="1"/>
  <c r="CO68" i="8"/>
  <c r="CP68" i="8" s="1"/>
  <c r="CR68" i="8"/>
  <c r="CS68" i="8" s="1"/>
  <c r="CU68" i="8"/>
  <c r="CV68" i="8" s="1"/>
  <c r="CX68" i="8"/>
  <c r="CY68" i="8" s="1"/>
  <c r="DA68" i="8"/>
  <c r="DB68" i="8" s="1"/>
  <c r="DD68" i="8"/>
  <c r="DE68" i="8" s="1"/>
  <c r="DG68" i="8"/>
  <c r="DH68" i="8" s="1"/>
  <c r="DJ68" i="8"/>
  <c r="DK68" i="8" s="1"/>
  <c r="DM68" i="8"/>
  <c r="DN68" i="8" s="1"/>
  <c r="DP68" i="8"/>
  <c r="DQ68" i="8" s="1"/>
  <c r="DS68" i="8"/>
  <c r="DT68" i="8" s="1"/>
  <c r="DV68" i="8"/>
  <c r="DW68" i="8" s="1"/>
  <c r="I69" i="8"/>
  <c r="J69" i="8" s="1"/>
  <c r="L69" i="8"/>
  <c r="M69" i="8" s="1"/>
  <c r="O69" i="8"/>
  <c r="P69" i="8" s="1"/>
  <c r="R69" i="8"/>
  <c r="S69" i="8" s="1"/>
  <c r="U69" i="8"/>
  <c r="V69" i="8" s="1"/>
  <c r="X69" i="8"/>
  <c r="Y69" i="8" s="1"/>
  <c r="AA69" i="8"/>
  <c r="AB69" i="8" s="1"/>
  <c r="AD69" i="8"/>
  <c r="AE69" i="8" s="1"/>
  <c r="AG69" i="8"/>
  <c r="AH69" i="8" s="1"/>
  <c r="AJ69" i="8"/>
  <c r="AK69" i="8" s="1"/>
  <c r="AM69" i="8"/>
  <c r="AN69" i="8" s="1"/>
  <c r="AP69" i="8"/>
  <c r="AQ69" i="8" s="1"/>
  <c r="AS69" i="8"/>
  <c r="AT69" i="8" s="1"/>
  <c r="AV69" i="8"/>
  <c r="AW69" i="8" s="1"/>
  <c r="AY69" i="8"/>
  <c r="AZ69" i="8" s="1"/>
  <c r="BB69" i="8"/>
  <c r="BC69" i="8" s="1"/>
  <c r="BE69" i="8"/>
  <c r="BF69" i="8" s="1"/>
  <c r="BH69" i="8"/>
  <c r="BI69" i="8" s="1"/>
  <c r="BK69" i="8"/>
  <c r="BL69" i="8" s="1"/>
  <c r="BN69" i="8"/>
  <c r="BO69" i="8" s="1"/>
  <c r="BQ69" i="8"/>
  <c r="BR69" i="8" s="1"/>
  <c r="BT69" i="8"/>
  <c r="BU69" i="8" s="1"/>
  <c r="BW69" i="8"/>
  <c r="BX69" i="8" s="1"/>
  <c r="BZ69" i="8"/>
  <c r="CA69" i="8" s="1"/>
  <c r="CC69" i="8"/>
  <c r="CD69" i="8" s="1"/>
  <c r="CF69" i="8"/>
  <c r="CG69" i="8" s="1"/>
  <c r="CI69" i="8"/>
  <c r="CJ69" i="8" s="1"/>
  <c r="CL69" i="8"/>
  <c r="CM69" i="8" s="1"/>
  <c r="CO69" i="8"/>
  <c r="CP69" i="8" s="1"/>
  <c r="CR69" i="8"/>
  <c r="CS69" i="8" s="1"/>
  <c r="CU69" i="8"/>
  <c r="CV69" i="8" s="1"/>
  <c r="CX69" i="8"/>
  <c r="CY69" i="8" s="1"/>
  <c r="DA69" i="8"/>
  <c r="DB69" i="8" s="1"/>
  <c r="DD69" i="8"/>
  <c r="DE69" i="8" s="1"/>
  <c r="DG69" i="8"/>
  <c r="DH69" i="8" s="1"/>
  <c r="DJ69" i="8"/>
  <c r="DK69" i="8" s="1"/>
  <c r="DM69" i="8"/>
  <c r="DN69" i="8" s="1"/>
  <c r="DP69" i="8"/>
  <c r="DQ69" i="8" s="1"/>
  <c r="DS69" i="8"/>
  <c r="DT69" i="8" s="1"/>
  <c r="DV69" i="8"/>
  <c r="DW69" i="8" s="1"/>
  <c r="I70" i="8"/>
  <c r="J70" i="8" s="1"/>
  <c r="L70" i="8"/>
  <c r="M70" i="8" s="1"/>
  <c r="O70" i="8"/>
  <c r="P70" i="8" s="1"/>
  <c r="R70" i="8"/>
  <c r="S70" i="8" s="1"/>
  <c r="U70" i="8"/>
  <c r="V70" i="8" s="1"/>
  <c r="X70" i="8"/>
  <c r="Y70" i="8" s="1"/>
  <c r="AA70" i="8"/>
  <c r="AB70" i="8" s="1"/>
  <c r="AD70" i="8"/>
  <c r="AE70" i="8" s="1"/>
  <c r="AG70" i="8"/>
  <c r="AH70" i="8" s="1"/>
  <c r="AJ70" i="8"/>
  <c r="AK70" i="8" s="1"/>
  <c r="AM70" i="8"/>
  <c r="AN70" i="8" s="1"/>
  <c r="AP70" i="8"/>
  <c r="AQ70" i="8" s="1"/>
  <c r="AS70" i="8"/>
  <c r="AT70" i="8" s="1"/>
  <c r="AV70" i="8"/>
  <c r="AW70" i="8" s="1"/>
  <c r="AY70" i="8"/>
  <c r="AZ70" i="8" s="1"/>
  <c r="BB70" i="8"/>
  <c r="BC70" i="8" s="1"/>
  <c r="BE70" i="8"/>
  <c r="BF70" i="8" s="1"/>
  <c r="BH70" i="8"/>
  <c r="BI70" i="8" s="1"/>
  <c r="BK70" i="8"/>
  <c r="BL70" i="8" s="1"/>
  <c r="BN70" i="8"/>
  <c r="BO70" i="8" s="1"/>
  <c r="BQ70" i="8"/>
  <c r="BR70" i="8" s="1"/>
  <c r="BT70" i="8"/>
  <c r="BU70" i="8" s="1"/>
  <c r="BW70" i="8"/>
  <c r="BX70" i="8" s="1"/>
  <c r="BZ70" i="8"/>
  <c r="CA70" i="8" s="1"/>
  <c r="CC70" i="8"/>
  <c r="CD70" i="8" s="1"/>
  <c r="CF70" i="8"/>
  <c r="CG70" i="8" s="1"/>
  <c r="CI70" i="8"/>
  <c r="CJ70" i="8" s="1"/>
  <c r="CL70" i="8"/>
  <c r="CM70" i="8" s="1"/>
  <c r="CO70" i="8"/>
  <c r="CP70" i="8" s="1"/>
  <c r="CR70" i="8"/>
  <c r="CS70" i="8" s="1"/>
  <c r="CU70" i="8"/>
  <c r="CV70" i="8" s="1"/>
  <c r="CX70" i="8"/>
  <c r="CY70" i="8" s="1"/>
  <c r="DA70" i="8"/>
  <c r="DB70" i="8" s="1"/>
  <c r="DD70" i="8"/>
  <c r="DE70" i="8" s="1"/>
  <c r="DG70" i="8"/>
  <c r="DH70" i="8" s="1"/>
  <c r="DJ70" i="8"/>
  <c r="DK70" i="8" s="1"/>
  <c r="DM70" i="8"/>
  <c r="DN70" i="8" s="1"/>
  <c r="DP70" i="8"/>
  <c r="DQ70" i="8" s="1"/>
  <c r="DS70" i="8"/>
  <c r="DT70" i="8" s="1"/>
  <c r="DV70" i="8"/>
  <c r="DW70" i="8" s="1"/>
  <c r="I71" i="8"/>
  <c r="J71" i="8" s="1"/>
  <c r="L71" i="8"/>
  <c r="M71" i="8" s="1"/>
  <c r="O71" i="8"/>
  <c r="P71" i="8" s="1"/>
  <c r="R71" i="8"/>
  <c r="S71" i="8" s="1"/>
  <c r="U71" i="8"/>
  <c r="V71" i="8" s="1"/>
  <c r="X71" i="8"/>
  <c r="Y71" i="8" s="1"/>
  <c r="AA71" i="8"/>
  <c r="AB71" i="8" s="1"/>
  <c r="AD71" i="8"/>
  <c r="AE71" i="8" s="1"/>
  <c r="AG71" i="8"/>
  <c r="AH71" i="8" s="1"/>
  <c r="AJ71" i="8"/>
  <c r="AK71" i="8" s="1"/>
  <c r="AM71" i="8"/>
  <c r="AN71" i="8" s="1"/>
  <c r="AP71" i="8"/>
  <c r="AQ71" i="8" s="1"/>
  <c r="AS71" i="8"/>
  <c r="AT71" i="8" s="1"/>
  <c r="AV71" i="8"/>
  <c r="AW71" i="8" s="1"/>
  <c r="AY71" i="8"/>
  <c r="AZ71" i="8" s="1"/>
  <c r="BB71" i="8"/>
  <c r="BC71" i="8" s="1"/>
  <c r="BE71" i="8"/>
  <c r="BF71" i="8" s="1"/>
  <c r="BH71" i="8"/>
  <c r="BI71" i="8" s="1"/>
  <c r="BK71" i="8"/>
  <c r="BL71" i="8" s="1"/>
  <c r="BN71" i="8"/>
  <c r="BO71" i="8" s="1"/>
  <c r="BQ71" i="8"/>
  <c r="BR71" i="8" s="1"/>
  <c r="BT71" i="8"/>
  <c r="BU71" i="8" s="1"/>
  <c r="BW71" i="8"/>
  <c r="BX71" i="8" s="1"/>
  <c r="BZ71" i="8"/>
  <c r="CA71" i="8" s="1"/>
  <c r="CC71" i="8"/>
  <c r="CD71" i="8" s="1"/>
  <c r="CF71" i="8"/>
  <c r="CG71" i="8" s="1"/>
  <c r="CI71" i="8"/>
  <c r="CJ71" i="8" s="1"/>
  <c r="CL71" i="8"/>
  <c r="CM71" i="8" s="1"/>
  <c r="CO71" i="8"/>
  <c r="CP71" i="8" s="1"/>
  <c r="CR71" i="8"/>
  <c r="CS71" i="8" s="1"/>
  <c r="CU71" i="8"/>
  <c r="CV71" i="8" s="1"/>
  <c r="CX71" i="8"/>
  <c r="CY71" i="8" s="1"/>
  <c r="DA71" i="8"/>
  <c r="DB71" i="8" s="1"/>
  <c r="DD71" i="8"/>
  <c r="DE71" i="8" s="1"/>
  <c r="DG71" i="8"/>
  <c r="DH71" i="8" s="1"/>
  <c r="DJ71" i="8"/>
  <c r="DK71" i="8" s="1"/>
  <c r="DM71" i="8"/>
  <c r="DN71" i="8" s="1"/>
  <c r="DP71" i="8"/>
  <c r="DQ71" i="8" s="1"/>
  <c r="DS71" i="8"/>
  <c r="DT71" i="8" s="1"/>
  <c r="DV71" i="8"/>
  <c r="DW71" i="8" s="1"/>
  <c r="I72" i="8"/>
  <c r="J72" i="8" s="1"/>
  <c r="L72" i="8"/>
  <c r="M72" i="8" s="1"/>
  <c r="O72" i="8"/>
  <c r="P72" i="8" s="1"/>
  <c r="R72" i="8"/>
  <c r="S72" i="8" s="1"/>
  <c r="U72" i="8"/>
  <c r="V72" i="8" s="1"/>
  <c r="X72" i="8"/>
  <c r="Y72" i="8" s="1"/>
  <c r="AA72" i="8"/>
  <c r="AB72" i="8" s="1"/>
  <c r="AD72" i="8"/>
  <c r="AE72" i="8" s="1"/>
  <c r="AG72" i="8"/>
  <c r="AH72" i="8" s="1"/>
  <c r="AJ72" i="8"/>
  <c r="AK72" i="8" s="1"/>
  <c r="AM72" i="8"/>
  <c r="AN72" i="8" s="1"/>
  <c r="AP72" i="8"/>
  <c r="AQ72" i="8" s="1"/>
  <c r="AS72" i="8"/>
  <c r="AT72" i="8" s="1"/>
  <c r="AV72" i="8"/>
  <c r="AW72" i="8" s="1"/>
  <c r="AY72" i="8"/>
  <c r="AZ72" i="8" s="1"/>
  <c r="BB72" i="8"/>
  <c r="BC72" i="8" s="1"/>
  <c r="BE72" i="8"/>
  <c r="BF72" i="8" s="1"/>
  <c r="BH72" i="8"/>
  <c r="BI72" i="8" s="1"/>
  <c r="BK72" i="8"/>
  <c r="BL72" i="8" s="1"/>
  <c r="BN72" i="8"/>
  <c r="BO72" i="8" s="1"/>
  <c r="BQ72" i="8"/>
  <c r="BR72" i="8" s="1"/>
  <c r="BT72" i="8"/>
  <c r="BU72" i="8" s="1"/>
  <c r="BW72" i="8"/>
  <c r="BX72" i="8" s="1"/>
  <c r="BZ72" i="8"/>
  <c r="CA72" i="8" s="1"/>
  <c r="CC72" i="8"/>
  <c r="CD72" i="8" s="1"/>
  <c r="CF72" i="8"/>
  <c r="CG72" i="8" s="1"/>
  <c r="CI72" i="8"/>
  <c r="CJ72" i="8" s="1"/>
  <c r="CL72" i="8"/>
  <c r="CM72" i="8" s="1"/>
  <c r="CO72" i="8"/>
  <c r="CP72" i="8" s="1"/>
  <c r="CR72" i="8"/>
  <c r="CS72" i="8" s="1"/>
  <c r="CU72" i="8"/>
  <c r="CV72" i="8" s="1"/>
  <c r="CX72" i="8"/>
  <c r="CY72" i="8" s="1"/>
  <c r="DA72" i="8"/>
  <c r="DB72" i="8" s="1"/>
  <c r="DD72" i="8"/>
  <c r="DE72" i="8" s="1"/>
  <c r="DG72" i="8"/>
  <c r="DH72" i="8" s="1"/>
  <c r="DJ72" i="8"/>
  <c r="DK72" i="8" s="1"/>
  <c r="DM72" i="8"/>
  <c r="DN72" i="8" s="1"/>
  <c r="DP72" i="8"/>
  <c r="DQ72" i="8" s="1"/>
  <c r="DS72" i="8"/>
  <c r="DT72" i="8" s="1"/>
  <c r="DV72" i="8"/>
  <c r="DW72" i="8" s="1"/>
  <c r="I73" i="8"/>
  <c r="J73" i="8" s="1"/>
  <c r="L73" i="8"/>
  <c r="M73" i="8" s="1"/>
  <c r="O73" i="8"/>
  <c r="P73" i="8" s="1"/>
  <c r="R73" i="8"/>
  <c r="S73" i="8" s="1"/>
  <c r="U73" i="8"/>
  <c r="V73" i="8" s="1"/>
  <c r="X73" i="8"/>
  <c r="Y73" i="8" s="1"/>
  <c r="AA73" i="8"/>
  <c r="AB73" i="8" s="1"/>
  <c r="AD73" i="8"/>
  <c r="AE73" i="8" s="1"/>
  <c r="AG73" i="8"/>
  <c r="AH73" i="8" s="1"/>
  <c r="AJ73" i="8"/>
  <c r="AK73" i="8" s="1"/>
  <c r="AM73" i="8"/>
  <c r="AN73" i="8" s="1"/>
  <c r="AP73" i="8"/>
  <c r="AQ73" i="8" s="1"/>
  <c r="AS73" i="8"/>
  <c r="AT73" i="8" s="1"/>
  <c r="AV73" i="8"/>
  <c r="AW73" i="8" s="1"/>
  <c r="AY73" i="8"/>
  <c r="AZ73" i="8" s="1"/>
  <c r="BB73" i="8"/>
  <c r="BC73" i="8" s="1"/>
  <c r="BE73" i="8"/>
  <c r="BF73" i="8" s="1"/>
  <c r="BH73" i="8"/>
  <c r="BI73" i="8" s="1"/>
  <c r="BK73" i="8"/>
  <c r="BL73" i="8" s="1"/>
  <c r="BN73" i="8"/>
  <c r="BO73" i="8" s="1"/>
  <c r="BQ73" i="8"/>
  <c r="BR73" i="8" s="1"/>
  <c r="BT73" i="8"/>
  <c r="BU73" i="8" s="1"/>
  <c r="BW73" i="8"/>
  <c r="BX73" i="8" s="1"/>
  <c r="BZ73" i="8"/>
  <c r="CA73" i="8" s="1"/>
  <c r="CC73" i="8"/>
  <c r="CD73" i="8" s="1"/>
  <c r="CF73" i="8"/>
  <c r="CG73" i="8" s="1"/>
  <c r="CI73" i="8"/>
  <c r="CJ73" i="8" s="1"/>
  <c r="CL73" i="8"/>
  <c r="CM73" i="8" s="1"/>
  <c r="CO73" i="8"/>
  <c r="CP73" i="8" s="1"/>
  <c r="CR73" i="8"/>
  <c r="CS73" i="8" s="1"/>
  <c r="CU73" i="8"/>
  <c r="CV73" i="8" s="1"/>
  <c r="CX73" i="8"/>
  <c r="CY73" i="8" s="1"/>
  <c r="DA73" i="8"/>
  <c r="DB73" i="8" s="1"/>
  <c r="DD73" i="8"/>
  <c r="DE73" i="8" s="1"/>
  <c r="DG73" i="8"/>
  <c r="DH73" i="8" s="1"/>
  <c r="DJ73" i="8"/>
  <c r="DK73" i="8" s="1"/>
  <c r="DM73" i="8"/>
  <c r="DN73" i="8" s="1"/>
  <c r="DP73" i="8"/>
  <c r="DQ73" i="8" s="1"/>
  <c r="DS73" i="8"/>
  <c r="DT73" i="8" s="1"/>
  <c r="DV73" i="8"/>
  <c r="DW73" i="8" s="1"/>
  <c r="I74" i="8"/>
  <c r="J74" i="8" s="1"/>
  <c r="L74" i="8"/>
  <c r="M74" i="8" s="1"/>
  <c r="O74" i="8"/>
  <c r="P74" i="8" s="1"/>
  <c r="R74" i="8"/>
  <c r="S74" i="8" s="1"/>
  <c r="U74" i="8"/>
  <c r="V74" i="8" s="1"/>
  <c r="X74" i="8"/>
  <c r="Y74" i="8" s="1"/>
  <c r="AA74" i="8"/>
  <c r="AB74" i="8" s="1"/>
  <c r="AD74" i="8"/>
  <c r="AE74" i="8" s="1"/>
  <c r="AG74" i="8"/>
  <c r="AH74" i="8" s="1"/>
  <c r="AJ74" i="8"/>
  <c r="AK74" i="8" s="1"/>
  <c r="AM74" i="8"/>
  <c r="AN74" i="8" s="1"/>
  <c r="AP74" i="8"/>
  <c r="AQ74" i="8" s="1"/>
  <c r="AS74" i="8"/>
  <c r="AT74" i="8" s="1"/>
  <c r="AV74" i="8"/>
  <c r="AW74" i="8" s="1"/>
  <c r="AY74" i="8"/>
  <c r="AZ74" i="8" s="1"/>
  <c r="BB74" i="8"/>
  <c r="BC74" i="8" s="1"/>
  <c r="BE74" i="8"/>
  <c r="BF74" i="8" s="1"/>
  <c r="BH74" i="8"/>
  <c r="BI74" i="8" s="1"/>
  <c r="BK74" i="8"/>
  <c r="BL74" i="8" s="1"/>
  <c r="BN74" i="8"/>
  <c r="BO74" i="8" s="1"/>
  <c r="BQ74" i="8"/>
  <c r="BR74" i="8" s="1"/>
  <c r="BT74" i="8"/>
  <c r="BU74" i="8" s="1"/>
  <c r="BW74" i="8"/>
  <c r="BX74" i="8" s="1"/>
  <c r="BZ74" i="8"/>
  <c r="CA74" i="8" s="1"/>
  <c r="CC74" i="8"/>
  <c r="CD74" i="8" s="1"/>
  <c r="CF74" i="8"/>
  <c r="CG74" i="8" s="1"/>
  <c r="CI74" i="8"/>
  <c r="CJ74" i="8" s="1"/>
  <c r="CL74" i="8"/>
  <c r="CM74" i="8" s="1"/>
  <c r="CO74" i="8"/>
  <c r="CP74" i="8" s="1"/>
  <c r="CR74" i="8"/>
  <c r="CS74" i="8" s="1"/>
  <c r="CU74" i="8"/>
  <c r="CV74" i="8" s="1"/>
  <c r="CX74" i="8"/>
  <c r="CY74" i="8" s="1"/>
  <c r="DA74" i="8"/>
  <c r="DB74" i="8" s="1"/>
  <c r="DD74" i="8"/>
  <c r="DE74" i="8" s="1"/>
  <c r="DG74" i="8"/>
  <c r="DH74" i="8" s="1"/>
  <c r="DJ74" i="8"/>
  <c r="DK74" i="8" s="1"/>
  <c r="DM74" i="8"/>
  <c r="DN74" i="8" s="1"/>
  <c r="DP74" i="8"/>
  <c r="DQ74" i="8" s="1"/>
  <c r="DS74" i="8"/>
  <c r="DT74" i="8" s="1"/>
  <c r="DV74" i="8"/>
  <c r="DW74" i="8" s="1"/>
  <c r="I75" i="8"/>
  <c r="J75" i="8" s="1"/>
  <c r="L75" i="8"/>
  <c r="M75" i="8" s="1"/>
  <c r="O75" i="8"/>
  <c r="P75" i="8" s="1"/>
  <c r="R75" i="8"/>
  <c r="S75" i="8" s="1"/>
  <c r="U75" i="8"/>
  <c r="V75" i="8" s="1"/>
  <c r="X75" i="8"/>
  <c r="Y75" i="8" s="1"/>
  <c r="AA75" i="8"/>
  <c r="AB75" i="8" s="1"/>
  <c r="AD75" i="8"/>
  <c r="AE75" i="8" s="1"/>
  <c r="AG75" i="8"/>
  <c r="AH75" i="8" s="1"/>
  <c r="AJ75" i="8"/>
  <c r="AK75" i="8" s="1"/>
  <c r="AM75" i="8"/>
  <c r="AN75" i="8" s="1"/>
  <c r="AP75" i="8"/>
  <c r="AQ75" i="8" s="1"/>
  <c r="AS75" i="8"/>
  <c r="AT75" i="8" s="1"/>
  <c r="AV75" i="8"/>
  <c r="AW75" i="8" s="1"/>
  <c r="AY75" i="8"/>
  <c r="AZ75" i="8" s="1"/>
  <c r="BB75" i="8"/>
  <c r="BC75" i="8" s="1"/>
  <c r="BE75" i="8"/>
  <c r="BF75" i="8" s="1"/>
  <c r="BH75" i="8"/>
  <c r="BI75" i="8" s="1"/>
  <c r="BK75" i="8"/>
  <c r="BL75" i="8" s="1"/>
  <c r="BN75" i="8"/>
  <c r="BO75" i="8" s="1"/>
  <c r="BQ75" i="8"/>
  <c r="BR75" i="8" s="1"/>
  <c r="BT75" i="8"/>
  <c r="BU75" i="8" s="1"/>
  <c r="BW75" i="8"/>
  <c r="BX75" i="8" s="1"/>
  <c r="BZ75" i="8"/>
  <c r="CA75" i="8" s="1"/>
  <c r="CC75" i="8"/>
  <c r="CD75" i="8" s="1"/>
  <c r="CF75" i="8"/>
  <c r="CG75" i="8" s="1"/>
  <c r="CI75" i="8"/>
  <c r="CJ75" i="8" s="1"/>
  <c r="CL75" i="8"/>
  <c r="CM75" i="8" s="1"/>
  <c r="CO75" i="8"/>
  <c r="CP75" i="8" s="1"/>
  <c r="CR75" i="8"/>
  <c r="CS75" i="8" s="1"/>
  <c r="CU75" i="8"/>
  <c r="CV75" i="8" s="1"/>
  <c r="CX75" i="8"/>
  <c r="CY75" i="8" s="1"/>
  <c r="DA75" i="8"/>
  <c r="DB75" i="8" s="1"/>
  <c r="DD75" i="8"/>
  <c r="DE75" i="8" s="1"/>
  <c r="DG75" i="8"/>
  <c r="DH75" i="8" s="1"/>
  <c r="DJ75" i="8"/>
  <c r="DK75" i="8" s="1"/>
  <c r="DM75" i="8"/>
  <c r="DN75" i="8" s="1"/>
  <c r="DP75" i="8"/>
  <c r="DQ75" i="8" s="1"/>
  <c r="DS75" i="8"/>
  <c r="DT75" i="8" s="1"/>
  <c r="DV75" i="8"/>
  <c r="DW75" i="8" s="1"/>
  <c r="I76" i="8"/>
  <c r="J76" i="8" s="1"/>
  <c r="L76" i="8"/>
  <c r="M76" i="8" s="1"/>
  <c r="O76" i="8"/>
  <c r="P76" i="8" s="1"/>
  <c r="R76" i="8"/>
  <c r="S76" i="8" s="1"/>
  <c r="U76" i="8"/>
  <c r="V76" i="8" s="1"/>
  <c r="X76" i="8"/>
  <c r="Y76" i="8" s="1"/>
  <c r="AA76" i="8"/>
  <c r="AB76" i="8" s="1"/>
  <c r="AD76" i="8"/>
  <c r="AE76" i="8" s="1"/>
  <c r="AG76" i="8"/>
  <c r="AH76" i="8" s="1"/>
  <c r="AJ76" i="8"/>
  <c r="AK76" i="8" s="1"/>
  <c r="AM76" i="8"/>
  <c r="AN76" i="8" s="1"/>
  <c r="AP76" i="8"/>
  <c r="AQ76" i="8" s="1"/>
  <c r="AS76" i="8"/>
  <c r="AT76" i="8" s="1"/>
  <c r="AV76" i="8"/>
  <c r="AW76" i="8" s="1"/>
  <c r="AY76" i="8"/>
  <c r="AZ76" i="8" s="1"/>
  <c r="BB76" i="8"/>
  <c r="BC76" i="8" s="1"/>
  <c r="BE76" i="8"/>
  <c r="BF76" i="8" s="1"/>
  <c r="BH76" i="8"/>
  <c r="BI76" i="8" s="1"/>
  <c r="BK76" i="8"/>
  <c r="BL76" i="8" s="1"/>
  <c r="BN76" i="8"/>
  <c r="BO76" i="8" s="1"/>
  <c r="BQ76" i="8"/>
  <c r="BR76" i="8" s="1"/>
  <c r="BT76" i="8"/>
  <c r="BU76" i="8" s="1"/>
  <c r="BW76" i="8"/>
  <c r="BX76" i="8" s="1"/>
  <c r="BZ76" i="8"/>
  <c r="CA76" i="8" s="1"/>
  <c r="CC76" i="8"/>
  <c r="CD76" i="8" s="1"/>
  <c r="CF76" i="8"/>
  <c r="CG76" i="8" s="1"/>
  <c r="CI76" i="8"/>
  <c r="CJ76" i="8" s="1"/>
  <c r="CL76" i="8"/>
  <c r="CM76" i="8" s="1"/>
  <c r="CO76" i="8"/>
  <c r="CP76" i="8" s="1"/>
  <c r="CR76" i="8"/>
  <c r="CS76" i="8" s="1"/>
  <c r="CU76" i="8"/>
  <c r="CV76" i="8" s="1"/>
  <c r="CX76" i="8"/>
  <c r="CY76" i="8" s="1"/>
  <c r="DA76" i="8"/>
  <c r="DB76" i="8" s="1"/>
  <c r="DD76" i="8"/>
  <c r="DE76" i="8" s="1"/>
  <c r="DG76" i="8"/>
  <c r="DH76" i="8" s="1"/>
  <c r="DJ76" i="8"/>
  <c r="DK76" i="8" s="1"/>
  <c r="DM76" i="8"/>
  <c r="DN76" i="8" s="1"/>
  <c r="DP76" i="8"/>
  <c r="DQ76" i="8" s="1"/>
  <c r="DS76" i="8"/>
  <c r="DT76" i="8" s="1"/>
  <c r="DV76" i="8"/>
  <c r="DW76" i="8" s="1"/>
  <c r="I77" i="8"/>
  <c r="J77" i="8" s="1"/>
  <c r="L77" i="8"/>
  <c r="M77" i="8" s="1"/>
  <c r="O77" i="8"/>
  <c r="P77" i="8" s="1"/>
  <c r="R77" i="8"/>
  <c r="S77" i="8" s="1"/>
  <c r="U77" i="8"/>
  <c r="V77" i="8" s="1"/>
  <c r="X77" i="8"/>
  <c r="Y77" i="8" s="1"/>
  <c r="AA77" i="8"/>
  <c r="AB77" i="8" s="1"/>
  <c r="AD77" i="8"/>
  <c r="AE77" i="8" s="1"/>
  <c r="AG77" i="8"/>
  <c r="AH77" i="8" s="1"/>
  <c r="AJ77" i="8"/>
  <c r="AK77" i="8" s="1"/>
  <c r="AM77" i="8"/>
  <c r="AN77" i="8" s="1"/>
  <c r="AP77" i="8"/>
  <c r="AQ77" i="8" s="1"/>
  <c r="AS77" i="8"/>
  <c r="AT77" i="8" s="1"/>
  <c r="AV77" i="8"/>
  <c r="AW77" i="8" s="1"/>
  <c r="AY77" i="8"/>
  <c r="AZ77" i="8" s="1"/>
  <c r="BB77" i="8"/>
  <c r="BC77" i="8" s="1"/>
  <c r="BE77" i="8"/>
  <c r="BF77" i="8" s="1"/>
  <c r="BH77" i="8"/>
  <c r="BI77" i="8" s="1"/>
  <c r="BK77" i="8"/>
  <c r="BL77" i="8" s="1"/>
  <c r="BN77" i="8"/>
  <c r="BO77" i="8" s="1"/>
  <c r="BQ77" i="8"/>
  <c r="BR77" i="8" s="1"/>
  <c r="BT77" i="8"/>
  <c r="BU77" i="8" s="1"/>
  <c r="BW77" i="8"/>
  <c r="BX77" i="8" s="1"/>
  <c r="BZ77" i="8"/>
  <c r="CA77" i="8" s="1"/>
  <c r="CC77" i="8"/>
  <c r="CD77" i="8" s="1"/>
  <c r="CF77" i="8"/>
  <c r="CG77" i="8" s="1"/>
  <c r="CI77" i="8"/>
  <c r="CJ77" i="8" s="1"/>
  <c r="CL77" i="8"/>
  <c r="CM77" i="8" s="1"/>
  <c r="CO77" i="8"/>
  <c r="CP77" i="8" s="1"/>
  <c r="CR77" i="8"/>
  <c r="CS77" i="8" s="1"/>
  <c r="CU77" i="8"/>
  <c r="CV77" i="8" s="1"/>
  <c r="CX77" i="8"/>
  <c r="CY77" i="8" s="1"/>
  <c r="DA77" i="8"/>
  <c r="DB77" i="8" s="1"/>
  <c r="DD77" i="8"/>
  <c r="DE77" i="8" s="1"/>
  <c r="DG77" i="8"/>
  <c r="DH77" i="8" s="1"/>
  <c r="DJ77" i="8"/>
  <c r="DK77" i="8" s="1"/>
  <c r="DM77" i="8"/>
  <c r="DN77" i="8" s="1"/>
  <c r="DP77" i="8"/>
  <c r="DQ77" i="8" s="1"/>
  <c r="DS77" i="8"/>
  <c r="DT77" i="8" s="1"/>
  <c r="DV77" i="8"/>
  <c r="DW77" i="8" s="1"/>
  <c r="I78" i="8"/>
  <c r="J78" i="8" s="1"/>
  <c r="L78" i="8"/>
  <c r="M78" i="8" s="1"/>
  <c r="O78" i="8"/>
  <c r="P78" i="8" s="1"/>
  <c r="R78" i="8"/>
  <c r="S78" i="8" s="1"/>
  <c r="U78" i="8"/>
  <c r="V78" i="8" s="1"/>
  <c r="X78" i="8"/>
  <c r="Y78" i="8" s="1"/>
  <c r="AA78" i="8"/>
  <c r="AB78" i="8" s="1"/>
  <c r="AD78" i="8"/>
  <c r="AE78" i="8" s="1"/>
  <c r="AG78" i="8"/>
  <c r="AH78" i="8" s="1"/>
  <c r="AJ78" i="8"/>
  <c r="AK78" i="8" s="1"/>
  <c r="AM78" i="8"/>
  <c r="AN78" i="8" s="1"/>
  <c r="AP78" i="8"/>
  <c r="AQ78" i="8" s="1"/>
  <c r="AS78" i="8"/>
  <c r="AT78" i="8" s="1"/>
  <c r="AV78" i="8"/>
  <c r="AW78" i="8" s="1"/>
  <c r="AY78" i="8"/>
  <c r="AZ78" i="8" s="1"/>
  <c r="BB78" i="8"/>
  <c r="BC78" i="8" s="1"/>
  <c r="BE78" i="8"/>
  <c r="BF78" i="8" s="1"/>
  <c r="BH78" i="8"/>
  <c r="BI78" i="8" s="1"/>
  <c r="BK78" i="8"/>
  <c r="BL78" i="8" s="1"/>
  <c r="BN78" i="8"/>
  <c r="BO78" i="8" s="1"/>
  <c r="BQ78" i="8"/>
  <c r="BR78" i="8" s="1"/>
  <c r="BT78" i="8"/>
  <c r="BU78" i="8" s="1"/>
  <c r="BW78" i="8"/>
  <c r="BX78" i="8" s="1"/>
  <c r="BZ78" i="8"/>
  <c r="CA78" i="8" s="1"/>
  <c r="CC78" i="8"/>
  <c r="CD78" i="8" s="1"/>
  <c r="CF78" i="8"/>
  <c r="CG78" i="8" s="1"/>
  <c r="CI78" i="8"/>
  <c r="CJ78" i="8" s="1"/>
  <c r="CL78" i="8"/>
  <c r="CM78" i="8" s="1"/>
  <c r="CO78" i="8"/>
  <c r="CP78" i="8" s="1"/>
  <c r="CR78" i="8"/>
  <c r="CS78" i="8" s="1"/>
  <c r="CU78" i="8"/>
  <c r="CV78" i="8" s="1"/>
  <c r="CX78" i="8"/>
  <c r="CY78" i="8" s="1"/>
  <c r="DA78" i="8"/>
  <c r="DB78" i="8" s="1"/>
  <c r="DD78" i="8"/>
  <c r="DE78" i="8" s="1"/>
  <c r="DG78" i="8"/>
  <c r="DH78" i="8" s="1"/>
  <c r="DJ78" i="8"/>
  <c r="DK78" i="8" s="1"/>
  <c r="DM78" i="8"/>
  <c r="DN78" i="8" s="1"/>
  <c r="DP78" i="8"/>
  <c r="DQ78" i="8" s="1"/>
  <c r="DS78" i="8"/>
  <c r="DT78" i="8" s="1"/>
  <c r="DV78" i="8"/>
  <c r="DW78" i="8" s="1"/>
  <c r="I79" i="8"/>
  <c r="J79" i="8" s="1"/>
  <c r="L79" i="8"/>
  <c r="M79" i="8" s="1"/>
  <c r="O79" i="8"/>
  <c r="P79" i="8" s="1"/>
  <c r="R79" i="8"/>
  <c r="S79" i="8" s="1"/>
  <c r="U79" i="8"/>
  <c r="V79" i="8" s="1"/>
  <c r="X79" i="8"/>
  <c r="Y79" i="8" s="1"/>
  <c r="AA79" i="8"/>
  <c r="AB79" i="8" s="1"/>
  <c r="AD79" i="8"/>
  <c r="AE79" i="8" s="1"/>
  <c r="AG79" i="8"/>
  <c r="AH79" i="8" s="1"/>
  <c r="AJ79" i="8"/>
  <c r="AK79" i="8" s="1"/>
  <c r="AM79" i="8"/>
  <c r="AN79" i="8" s="1"/>
  <c r="AP79" i="8"/>
  <c r="AQ79" i="8" s="1"/>
  <c r="AS79" i="8"/>
  <c r="AT79" i="8" s="1"/>
  <c r="AV79" i="8"/>
  <c r="AW79" i="8" s="1"/>
  <c r="AY79" i="8"/>
  <c r="AZ79" i="8" s="1"/>
  <c r="BB79" i="8"/>
  <c r="BC79" i="8" s="1"/>
  <c r="BE79" i="8"/>
  <c r="BF79" i="8" s="1"/>
  <c r="BH79" i="8"/>
  <c r="BI79" i="8" s="1"/>
  <c r="BK79" i="8"/>
  <c r="BL79" i="8" s="1"/>
  <c r="BN79" i="8"/>
  <c r="BO79" i="8" s="1"/>
  <c r="BQ79" i="8"/>
  <c r="BR79" i="8" s="1"/>
  <c r="BT79" i="8"/>
  <c r="BU79" i="8" s="1"/>
  <c r="BW79" i="8"/>
  <c r="BX79" i="8" s="1"/>
  <c r="BZ79" i="8"/>
  <c r="CA79" i="8" s="1"/>
  <c r="CC79" i="8"/>
  <c r="CD79" i="8" s="1"/>
  <c r="CF79" i="8"/>
  <c r="CG79" i="8" s="1"/>
  <c r="CI79" i="8"/>
  <c r="CJ79" i="8" s="1"/>
  <c r="CL79" i="8"/>
  <c r="CM79" i="8" s="1"/>
  <c r="CO79" i="8"/>
  <c r="CP79" i="8" s="1"/>
  <c r="CR79" i="8"/>
  <c r="CS79" i="8" s="1"/>
  <c r="CU79" i="8"/>
  <c r="CV79" i="8" s="1"/>
  <c r="CX79" i="8"/>
  <c r="CY79" i="8" s="1"/>
  <c r="DA79" i="8"/>
  <c r="DB79" i="8" s="1"/>
  <c r="DD79" i="8"/>
  <c r="DE79" i="8" s="1"/>
  <c r="DG79" i="8"/>
  <c r="DH79" i="8" s="1"/>
  <c r="DJ79" i="8"/>
  <c r="DK79" i="8" s="1"/>
  <c r="DM79" i="8"/>
  <c r="DN79" i="8" s="1"/>
  <c r="DP79" i="8"/>
  <c r="DQ79" i="8" s="1"/>
  <c r="DS79" i="8"/>
  <c r="DT79" i="8" s="1"/>
  <c r="DV79" i="8"/>
  <c r="DW79" i="8" s="1"/>
  <c r="I80" i="8"/>
  <c r="J80" i="8" s="1"/>
  <c r="L80" i="8"/>
  <c r="M80" i="8" s="1"/>
  <c r="O80" i="8"/>
  <c r="P80" i="8" s="1"/>
  <c r="R80" i="8"/>
  <c r="S80" i="8" s="1"/>
  <c r="U80" i="8"/>
  <c r="V80" i="8" s="1"/>
  <c r="X80" i="8"/>
  <c r="Y80" i="8" s="1"/>
  <c r="AA80" i="8"/>
  <c r="AB80" i="8" s="1"/>
  <c r="AD80" i="8"/>
  <c r="AE80" i="8" s="1"/>
  <c r="AG80" i="8"/>
  <c r="AH80" i="8" s="1"/>
  <c r="AJ80" i="8"/>
  <c r="AK80" i="8" s="1"/>
  <c r="AM80" i="8"/>
  <c r="AN80" i="8" s="1"/>
  <c r="AP80" i="8"/>
  <c r="AQ80" i="8" s="1"/>
  <c r="AS80" i="8"/>
  <c r="AT80" i="8" s="1"/>
  <c r="AV80" i="8"/>
  <c r="AW80" i="8" s="1"/>
  <c r="AY80" i="8"/>
  <c r="AZ80" i="8" s="1"/>
  <c r="BB80" i="8"/>
  <c r="BC80" i="8" s="1"/>
  <c r="BE80" i="8"/>
  <c r="BF80" i="8" s="1"/>
  <c r="BH80" i="8"/>
  <c r="BI80" i="8" s="1"/>
  <c r="BK80" i="8"/>
  <c r="BL80" i="8" s="1"/>
  <c r="BN80" i="8"/>
  <c r="BO80" i="8" s="1"/>
  <c r="BQ80" i="8"/>
  <c r="BR80" i="8" s="1"/>
  <c r="BT80" i="8"/>
  <c r="BU80" i="8" s="1"/>
  <c r="BW80" i="8"/>
  <c r="BX80" i="8" s="1"/>
  <c r="BZ80" i="8"/>
  <c r="CA80" i="8" s="1"/>
  <c r="CC80" i="8"/>
  <c r="CD80" i="8" s="1"/>
  <c r="CF80" i="8"/>
  <c r="CG80" i="8" s="1"/>
  <c r="CI80" i="8"/>
  <c r="CJ80" i="8" s="1"/>
  <c r="CL80" i="8"/>
  <c r="CM80" i="8" s="1"/>
  <c r="CO80" i="8"/>
  <c r="CP80" i="8" s="1"/>
  <c r="CR80" i="8"/>
  <c r="CS80" i="8" s="1"/>
  <c r="CU80" i="8"/>
  <c r="CV80" i="8" s="1"/>
  <c r="CX80" i="8"/>
  <c r="CY80" i="8" s="1"/>
  <c r="DA80" i="8"/>
  <c r="DB80" i="8" s="1"/>
  <c r="DD80" i="8"/>
  <c r="DE80" i="8" s="1"/>
  <c r="DG80" i="8"/>
  <c r="DH80" i="8" s="1"/>
  <c r="DJ80" i="8"/>
  <c r="DK80" i="8" s="1"/>
  <c r="DM80" i="8"/>
  <c r="DN80" i="8" s="1"/>
  <c r="DP80" i="8"/>
  <c r="DQ80" i="8" s="1"/>
  <c r="DS80" i="8"/>
  <c r="DT80" i="8" s="1"/>
  <c r="DV80" i="8"/>
  <c r="DW80" i="8" s="1"/>
  <c r="I81" i="8"/>
  <c r="J81" i="8" s="1"/>
  <c r="L81" i="8"/>
  <c r="M81" i="8" s="1"/>
  <c r="O81" i="8"/>
  <c r="P81" i="8" s="1"/>
  <c r="R81" i="8"/>
  <c r="S81" i="8" s="1"/>
  <c r="U81" i="8"/>
  <c r="V81" i="8" s="1"/>
  <c r="X81" i="8"/>
  <c r="Y81" i="8" s="1"/>
  <c r="AA81" i="8"/>
  <c r="AB81" i="8" s="1"/>
  <c r="AD81" i="8"/>
  <c r="AE81" i="8" s="1"/>
  <c r="AG81" i="8"/>
  <c r="AH81" i="8" s="1"/>
  <c r="AJ81" i="8"/>
  <c r="AK81" i="8" s="1"/>
  <c r="AM81" i="8"/>
  <c r="AN81" i="8" s="1"/>
  <c r="AP81" i="8"/>
  <c r="AQ81" i="8" s="1"/>
  <c r="AS81" i="8"/>
  <c r="AT81" i="8" s="1"/>
  <c r="AV81" i="8"/>
  <c r="AW81" i="8" s="1"/>
  <c r="AY81" i="8"/>
  <c r="AZ81" i="8" s="1"/>
  <c r="BB81" i="8"/>
  <c r="BC81" i="8" s="1"/>
  <c r="BE81" i="8"/>
  <c r="BF81" i="8" s="1"/>
  <c r="BH81" i="8"/>
  <c r="BI81" i="8" s="1"/>
  <c r="BK81" i="8"/>
  <c r="BL81" i="8" s="1"/>
  <c r="BN81" i="8"/>
  <c r="BO81" i="8" s="1"/>
  <c r="BQ81" i="8"/>
  <c r="BR81" i="8" s="1"/>
  <c r="BT81" i="8"/>
  <c r="BU81" i="8" s="1"/>
  <c r="BW81" i="8"/>
  <c r="BX81" i="8" s="1"/>
  <c r="BZ81" i="8"/>
  <c r="CA81" i="8" s="1"/>
  <c r="CC81" i="8"/>
  <c r="CD81" i="8" s="1"/>
  <c r="CF81" i="8"/>
  <c r="CG81" i="8" s="1"/>
  <c r="CI81" i="8"/>
  <c r="CJ81" i="8" s="1"/>
  <c r="CL81" i="8"/>
  <c r="CM81" i="8" s="1"/>
  <c r="CO81" i="8"/>
  <c r="CP81" i="8" s="1"/>
  <c r="CR81" i="8"/>
  <c r="CS81" i="8" s="1"/>
  <c r="CU81" i="8"/>
  <c r="CV81" i="8" s="1"/>
  <c r="CX81" i="8"/>
  <c r="CY81" i="8" s="1"/>
  <c r="DA81" i="8"/>
  <c r="DB81" i="8" s="1"/>
  <c r="DD81" i="8"/>
  <c r="DE81" i="8" s="1"/>
  <c r="DG81" i="8"/>
  <c r="DH81" i="8" s="1"/>
  <c r="DJ81" i="8"/>
  <c r="DK81" i="8" s="1"/>
  <c r="DM81" i="8"/>
  <c r="DN81" i="8" s="1"/>
  <c r="DP81" i="8"/>
  <c r="DQ81" i="8" s="1"/>
  <c r="DS81" i="8"/>
  <c r="DT81" i="8" s="1"/>
  <c r="DV81" i="8"/>
  <c r="DW81" i="8" s="1"/>
  <c r="AD32" i="8"/>
  <c r="DV51" i="8"/>
  <c r="DW51" i="8" s="1"/>
  <c r="DV50" i="8"/>
  <c r="DW50" i="8" s="1"/>
  <c r="DV49" i="8"/>
  <c r="DW49" i="8" s="1"/>
  <c r="DV48" i="8"/>
  <c r="DW48" i="8" s="1"/>
  <c r="DV47" i="8"/>
  <c r="DW47" i="8" s="1"/>
  <c r="DV46" i="8"/>
  <c r="DW46" i="8" s="1"/>
  <c r="DV45" i="8"/>
  <c r="DW45" i="8" s="1"/>
  <c r="DV44" i="8"/>
  <c r="DW44" i="8" s="1"/>
  <c r="DV43" i="8"/>
  <c r="DW43" i="8" s="1"/>
  <c r="DV42" i="8"/>
  <c r="DV41" i="8"/>
  <c r="DV40" i="8"/>
  <c r="DV39" i="8"/>
  <c r="DV38" i="8"/>
  <c r="DV37" i="8"/>
  <c r="DV36" i="8"/>
  <c r="DV35" i="8"/>
  <c r="DV34" i="8"/>
  <c r="DV33" i="8"/>
  <c r="DV32" i="8"/>
  <c r="DS51" i="8"/>
  <c r="DT51" i="8" s="1"/>
  <c r="DS50" i="8"/>
  <c r="DT50" i="8" s="1"/>
  <c r="DS49" i="8"/>
  <c r="DT49" i="8" s="1"/>
  <c r="DS48" i="8"/>
  <c r="DT48" i="8" s="1"/>
  <c r="DS47" i="8"/>
  <c r="DT47" i="8" s="1"/>
  <c r="DS46" i="8"/>
  <c r="DT46" i="8" s="1"/>
  <c r="DS45" i="8"/>
  <c r="DT45" i="8" s="1"/>
  <c r="DS44" i="8"/>
  <c r="DT44" i="8" s="1"/>
  <c r="DS43" i="8"/>
  <c r="DT43" i="8" s="1"/>
  <c r="DS42" i="8"/>
  <c r="DS41" i="8"/>
  <c r="DS40" i="8"/>
  <c r="DS39" i="8"/>
  <c r="DS38" i="8"/>
  <c r="DS37" i="8"/>
  <c r="DS36" i="8"/>
  <c r="DS35" i="8"/>
  <c r="DS34" i="8"/>
  <c r="DS33" i="8"/>
  <c r="DS32" i="8"/>
  <c r="DP51" i="8"/>
  <c r="DQ51" i="8" s="1"/>
  <c r="DP50" i="8"/>
  <c r="DQ50" i="8" s="1"/>
  <c r="DP49" i="8"/>
  <c r="DQ49" i="8" s="1"/>
  <c r="DP48" i="8"/>
  <c r="DQ48" i="8" s="1"/>
  <c r="DP47" i="8"/>
  <c r="DQ47" i="8" s="1"/>
  <c r="DP46" i="8"/>
  <c r="DQ46" i="8" s="1"/>
  <c r="DP45" i="8"/>
  <c r="DQ45" i="8" s="1"/>
  <c r="DP44" i="8"/>
  <c r="DQ44" i="8" s="1"/>
  <c r="DP43" i="8"/>
  <c r="DQ43" i="8" s="1"/>
  <c r="DP42" i="8"/>
  <c r="DP41" i="8"/>
  <c r="DP40" i="8"/>
  <c r="DP39" i="8"/>
  <c r="DP38" i="8"/>
  <c r="DP37" i="8"/>
  <c r="DP36" i="8"/>
  <c r="DP35" i="8"/>
  <c r="DP34" i="8"/>
  <c r="DP33" i="8"/>
  <c r="DP32" i="8"/>
  <c r="DM51" i="8"/>
  <c r="DN51" i="8" s="1"/>
  <c r="DM50" i="8"/>
  <c r="DN50" i="8" s="1"/>
  <c r="DM49" i="8"/>
  <c r="DN49" i="8" s="1"/>
  <c r="DM48" i="8"/>
  <c r="DN48" i="8" s="1"/>
  <c r="DM47" i="8"/>
  <c r="DN47" i="8" s="1"/>
  <c r="DM46" i="8"/>
  <c r="DN46" i="8" s="1"/>
  <c r="DM45" i="8"/>
  <c r="DN45" i="8" s="1"/>
  <c r="DM44" i="8"/>
  <c r="DN44" i="8" s="1"/>
  <c r="DM43" i="8"/>
  <c r="DN43" i="8" s="1"/>
  <c r="DM42" i="8"/>
  <c r="DM41" i="8"/>
  <c r="DM40" i="8"/>
  <c r="DM39" i="8"/>
  <c r="DM38" i="8"/>
  <c r="DM37" i="8"/>
  <c r="DM36" i="8"/>
  <c r="DM35" i="8"/>
  <c r="DM34" i="8"/>
  <c r="DM33" i="8"/>
  <c r="DM32" i="8"/>
  <c r="DJ51" i="8"/>
  <c r="DK51" i="8" s="1"/>
  <c r="DJ50" i="8"/>
  <c r="DK50" i="8" s="1"/>
  <c r="DJ49" i="8"/>
  <c r="DK49" i="8" s="1"/>
  <c r="DJ48" i="8"/>
  <c r="DK48" i="8" s="1"/>
  <c r="DJ47" i="8"/>
  <c r="DK47" i="8" s="1"/>
  <c r="DJ46" i="8"/>
  <c r="DK46" i="8" s="1"/>
  <c r="DJ45" i="8"/>
  <c r="DK45" i="8" s="1"/>
  <c r="DJ44" i="8"/>
  <c r="DK44" i="8" s="1"/>
  <c r="DJ43" i="8"/>
  <c r="DK43" i="8" s="1"/>
  <c r="DJ42" i="8"/>
  <c r="DJ41" i="8"/>
  <c r="DJ40" i="8"/>
  <c r="DJ39" i="8"/>
  <c r="DJ38" i="8"/>
  <c r="DJ37" i="8"/>
  <c r="DJ36" i="8"/>
  <c r="DJ35" i="8"/>
  <c r="DJ34" i="8"/>
  <c r="DJ33" i="8"/>
  <c r="DJ32" i="8"/>
  <c r="DG51" i="8"/>
  <c r="DH51" i="8" s="1"/>
  <c r="DG50" i="8"/>
  <c r="DH50" i="8" s="1"/>
  <c r="DG49" i="8"/>
  <c r="DH49" i="8" s="1"/>
  <c r="DG48" i="8"/>
  <c r="DH48" i="8" s="1"/>
  <c r="DG47" i="8"/>
  <c r="DH47" i="8" s="1"/>
  <c r="DG46" i="8"/>
  <c r="DH46" i="8" s="1"/>
  <c r="DG45" i="8"/>
  <c r="DH45" i="8" s="1"/>
  <c r="DG44" i="8"/>
  <c r="DH44" i="8" s="1"/>
  <c r="DG43" i="8"/>
  <c r="DH43" i="8" s="1"/>
  <c r="DG42" i="8"/>
  <c r="DG41" i="8"/>
  <c r="DG40" i="8"/>
  <c r="DG39" i="8"/>
  <c r="DG38" i="8"/>
  <c r="DG37" i="8"/>
  <c r="DG36" i="8"/>
  <c r="DG35" i="8"/>
  <c r="DG34" i="8"/>
  <c r="DG33" i="8"/>
  <c r="DG32" i="8"/>
  <c r="DD51" i="8"/>
  <c r="DE51" i="8" s="1"/>
  <c r="DD50" i="8"/>
  <c r="DE50" i="8" s="1"/>
  <c r="DD49" i="8"/>
  <c r="DE49" i="8" s="1"/>
  <c r="DD48" i="8"/>
  <c r="DE48" i="8" s="1"/>
  <c r="DD47" i="8"/>
  <c r="DE47" i="8" s="1"/>
  <c r="DD46" i="8"/>
  <c r="DE46" i="8" s="1"/>
  <c r="DD45" i="8"/>
  <c r="DE45" i="8" s="1"/>
  <c r="DD44" i="8"/>
  <c r="DE44" i="8" s="1"/>
  <c r="DD43" i="8"/>
  <c r="DE43" i="8" s="1"/>
  <c r="DD42" i="8"/>
  <c r="DD41" i="8"/>
  <c r="DD40" i="8"/>
  <c r="DD39" i="8"/>
  <c r="DD38" i="8"/>
  <c r="DD37" i="8"/>
  <c r="DD36" i="8"/>
  <c r="DD35" i="8"/>
  <c r="DD34" i="8"/>
  <c r="DD33" i="8"/>
  <c r="DD32" i="8"/>
  <c r="DA51" i="8"/>
  <c r="DB51" i="8" s="1"/>
  <c r="DA50" i="8"/>
  <c r="DB50" i="8" s="1"/>
  <c r="DA49" i="8"/>
  <c r="DB49" i="8" s="1"/>
  <c r="DA48" i="8"/>
  <c r="DB48" i="8" s="1"/>
  <c r="DA47" i="8"/>
  <c r="DB47" i="8" s="1"/>
  <c r="DA46" i="8"/>
  <c r="DB46" i="8" s="1"/>
  <c r="DA45" i="8"/>
  <c r="DB45" i="8" s="1"/>
  <c r="DA44" i="8"/>
  <c r="DB44" i="8" s="1"/>
  <c r="DA43" i="8"/>
  <c r="DB43" i="8" s="1"/>
  <c r="DA42" i="8"/>
  <c r="DA41" i="8"/>
  <c r="DA40" i="8"/>
  <c r="DA39" i="8"/>
  <c r="DA38" i="8"/>
  <c r="DA37" i="8"/>
  <c r="DA36" i="8"/>
  <c r="DA35" i="8"/>
  <c r="DA34" i="8"/>
  <c r="DA33" i="8"/>
  <c r="DA32" i="8"/>
  <c r="CX51" i="8"/>
  <c r="CY51" i="8" s="1"/>
  <c r="CX50" i="8"/>
  <c r="CY50" i="8" s="1"/>
  <c r="CX49" i="8"/>
  <c r="CY49" i="8" s="1"/>
  <c r="CX48" i="8"/>
  <c r="CY48" i="8" s="1"/>
  <c r="CX47" i="8"/>
  <c r="CY47" i="8" s="1"/>
  <c r="CX46" i="8"/>
  <c r="CY46" i="8" s="1"/>
  <c r="CX45" i="8"/>
  <c r="CY45" i="8" s="1"/>
  <c r="CX44" i="8"/>
  <c r="CY44" i="8" s="1"/>
  <c r="CX43" i="8"/>
  <c r="CY43" i="8" s="1"/>
  <c r="CX42" i="8"/>
  <c r="CX41" i="8"/>
  <c r="CX40" i="8"/>
  <c r="CX39" i="8"/>
  <c r="CX38" i="8"/>
  <c r="CX37" i="8"/>
  <c r="CX36" i="8"/>
  <c r="CX35" i="8"/>
  <c r="CX34" i="8"/>
  <c r="CX33" i="8"/>
  <c r="CX32" i="8"/>
  <c r="CU51" i="8"/>
  <c r="CV51" i="8" s="1"/>
  <c r="CU50" i="8"/>
  <c r="CV50" i="8" s="1"/>
  <c r="CU49" i="8"/>
  <c r="CV49" i="8" s="1"/>
  <c r="CU48" i="8"/>
  <c r="CV48" i="8" s="1"/>
  <c r="CU47" i="8"/>
  <c r="CV47" i="8" s="1"/>
  <c r="CU46" i="8"/>
  <c r="CV46" i="8" s="1"/>
  <c r="CU45" i="8"/>
  <c r="CV45" i="8" s="1"/>
  <c r="CU44" i="8"/>
  <c r="CV44" i="8" s="1"/>
  <c r="CU43" i="8"/>
  <c r="CV43" i="8" s="1"/>
  <c r="CU42" i="8"/>
  <c r="CU41" i="8"/>
  <c r="CU40" i="8"/>
  <c r="CU39" i="8"/>
  <c r="CU38" i="8"/>
  <c r="CU37" i="8"/>
  <c r="CU36" i="8"/>
  <c r="CU35" i="8"/>
  <c r="CU34" i="8"/>
  <c r="CU33" i="8"/>
  <c r="CU32" i="8"/>
  <c r="CR51" i="8"/>
  <c r="CS51" i="8" s="1"/>
  <c r="CR50" i="8"/>
  <c r="CS50" i="8" s="1"/>
  <c r="CR49" i="8"/>
  <c r="CS49" i="8" s="1"/>
  <c r="CR48" i="8"/>
  <c r="CS48" i="8" s="1"/>
  <c r="CR47" i="8"/>
  <c r="CS47" i="8" s="1"/>
  <c r="CR46" i="8"/>
  <c r="CS46" i="8" s="1"/>
  <c r="CR45" i="8"/>
  <c r="CS45" i="8" s="1"/>
  <c r="CR44" i="8"/>
  <c r="CS44" i="8" s="1"/>
  <c r="CR43" i="8"/>
  <c r="CS43" i="8" s="1"/>
  <c r="CR42" i="8"/>
  <c r="CR41" i="8"/>
  <c r="CR40" i="8"/>
  <c r="CR39" i="8"/>
  <c r="CR38" i="8"/>
  <c r="CR37" i="8"/>
  <c r="CR36" i="8"/>
  <c r="CR35" i="8"/>
  <c r="CR34" i="8"/>
  <c r="CR33" i="8"/>
  <c r="CR32" i="8"/>
  <c r="CO51" i="8"/>
  <c r="CP51" i="8" s="1"/>
  <c r="CO50" i="8"/>
  <c r="CP50" i="8" s="1"/>
  <c r="CO49" i="8"/>
  <c r="CP49" i="8" s="1"/>
  <c r="CO48" i="8"/>
  <c r="CP48" i="8" s="1"/>
  <c r="CO47" i="8"/>
  <c r="CP47" i="8" s="1"/>
  <c r="CO46" i="8"/>
  <c r="CP46" i="8" s="1"/>
  <c r="CO45" i="8"/>
  <c r="CP45" i="8" s="1"/>
  <c r="CO44" i="8"/>
  <c r="CP44" i="8" s="1"/>
  <c r="CO43" i="8"/>
  <c r="CP43" i="8" s="1"/>
  <c r="CO42" i="8"/>
  <c r="CO41" i="8"/>
  <c r="CO40" i="8"/>
  <c r="CO39" i="8"/>
  <c r="CO38" i="8"/>
  <c r="CO37" i="8"/>
  <c r="CO36" i="8"/>
  <c r="CO35" i="8"/>
  <c r="CO34" i="8"/>
  <c r="CO33" i="8"/>
  <c r="CO32" i="8"/>
  <c r="CL51" i="8"/>
  <c r="CM51" i="8" s="1"/>
  <c r="CL50" i="8"/>
  <c r="CM50" i="8" s="1"/>
  <c r="CL49" i="8"/>
  <c r="CM49" i="8" s="1"/>
  <c r="CL48" i="8"/>
  <c r="CM48" i="8" s="1"/>
  <c r="CL47" i="8"/>
  <c r="CM47" i="8" s="1"/>
  <c r="CL46" i="8"/>
  <c r="CM46" i="8" s="1"/>
  <c r="CL45" i="8"/>
  <c r="CM45" i="8" s="1"/>
  <c r="CL44" i="8"/>
  <c r="CM44" i="8" s="1"/>
  <c r="CL43" i="8"/>
  <c r="CM43" i="8" s="1"/>
  <c r="CL42" i="8"/>
  <c r="CL41" i="8"/>
  <c r="CL40" i="8"/>
  <c r="CL39" i="8"/>
  <c r="CL38" i="8"/>
  <c r="CL37" i="8"/>
  <c r="CL36" i="8"/>
  <c r="CL35" i="8"/>
  <c r="CL34" i="8"/>
  <c r="CL33" i="8"/>
  <c r="CL32" i="8"/>
  <c r="CI51" i="8"/>
  <c r="CJ51" i="8" s="1"/>
  <c r="CI50" i="8"/>
  <c r="CJ50" i="8" s="1"/>
  <c r="CI49" i="8"/>
  <c r="CJ49" i="8" s="1"/>
  <c r="CI48" i="8"/>
  <c r="CJ48" i="8" s="1"/>
  <c r="CI47" i="8"/>
  <c r="CJ47" i="8" s="1"/>
  <c r="CI46" i="8"/>
  <c r="CJ46" i="8" s="1"/>
  <c r="CI45" i="8"/>
  <c r="CJ45" i="8" s="1"/>
  <c r="CI44" i="8"/>
  <c r="CJ44" i="8" s="1"/>
  <c r="CI43" i="8"/>
  <c r="CJ43" i="8" s="1"/>
  <c r="CI42" i="8"/>
  <c r="CI41" i="8"/>
  <c r="CI40" i="8"/>
  <c r="CI39" i="8"/>
  <c r="CI38" i="8"/>
  <c r="CI37" i="8"/>
  <c r="CI36" i="8"/>
  <c r="CI35" i="8"/>
  <c r="CI34" i="8"/>
  <c r="CI33" i="8"/>
  <c r="CI32" i="8"/>
  <c r="CF51" i="8"/>
  <c r="CG51" i="8" s="1"/>
  <c r="CF50" i="8"/>
  <c r="CG50" i="8" s="1"/>
  <c r="CF49" i="8"/>
  <c r="CG49" i="8" s="1"/>
  <c r="CF48" i="8"/>
  <c r="CG48" i="8" s="1"/>
  <c r="CF47" i="8"/>
  <c r="CG47" i="8" s="1"/>
  <c r="CF46" i="8"/>
  <c r="CG46" i="8" s="1"/>
  <c r="CF45" i="8"/>
  <c r="CG45" i="8" s="1"/>
  <c r="CF44" i="8"/>
  <c r="CG44" i="8" s="1"/>
  <c r="CF43" i="8"/>
  <c r="CG43" i="8" s="1"/>
  <c r="CF42" i="8"/>
  <c r="CF41" i="8"/>
  <c r="CF40" i="8"/>
  <c r="CF39" i="8"/>
  <c r="CF38" i="8"/>
  <c r="CF37" i="8"/>
  <c r="CF36" i="8"/>
  <c r="CF35" i="8"/>
  <c r="CF34" i="8"/>
  <c r="CF33" i="8"/>
  <c r="CF32" i="8"/>
  <c r="CC51" i="8"/>
  <c r="CD51" i="8" s="1"/>
  <c r="CC50" i="8"/>
  <c r="CD50" i="8" s="1"/>
  <c r="CC49" i="8"/>
  <c r="CD49" i="8" s="1"/>
  <c r="CC48" i="8"/>
  <c r="CD48" i="8" s="1"/>
  <c r="CC47" i="8"/>
  <c r="CD47" i="8" s="1"/>
  <c r="CC46" i="8"/>
  <c r="CD46" i="8" s="1"/>
  <c r="CC45" i="8"/>
  <c r="CD45" i="8" s="1"/>
  <c r="CC44" i="8"/>
  <c r="CD44" i="8" s="1"/>
  <c r="CC43" i="8"/>
  <c r="CD43" i="8" s="1"/>
  <c r="CC42" i="8"/>
  <c r="CC41" i="8"/>
  <c r="CC40" i="8"/>
  <c r="CC39" i="8"/>
  <c r="CC38" i="8"/>
  <c r="CC37" i="8"/>
  <c r="CC36" i="8"/>
  <c r="CC35" i="8"/>
  <c r="CC34" i="8"/>
  <c r="CC33" i="8"/>
  <c r="CC32" i="8"/>
  <c r="BZ51" i="8"/>
  <c r="CA51" i="8" s="1"/>
  <c r="BZ50" i="8"/>
  <c r="CA50" i="8" s="1"/>
  <c r="BZ49" i="8"/>
  <c r="CA49" i="8" s="1"/>
  <c r="BZ48" i="8"/>
  <c r="CA48" i="8" s="1"/>
  <c r="BZ47" i="8"/>
  <c r="CA47" i="8" s="1"/>
  <c r="BZ46" i="8"/>
  <c r="CA46" i="8" s="1"/>
  <c r="BZ45" i="8"/>
  <c r="CA45" i="8" s="1"/>
  <c r="BZ44" i="8"/>
  <c r="CA44" i="8" s="1"/>
  <c r="BZ43" i="8"/>
  <c r="CA43" i="8" s="1"/>
  <c r="BZ42" i="8"/>
  <c r="BZ41" i="8"/>
  <c r="BZ40" i="8"/>
  <c r="BZ39" i="8"/>
  <c r="BZ38" i="8"/>
  <c r="BZ37" i="8"/>
  <c r="BZ36" i="8"/>
  <c r="BZ35" i="8"/>
  <c r="BZ34" i="8"/>
  <c r="BZ33" i="8"/>
  <c r="BZ32" i="8"/>
  <c r="BW51" i="8"/>
  <c r="BX51" i="8" s="1"/>
  <c r="BW50" i="8"/>
  <c r="BX50" i="8" s="1"/>
  <c r="BW49" i="8"/>
  <c r="BX49" i="8" s="1"/>
  <c r="BW48" i="8"/>
  <c r="BX48" i="8" s="1"/>
  <c r="BW47" i="8"/>
  <c r="BX47" i="8" s="1"/>
  <c r="BW46" i="8"/>
  <c r="BX46" i="8" s="1"/>
  <c r="BW45" i="8"/>
  <c r="BX45" i="8" s="1"/>
  <c r="BW44" i="8"/>
  <c r="BX44" i="8" s="1"/>
  <c r="BW43" i="8"/>
  <c r="BX43" i="8" s="1"/>
  <c r="BW42" i="8"/>
  <c r="BW41" i="8"/>
  <c r="BW40" i="8"/>
  <c r="BW39" i="8"/>
  <c r="BW38" i="8"/>
  <c r="BW37" i="8"/>
  <c r="BW36" i="8"/>
  <c r="BW35" i="8"/>
  <c r="BW34" i="8"/>
  <c r="BW33" i="8"/>
  <c r="BW32" i="8"/>
  <c r="BT51" i="8"/>
  <c r="BU51" i="8" s="1"/>
  <c r="BT50" i="8"/>
  <c r="BU50" i="8" s="1"/>
  <c r="BT49" i="8"/>
  <c r="BU49" i="8" s="1"/>
  <c r="BT48" i="8"/>
  <c r="BU48" i="8" s="1"/>
  <c r="BT47" i="8"/>
  <c r="BU47" i="8" s="1"/>
  <c r="BT46" i="8"/>
  <c r="BU46" i="8" s="1"/>
  <c r="BT45" i="8"/>
  <c r="BU45" i="8" s="1"/>
  <c r="BT44" i="8"/>
  <c r="BU44" i="8" s="1"/>
  <c r="BT43" i="8"/>
  <c r="BU43" i="8" s="1"/>
  <c r="BT42" i="8"/>
  <c r="BT41" i="8"/>
  <c r="BT40" i="8"/>
  <c r="BT39" i="8"/>
  <c r="BT38" i="8"/>
  <c r="BT37" i="8"/>
  <c r="BT36" i="8"/>
  <c r="BT35" i="8"/>
  <c r="BT34" i="8"/>
  <c r="BT33" i="8"/>
  <c r="BT32" i="8"/>
  <c r="BQ51" i="8"/>
  <c r="BR51" i="8" s="1"/>
  <c r="BQ50" i="8"/>
  <c r="BR50" i="8" s="1"/>
  <c r="BQ49" i="8"/>
  <c r="BR49" i="8" s="1"/>
  <c r="BQ48" i="8"/>
  <c r="BR48" i="8" s="1"/>
  <c r="BQ47" i="8"/>
  <c r="BR47" i="8" s="1"/>
  <c r="BQ46" i="8"/>
  <c r="BR46" i="8" s="1"/>
  <c r="BQ45" i="8"/>
  <c r="BR45" i="8" s="1"/>
  <c r="BQ44" i="8"/>
  <c r="BR44" i="8" s="1"/>
  <c r="BQ43" i="8"/>
  <c r="BR43" i="8" s="1"/>
  <c r="BQ42" i="8"/>
  <c r="BQ41" i="8"/>
  <c r="BQ40" i="8"/>
  <c r="BQ39" i="8"/>
  <c r="BQ38" i="8"/>
  <c r="BQ37" i="8"/>
  <c r="BQ36" i="8"/>
  <c r="BQ35" i="8"/>
  <c r="BQ34" i="8"/>
  <c r="BQ33" i="8"/>
  <c r="BQ32" i="8"/>
  <c r="BN51" i="8"/>
  <c r="BO51" i="8" s="1"/>
  <c r="BN50" i="8"/>
  <c r="BO50" i="8" s="1"/>
  <c r="BN49" i="8"/>
  <c r="BO49" i="8" s="1"/>
  <c r="BN48" i="8"/>
  <c r="BO48" i="8" s="1"/>
  <c r="BN47" i="8"/>
  <c r="BO47" i="8" s="1"/>
  <c r="BN46" i="8"/>
  <c r="BO46" i="8" s="1"/>
  <c r="BN45" i="8"/>
  <c r="BO45" i="8" s="1"/>
  <c r="BN44" i="8"/>
  <c r="BO44" i="8" s="1"/>
  <c r="BN43" i="8"/>
  <c r="BO43" i="8" s="1"/>
  <c r="BN42" i="8"/>
  <c r="BN41" i="8"/>
  <c r="BN40" i="8"/>
  <c r="BN39" i="8"/>
  <c r="BN38" i="8"/>
  <c r="BN37" i="8"/>
  <c r="BN36" i="8"/>
  <c r="BN35" i="8"/>
  <c r="BN34" i="8"/>
  <c r="BN33" i="8"/>
  <c r="BN32" i="8"/>
  <c r="BK51" i="8"/>
  <c r="BL51" i="8" s="1"/>
  <c r="BK50" i="8"/>
  <c r="BL50" i="8" s="1"/>
  <c r="BK49" i="8"/>
  <c r="BL49" i="8" s="1"/>
  <c r="BK48" i="8"/>
  <c r="BL48" i="8" s="1"/>
  <c r="BK47" i="8"/>
  <c r="BL47" i="8" s="1"/>
  <c r="BK46" i="8"/>
  <c r="BL46" i="8" s="1"/>
  <c r="BK45" i="8"/>
  <c r="BL45" i="8" s="1"/>
  <c r="BK44" i="8"/>
  <c r="BL44" i="8" s="1"/>
  <c r="BK43" i="8"/>
  <c r="BL43" i="8" s="1"/>
  <c r="BK42" i="8"/>
  <c r="BK41" i="8"/>
  <c r="BK40" i="8"/>
  <c r="BK39" i="8"/>
  <c r="BK38" i="8"/>
  <c r="BK37" i="8"/>
  <c r="BK36" i="8"/>
  <c r="BK35" i="8"/>
  <c r="BK34" i="8"/>
  <c r="BK33" i="8"/>
  <c r="BK32" i="8"/>
  <c r="BH51" i="8"/>
  <c r="BI51" i="8" s="1"/>
  <c r="BH50" i="8"/>
  <c r="BI50" i="8" s="1"/>
  <c r="BH49" i="8"/>
  <c r="BI49" i="8" s="1"/>
  <c r="BH48" i="8"/>
  <c r="BI48" i="8" s="1"/>
  <c r="BH47" i="8"/>
  <c r="BI47" i="8" s="1"/>
  <c r="BH46" i="8"/>
  <c r="BI46" i="8" s="1"/>
  <c r="BH45" i="8"/>
  <c r="BI45" i="8" s="1"/>
  <c r="BH44" i="8"/>
  <c r="BI44" i="8" s="1"/>
  <c r="BH43" i="8"/>
  <c r="BI43" i="8" s="1"/>
  <c r="BH42" i="8"/>
  <c r="BH41" i="8"/>
  <c r="BH40" i="8"/>
  <c r="BH39" i="8"/>
  <c r="BH38" i="8"/>
  <c r="BH37" i="8"/>
  <c r="BH36" i="8"/>
  <c r="BH35" i="8"/>
  <c r="BH34" i="8"/>
  <c r="BH33" i="8"/>
  <c r="BH32" i="8"/>
  <c r="BE51" i="8"/>
  <c r="BF51" i="8" s="1"/>
  <c r="BE50" i="8"/>
  <c r="BF50" i="8" s="1"/>
  <c r="BE49" i="8"/>
  <c r="BF49" i="8" s="1"/>
  <c r="BE48" i="8"/>
  <c r="BF48" i="8" s="1"/>
  <c r="BE47" i="8"/>
  <c r="BF47" i="8" s="1"/>
  <c r="BE46" i="8"/>
  <c r="BF46" i="8" s="1"/>
  <c r="BE45" i="8"/>
  <c r="BF45" i="8" s="1"/>
  <c r="BE44" i="8"/>
  <c r="BF44" i="8" s="1"/>
  <c r="BE43" i="8"/>
  <c r="BF43" i="8" s="1"/>
  <c r="BE42" i="8"/>
  <c r="BE41" i="8"/>
  <c r="BE40" i="8"/>
  <c r="BE39" i="8"/>
  <c r="BE38" i="8"/>
  <c r="BE37" i="8"/>
  <c r="BE36" i="8"/>
  <c r="BE35" i="8"/>
  <c r="BE34" i="8"/>
  <c r="BE33" i="8"/>
  <c r="BE32" i="8"/>
  <c r="BB51" i="8"/>
  <c r="BC51" i="8" s="1"/>
  <c r="BB50" i="8"/>
  <c r="BC50" i="8" s="1"/>
  <c r="BB49" i="8"/>
  <c r="BC49" i="8" s="1"/>
  <c r="BB48" i="8"/>
  <c r="BC48" i="8" s="1"/>
  <c r="BB47" i="8"/>
  <c r="BC47" i="8" s="1"/>
  <c r="BB46" i="8"/>
  <c r="BC46" i="8" s="1"/>
  <c r="BB45" i="8"/>
  <c r="BC45" i="8" s="1"/>
  <c r="BB44" i="8"/>
  <c r="BC44" i="8" s="1"/>
  <c r="BB43" i="8"/>
  <c r="BC43" i="8" s="1"/>
  <c r="BB42" i="8"/>
  <c r="BB41" i="8"/>
  <c r="BB40" i="8"/>
  <c r="BB39" i="8"/>
  <c r="BB38" i="8"/>
  <c r="BB37" i="8"/>
  <c r="BB36" i="8"/>
  <c r="BB35" i="8"/>
  <c r="BB34" i="8"/>
  <c r="BB33" i="8"/>
  <c r="BB32" i="8"/>
  <c r="AY51" i="8"/>
  <c r="AZ51" i="8" s="1"/>
  <c r="AY50" i="8"/>
  <c r="AZ50" i="8" s="1"/>
  <c r="AY49" i="8"/>
  <c r="AZ49" i="8" s="1"/>
  <c r="AY48" i="8"/>
  <c r="AZ48" i="8" s="1"/>
  <c r="AY47" i="8"/>
  <c r="AZ47" i="8" s="1"/>
  <c r="AY46" i="8"/>
  <c r="AZ46" i="8" s="1"/>
  <c r="AY45" i="8"/>
  <c r="AZ45" i="8" s="1"/>
  <c r="AY44" i="8"/>
  <c r="AZ44" i="8" s="1"/>
  <c r="AY43" i="8"/>
  <c r="AZ43" i="8" s="1"/>
  <c r="AY42" i="8"/>
  <c r="AY41" i="8"/>
  <c r="AY40" i="8"/>
  <c r="AY39" i="8"/>
  <c r="AY38" i="8"/>
  <c r="AY37" i="8"/>
  <c r="AY36" i="8"/>
  <c r="AY35" i="8"/>
  <c r="AY34" i="8"/>
  <c r="AY33" i="8"/>
  <c r="AY32" i="8"/>
  <c r="AV51" i="8"/>
  <c r="AW51" i="8" s="1"/>
  <c r="AV50" i="8"/>
  <c r="AW50" i="8" s="1"/>
  <c r="AV49" i="8"/>
  <c r="AW49" i="8" s="1"/>
  <c r="AV48" i="8"/>
  <c r="AW48" i="8" s="1"/>
  <c r="AV47" i="8"/>
  <c r="AW47" i="8" s="1"/>
  <c r="AV46" i="8"/>
  <c r="AW46" i="8" s="1"/>
  <c r="AV45" i="8"/>
  <c r="AW45" i="8" s="1"/>
  <c r="AV44" i="8"/>
  <c r="AW44" i="8" s="1"/>
  <c r="AV43" i="8"/>
  <c r="AW43" i="8" s="1"/>
  <c r="AV42" i="8"/>
  <c r="AV41" i="8"/>
  <c r="AV40" i="8"/>
  <c r="AV39" i="8"/>
  <c r="AV38" i="8"/>
  <c r="AV37" i="8"/>
  <c r="AV36" i="8"/>
  <c r="AV35" i="8"/>
  <c r="AV34" i="8"/>
  <c r="AV33" i="8"/>
  <c r="AV32" i="8"/>
  <c r="AS51" i="8"/>
  <c r="AT51" i="8" s="1"/>
  <c r="AS50" i="8"/>
  <c r="AT50" i="8" s="1"/>
  <c r="AS49" i="8"/>
  <c r="AT49" i="8" s="1"/>
  <c r="AS48" i="8"/>
  <c r="AT48" i="8" s="1"/>
  <c r="AS47" i="8"/>
  <c r="AT47" i="8" s="1"/>
  <c r="AS46" i="8"/>
  <c r="AT46" i="8" s="1"/>
  <c r="AS45" i="8"/>
  <c r="AT45" i="8" s="1"/>
  <c r="AS44" i="8"/>
  <c r="AT44" i="8" s="1"/>
  <c r="AS43" i="8"/>
  <c r="AT43" i="8" s="1"/>
  <c r="AS42" i="8"/>
  <c r="AS41" i="8"/>
  <c r="AS40" i="8"/>
  <c r="AS39" i="8"/>
  <c r="AS38" i="8"/>
  <c r="AS37" i="8"/>
  <c r="AS36" i="8"/>
  <c r="AS35" i="8"/>
  <c r="AS34" i="8"/>
  <c r="AS33" i="8"/>
  <c r="AS32" i="8"/>
  <c r="AP51" i="8"/>
  <c r="AQ51" i="8" s="1"/>
  <c r="AP50" i="8"/>
  <c r="AQ50" i="8" s="1"/>
  <c r="AP49" i="8"/>
  <c r="AQ49" i="8" s="1"/>
  <c r="AP48" i="8"/>
  <c r="AQ48" i="8" s="1"/>
  <c r="AP47" i="8"/>
  <c r="AQ47" i="8" s="1"/>
  <c r="AP46" i="8"/>
  <c r="AQ46" i="8" s="1"/>
  <c r="AP45" i="8"/>
  <c r="AQ45" i="8" s="1"/>
  <c r="AP44" i="8"/>
  <c r="AQ44" i="8" s="1"/>
  <c r="AP43" i="8"/>
  <c r="AQ43" i="8" s="1"/>
  <c r="AP42" i="8"/>
  <c r="AP41" i="8"/>
  <c r="AP40" i="8"/>
  <c r="AP39" i="8"/>
  <c r="AP38" i="8"/>
  <c r="AP37" i="8"/>
  <c r="AP36" i="8"/>
  <c r="AP35" i="8"/>
  <c r="AP34" i="8"/>
  <c r="AP33" i="8"/>
  <c r="AP32" i="8"/>
  <c r="AM51" i="8"/>
  <c r="AN51" i="8" s="1"/>
  <c r="AM50" i="8"/>
  <c r="AN50" i="8" s="1"/>
  <c r="AM49" i="8"/>
  <c r="AN49" i="8" s="1"/>
  <c r="AM48" i="8"/>
  <c r="AN48" i="8" s="1"/>
  <c r="AM47" i="8"/>
  <c r="AN47" i="8" s="1"/>
  <c r="AM46" i="8"/>
  <c r="AN46" i="8" s="1"/>
  <c r="AM45" i="8"/>
  <c r="AN45" i="8" s="1"/>
  <c r="AM44" i="8"/>
  <c r="AN44" i="8" s="1"/>
  <c r="AM43" i="8"/>
  <c r="AN43" i="8" s="1"/>
  <c r="AM42" i="8"/>
  <c r="AM41" i="8"/>
  <c r="AM40" i="8"/>
  <c r="AM39" i="8"/>
  <c r="AM38" i="8"/>
  <c r="AM37" i="8"/>
  <c r="AM36" i="8"/>
  <c r="AM35" i="8"/>
  <c r="AM34" i="8"/>
  <c r="AM33" i="8"/>
  <c r="AM32" i="8"/>
  <c r="M388" i="10"/>
  <c r="G182" i="17" l="1"/>
  <c r="G187" i="17"/>
  <c r="J24" i="14" s="1"/>
  <c r="P5" i="17"/>
  <c r="P51" i="17"/>
  <c r="P47" i="17"/>
  <c r="P43" i="17"/>
  <c r="P39" i="17"/>
  <c r="P35" i="17"/>
  <c r="P31" i="17"/>
  <c r="P27" i="17"/>
  <c r="P23" i="17"/>
  <c r="P19" i="17"/>
  <c r="L150" i="17"/>
  <c r="O150" i="17" s="1"/>
  <c r="R150" i="17" s="1"/>
  <c r="U150" i="17" s="1"/>
  <c r="AM150" i="17"/>
  <c r="AM211" i="17"/>
  <c r="X150" i="17"/>
  <c r="X211" i="17"/>
  <c r="O211" i="17"/>
  <c r="AU150" i="17"/>
  <c r="AQ211" i="17"/>
  <c r="AJ150" i="17"/>
  <c r="Y150" i="17"/>
  <c r="AO150" i="17"/>
  <c r="AG150" i="17"/>
  <c r="AG211" i="17"/>
  <c r="AD211" i="17"/>
  <c r="V150" i="17"/>
  <c r="W211" i="17"/>
  <c r="AC211" i="17"/>
  <c r="AH150" i="17"/>
  <c r="AH211" i="17"/>
  <c r="AX150" i="17"/>
  <c r="P211" i="17"/>
  <c r="AR211" i="17"/>
  <c r="T211" i="17"/>
  <c r="AU211" i="17"/>
  <c r="AT211" i="17"/>
  <c r="AP150" i="17"/>
  <c r="AD150" i="17"/>
  <c r="V211" i="17"/>
  <c r="AA211" i="17"/>
  <c r="M211" i="17"/>
  <c r="AR150" i="17"/>
  <c r="AS211" i="17"/>
  <c r="R211" i="17"/>
  <c r="AJ211" i="17"/>
  <c r="Y211" i="17"/>
  <c r="AE211" i="17"/>
  <c r="AO211" i="17"/>
  <c r="AB150" i="17"/>
  <c r="AB211" i="17"/>
  <c r="U211" i="17"/>
  <c r="AV150" i="17"/>
  <c r="W150" i="17"/>
  <c r="AP211" i="17"/>
  <c r="AV211" i="17"/>
  <c r="AW150" i="17"/>
  <c r="AW211" i="17"/>
  <c r="AN150" i="17"/>
  <c r="AI150" i="17"/>
  <c r="AC150" i="17"/>
  <c r="AA150" i="17"/>
  <c r="AS150" i="17"/>
  <c r="L211" i="17"/>
  <c r="S211" i="17"/>
  <c r="AN211" i="17"/>
  <c r="AI211" i="17"/>
  <c r="Q211" i="17"/>
  <c r="AT150" i="17"/>
  <c r="AX211" i="17"/>
  <c r="AK150" i="17"/>
  <c r="AL150" i="17"/>
  <c r="AF150" i="17"/>
  <c r="Z211" i="17"/>
  <c r="AY211" i="17"/>
  <c r="AL211" i="17"/>
  <c r="AF211" i="17"/>
  <c r="Z150" i="17"/>
  <c r="AE150" i="17"/>
  <c r="AY150" i="17"/>
  <c r="AQ150" i="17"/>
  <c r="AK211" i="17"/>
  <c r="N211" i="17"/>
  <c r="L154" i="17"/>
  <c r="O154" i="17" s="1"/>
  <c r="R154" i="17" s="1"/>
  <c r="U154" i="17" s="1"/>
  <c r="W154" i="17"/>
  <c r="AC154" i="17"/>
  <c r="AA154" i="17"/>
  <c r="X154" i="17"/>
  <c r="Q215" i="17"/>
  <c r="AR154" i="17"/>
  <c r="AS154" i="17"/>
  <c r="AT154" i="17"/>
  <c r="AQ154" i="17"/>
  <c r="AD154" i="17"/>
  <c r="V215" i="17"/>
  <c r="AA215" i="17"/>
  <c r="X215" i="17"/>
  <c r="M215" i="17"/>
  <c r="AS215" i="17"/>
  <c r="T215" i="17"/>
  <c r="AU215" i="17"/>
  <c r="AT215" i="17"/>
  <c r="AP215" i="17"/>
  <c r="R215" i="17"/>
  <c r="AQ215" i="17"/>
  <c r="AJ154" i="17"/>
  <c r="Y215" i="17"/>
  <c r="AM154" i="17"/>
  <c r="AM215" i="17"/>
  <c r="O215" i="17"/>
  <c r="AX215" i="17"/>
  <c r="P215" i="17"/>
  <c r="AR215" i="17"/>
  <c r="AU154" i="17"/>
  <c r="AJ215" i="17"/>
  <c r="Y154" i="17"/>
  <c r="AO154" i="17"/>
  <c r="AG154" i="17"/>
  <c r="AG215" i="17"/>
  <c r="W215" i="17"/>
  <c r="AP154" i="17"/>
  <c r="U215" i="17"/>
  <c r="AV154" i="17"/>
  <c r="AV215" i="17"/>
  <c r="S215" i="17"/>
  <c r="AI215" i="17"/>
  <c r="AE154" i="17"/>
  <c r="AW215" i="17"/>
  <c r="AN154" i="17"/>
  <c r="AD215" i="17"/>
  <c r="AO215" i="17"/>
  <c r="AB215" i="17"/>
  <c r="AW154" i="17"/>
  <c r="AH215" i="17"/>
  <c r="AE215" i="17"/>
  <c r="AY215" i="17"/>
  <c r="AL215" i="17"/>
  <c r="AF215" i="17"/>
  <c r="Z154" i="17"/>
  <c r="V154" i="17"/>
  <c r="AC215" i="17"/>
  <c r="AY154" i="17"/>
  <c r="AH154" i="17"/>
  <c r="AX154" i="17"/>
  <c r="AB154" i="17"/>
  <c r="L215" i="17"/>
  <c r="AN215" i="17"/>
  <c r="AK215" i="17"/>
  <c r="AF154" i="17"/>
  <c r="N215" i="17"/>
  <c r="AI154" i="17"/>
  <c r="AK154" i="17"/>
  <c r="AL154" i="17"/>
  <c r="Z215" i="17"/>
  <c r="L158" i="17"/>
  <c r="O158" i="17" s="1"/>
  <c r="R158" i="17" s="1"/>
  <c r="U158" i="17" s="1"/>
  <c r="AM158" i="17"/>
  <c r="AM219" i="17"/>
  <c r="AA219" i="17"/>
  <c r="X158" i="17"/>
  <c r="AH158" i="17"/>
  <c r="AS158" i="17"/>
  <c r="AU219" i="17"/>
  <c r="AT158" i="17"/>
  <c r="AP158" i="17"/>
  <c r="R219" i="17"/>
  <c r="AJ219" i="17"/>
  <c r="AG219" i="17"/>
  <c r="AD158" i="17"/>
  <c r="AD219" i="17"/>
  <c r="V158" i="17"/>
  <c r="AH219" i="17"/>
  <c r="AP219" i="17"/>
  <c r="AJ158" i="17"/>
  <c r="Y219" i="17"/>
  <c r="AC158" i="17"/>
  <c r="AA158" i="17"/>
  <c r="O219" i="17"/>
  <c r="AX158" i="17"/>
  <c r="Q219" i="17"/>
  <c r="AR158" i="17"/>
  <c r="AR219" i="17"/>
  <c r="AT219" i="17"/>
  <c r="AQ158" i="17"/>
  <c r="AB219" i="17"/>
  <c r="V219" i="17"/>
  <c r="AC219" i="17"/>
  <c r="AS219" i="17"/>
  <c r="AE219" i="17"/>
  <c r="AO158" i="17"/>
  <c r="U219" i="17"/>
  <c r="AV219" i="17"/>
  <c r="AW219" i="17"/>
  <c r="AN219" i="17"/>
  <c r="AK158" i="17"/>
  <c r="AX219" i="17"/>
  <c r="M219" i="17"/>
  <c r="AN158" i="17"/>
  <c r="W219" i="17"/>
  <c r="X219" i="17"/>
  <c r="T219" i="17"/>
  <c r="AG158" i="17"/>
  <c r="L219" i="17"/>
  <c r="AU158" i="17"/>
  <c r="S219" i="17"/>
  <c r="AI219" i="17"/>
  <c r="AY158" i="17"/>
  <c r="AL158" i="17"/>
  <c r="AF219" i="17"/>
  <c r="N219" i="17"/>
  <c r="W158" i="17"/>
  <c r="AQ219" i="17"/>
  <c r="AE158" i="17"/>
  <c r="AB158" i="17"/>
  <c r="AW158" i="17"/>
  <c r="AK219" i="17"/>
  <c r="AY219" i="17"/>
  <c r="P219" i="17"/>
  <c r="AI158" i="17"/>
  <c r="Z219" i="17"/>
  <c r="Y158" i="17"/>
  <c r="AO219" i="17"/>
  <c r="AV158" i="17"/>
  <c r="AL219" i="17"/>
  <c r="AF158" i="17"/>
  <c r="Z158" i="17"/>
  <c r="L162" i="17"/>
  <c r="O162" i="17" s="1"/>
  <c r="R162" i="17" s="1"/>
  <c r="U162" i="17" s="1"/>
  <c r="V223" i="17"/>
  <c r="W162" i="17"/>
  <c r="W223" i="17"/>
  <c r="AC223" i="17"/>
  <c r="X223" i="17"/>
  <c r="AX223" i="17"/>
  <c r="M223" i="17"/>
  <c r="AS223" i="17"/>
  <c r="AQ162" i="17"/>
  <c r="AQ223" i="17"/>
  <c r="Y162" i="17"/>
  <c r="AO162" i="17"/>
  <c r="AO223" i="17"/>
  <c r="AC162" i="17"/>
  <c r="X162" i="17"/>
  <c r="O223" i="17"/>
  <c r="AX162" i="17"/>
  <c r="Q223" i="17"/>
  <c r="AR223" i="17"/>
  <c r="AT223" i="17"/>
  <c r="AM162" i="17"/>
  <c r="AM223" i="17"/>
  <c r="AA223" i="17"/>
  <c r="AH162" i="17"/>
  <c r="AR162" i="17"/>
  <c r="AS162" i="17"/>
  <c r="AU162" i="17"/>
  <c r="AU223" i="17"/>
  <c r="AT162" i="17"/>
  <c r="AP162" i="17"/>
  <c r="R223" i="17"/>
  <c r="AJ162" i="17"/>
  <c r="AJ223" i="17"/>
  <c r="AG223" i="17"/>
  <c r="AB223" i="17"/>
  <c r="AD162" i="17"/>
  <c r="T223" i="17"/>
  <c r="AN162" i="17"/>
  <c r="AI162" i="17"/>
  <c r="AD223" i="17"/>
  <c r="AH223" i="17"/>
  <c r="AB162" i="17"/>
  <c r="AV223" i="17"/>
  <c r="S223" i="17"/>
  <c r="AW162" i="17"/>
  <c r="AI223" i="17"/>
  <c r="V162" i="17"/>
  <c r="Y223" i="17"/>
  <c r="AE162" i="17"/>
  <c r="AE223" i="17"/>
  <c r="U223" i="17"/>
  <c r="AV162" i="17"/>
  <c r="AW223" i="17"/>
  <c r="AP223" i="17"/>
  <c r="AK223" i="17"/>
  <c r="AY162" i="17"/>
  <c r="AY223" i="17"/>
  <c r="AA162" i="17"/>
  <c r="AG162" i="17"/>
  <c r="L223" i="17"/>
  <c r="Z223" i="17"/>
  <c r="AK162" i="17"/>
  <c r="AL223" i="17"/>
  <c r="AF162" i="17"/>
  <c r="Z162" i="17"/>
  <c r="P223" i="17"/>
  <c r="AN223" i="17"/>
  <c r="AL162" i="17"/>
  <c r="AF223" i="17"/>
  <c r="N223" i="17"/>
  <c r="L166" i="17"/>
  <c r="O166" i="17" s="1"/>
  <c r="R166" i="17" s="1"/>
  <c r="U166" i="17" s="1"/>
  <c r="AD166" i="17"/>
  <c r="AD227" i="17"/>
  <c r="V166" i="17"/>
  <c r="AA166" i="17"/>
  <c r="X227" i="17"/>
  <c r="AH227" i="17"/>
  <c r="AP227" i="17"/>
  <c r="Y227" i="17"/>
  <c r="AE166" i="17"/>
  <c r="AE227" i="17"/>
  <c r="AG166" i="17"/>
  <c r="AM166" i="17"/>
  <c r="AM227" i="17"/>
  <c r="AA227" i="17"/>
  <c r="AH166" i="17"/>
  <c r="AS166" i="17"/>
  <c r="AU166" i="17"/>
  <c r="AU227" i="17"/>
  <c r="AT166" i="17"/>
  <c r="AP166" i="17"/>
  <c r="R227" i="17"/>
  <c r="AJ166" i="17"/>
  <c r="V227" i="17"/>
  <c r="W166" i="17"/>
  <c r="W227" i="17"/>
  <c r="AC227" i="17"/>
  <c r="X166" i="17"/>
  <c r="AX227" i="17"/>
  <c r="M227" i="17"/>
  <c r="AR166" i="17"/>
  <c r="AS227" i="17"/>
  <c r="T227" i="17"/>
  <c r="AQ166" i="17"/>
  <c r="AQ227" i="17"/>
  <c r="Y166" i="17"/>
  <c r="AO166" i="17"/>
  <c r="AO227" i="17"/>
  <c r="O227" i="17"/>
  <c r="P227" i="17"/>
  <c r="AB227" i="17"/>
  <c r="AV166" i="17"/>
  <c r="AV227" i="17"/>
  <c r="L227" i="17"/>
  <c r="S227" i="17"/>
  <c r="AW166" i="17"/>
  <c r="AI227" i="17"/>
  <c r="AG227" i="17"/>
  <c r="AB166" i="17"/>
  <c r="AN166" i="17"/>
  <c r="AX166" i="17"/>
  <c r="AR227" i="17"/>
  <c r="AT227" i="17"/>
  <c r="AJ227" i="17"/>
  <c r="AC166" i="17"/>
  <c r="Z227" i="17"/>
  <c r="Q227" i="17"/>
  <c r="AI166" i="17"/>
  <c r="AK166" i="17"/>
  <c r="AL227" i="17"/>
  <c r="AF166" i="17"/>
  <c r="Z166" i="17"/>
  <c r="U227" i="17"/>
  <c r="AW227" i="17"/>
  <c r="AL166" i="17"/>
  <c r="N227" i="17"/>
  <c r="AN227" i="17"/>
  <c r="AK227" i="17"/>
  <c r="AY166" i="17"/>
  <c r="AY227" i="17"/>
  <c r="AF227" i="17"/>
  <c r="L173" i="17"/>
  <c r="O173" i="17" s="1"/>
  <c r="R173" i="17" s="1"/>
  <c r="U173" i="17" s="1"/>
  <c r="AD234" i="17"/>
  <c r="W173" i="17"/>
  <c r="AM173" i="17"/>
  <c r="AU173" i="17"/>
  <c r="AP173" i="17"/>
  <c r="AP234" i="17"/>
  <c r="AJ173" i="17"/>
  <c r="AO234" i="17"/>
  <c r="AD173" i="17"/>
  <c r="W234" i="17"/>
  <c r="AC234" i="17"/>
  <c r="AA234" i="17"/>
  <c r="AH173" i="17"/>
  <c r="AX234" i="17"/>
  <c r="P234" i="17"/>
  <c r="M234" i="17"/>
  <c r="AT234" i="17"/>
  <c r="Y173" i="17"/>
  <c r="V234" i="17"/>
  <c r="AA173" i="17"/>
  <c r="X173" i="17"/>
  <c r="X234" i="17"/>
  <c r="AR173" i="17"/>
  <c r="AR234" i="17"/>
  <c r="AS173" i="17"/>
  <c r="AU234" i="17"/>
  <c r="R234" i="17"/>
  <c r="AQ234" i="17"/>
  <c r="AG173" i="17"/>
  <c r="AG234" i="17"/>
  <c r="V173" i="17"/>
  <c r="AS234" i="17"/>
  <c r="AQ173" i="17"/>
  <c r="AJ234" i="17"/>
  <c r="AB234" i="17"/>
  <c r="L234" i="17"/>
  <c r="S234" i="17"/>
  <c r="AW234" i="17"/>
  <c r="AI234" i="17"/>
  <c r="AK173" i="17"/>
  <c r="AC173" i="17"/>
  <c r="O234" i="17"/>
  <c r="AX173" i="17"/>
  <c r="T234" i="17"/>
  <c r="AT173" i="17"/>
  <c r="AE173" i="17"/>
  <c r="AE234" i="17"/>
  <c r="AO173" i="17"/>
  <c r="AN173" i="17"/>
  <c r="AN234" i="17"/>
  <c r="AM234" i="17"/>
  <c r="AH234" i="17"/>
  <c r="Y234" i="17"/>
  <c r="AB173" i="17"/>
  <c r="U234" i="17"/>
  <c r="AW173" i="17"/>
  <c r="AI173" i="17"/>
  <c r="AL173" i="17"/>
  <c r="AL234" i="17"/>
  <c r="AV234" i="17"/>
  <c r="AK234" i="17"/>
  <c r="AY234" i="17"/>
  <c r="Q234" i="17"/>
  <c r="AF173" i="17"/>
  <c r="AF234" i="17"/>
  <c r="Z173" i="17"/>
  <c r="AV173" i="17"/>
  <c r="AY173" i="17"/>
  <c r="N234" i="17"/>
  <c r="Z234" i="17"/>
  <c r="L177" i="17"/>
  <c r="O177" i="17" s="1"/>
  <c r="R177" i="17" s="1"/>
  <c r="U177" i="17" s="1"/>
  <c r="AM238" i="17"/>
  <c r="AH177" i="17"/>
  <c r="AH238" i="17"/>
  <c r="O238" i="17"/>
  <c r="AR177" i="17"/>
  <c r="T238" i="17"/>
  <c r="AT177" i="17"/>
  <c r="AP177" i="17"/>
  <c r="AJ238" i="17"/>
  <c r="Y238" i="17"/>
  <c r="AE238" i="17"/>
  <c r="AO177" i="17"/>
  <c r="V177" i="17"/>
  <c r="V238" i="17"/>
  <c r="W177" i="17"/>
  <c r="AC177" i="17"/>
  <c r="X238" i="17"/>
  <c r="AR238" i="17"/>
  <c r="AU238" i="17"/>
  <c r="R238" i="17"/>
  <c r="AQ238" i="17"/>
  <c r="AD238" i="17"/>
  <c r="AC238" i="17"/>
  <c r="X177" i="17"/>
  <c r="AX177" i="17"/>
  <c r="M238" i="17"/>
  <c r="AS177" i="17"/>
  <c r="AP238" i="17"/>
  <c r="AQ177" i="17"/>
  <c r="Y177" i="17"/>
  <c r="AE177" i="17"/>
  <c r="AO238" i="17"/>
  <c r="AG177" i="17"/>
  <c r="AV238" i="17"/>
  <c r="W238" i="17"/>
  <c r="AM177" i="17"/>
  <c r="U238" i="17"/>
  <c r="AV177" i="17"/>
  <c r="AW177" i="17"/>
  <c r="AW238" i="17"/>
  <c r="AN238" i="17"/>
  <c r="AD177" i="17"/>
  <c r="P238" i="17"/>
  <c r="AS238" i="17"/>
  <c r="AU177" i="17"/>
  <c r="AJ177" i="17"/>
  <c r="AN177" i="17"/>
  <c r="AA177" i="17"/>
  <c r="AG238" i="17"/>
  <c r="AB238" i="17"/>
  <c r="L238" i="17"/>
  <c r="S238" i="17"/>
  <c r="AA238" i="17"/>
  <c r="AK238" i="17"/>
  <c r="AY177" i="17"/>
  <c r="AY238" i="17"/>
  <c r="AT238" i="17"/>
  <c r="AI238" i="17"/>
  <c r="AL177" i="17"/>
  <c r="AF238" i="17"/>
  <c r="Z177" i="17"/>
  <c r="AK177" i="17"/>
  <c r="AF177" i="17"/>
  <c r="N238" i="17"/>
  <c r="Z238" i="17"/>
  <c r="AX238" i="17"/>
  <c r="Q238" i="17"/>
  <c r="AB177" i="17"/>
  <c r="AI177" i="17"/>
  <c r="AL238" i="17"/>
  <c r="L179" i="17"/>
  <c r="O179" i="17" s="1"/>
  <c r="R179" i="17" s="1"/>
  <c r="U179" i="17" s="1"/>
  <c r="AD179" i="17"/>
  <c r="AD240" i="17"/>
  <c r="V179" i="17"/>
  <c r="AQ179" i="17"/>
  <c r="AJ179" i="17"/>
  <c r="AE179" i="17"/>
  <c r="AE240" i="17"/>
  <c r="AM179" i="17"/>
  <c r="AM240" i="17"/>
  <c r="AA179" i="17"/>
  <c r="X179" i="17"/>
  <c r="X240" i="17"/>
  <c r="AX179" i="17"/>
  <c r="P240" i="17"/>
  <c r="AR240" i="17"/>
  <c r="AS240" i="17"/>
  <c r="AU179" i="17"/>
  <c r="AT179" i="17"/>
  <c r="AT240" i="17"/>
  <c r="AP179" i="17"/>
  <c r="Y179" i="17"/>
  <c r="W179" i="17"/>
  <c r="W240" i="17"/>
  <c r="AA240" i="17"/>
  <c r="AH179" i="17"/>
  <c r="AX240" i="17"/>
  <c r="Q240" i="17"/>
  <c r="M240" i="17"/>
  <c r="AP240" i="17"/>
  <c r="AJ240" i="17"/>
  <c r="AB240" i="17"/>
  <c r="AC179" i="17"/>
  <c r="AC240" i="17"/>
  <c r="AS179" i="17"/>
  <c r="AQ240" i="17"/>
  <c r="AB179" i="17"/>
  <c r="AV179" i="17"/>
  <c r="AV240" i="17"/>
  <c r="L240" i="17"/>
  <c r="AI179" i="17"/>
  <c r="V240" i="17"/>
  <c r="AR179" i="17"/>
  <c r="AU240" i="17"/>
  <c r="AO240" i="17"/>
  <c r="AG179" i="17"/>
  <c r="S240" i="17"/>
  <c r="AI240" i="17"/>
  <c r="T240" i="17"/>
  <c r="Y240" i="17"/>
  <c r="AO179" i="17"/>
  <c r="AG240" i="17"/>
  <c r="AH240" i="17"/>
  <c r="R240" i="17"/>
  <c r="U240" i="17"/>
  <c r="AK179" i="17"/>
  <c r="AY179" i="17"/>
  <c r="N240" i="17"/>
  <c r="Z179" i="17"/>
  <c r="AW179" i="17"/>
  <c r="AW240" i="17"/>
  <c r="AY240" i="17"/>
  <c r="AL179" i="17"/>
  <c r="AF179" i="17"/>
  <c r="AF240" i="17"/>
  <c r="O240" i="17"/>
  <c r="AN179" i="17"/>
  <c r="AN240" i="17"/>
  <c r="AK240" i="17"/>
  <c r="AL240" i="17"/>
  <c r="Z240" i="17"/>
  <c r="L152" i="17"/>
  <c r="O152" i="17" s="1"/>
  <c r="R152" i="17" s="1"/>
  <c r="U152" i="17" s="1"/>
  <c r="AC152" i="17"/>
  <c r="AA152" i="17"/>
  <c r="O213" i="17"/>
  <c r="AR213" i="17"/>
  <c r="AS152" i="17"/>
  <c r="AQ152" i="17"/>
  <c r="AQ213" i="17"/>
  <c r="Y213" i="17"/>
  <c r="AE213" i="17"/>
  <c r="W152" i="17"/>
  <c r="AC213" i="17"/>
  <c r="AA213" i="17"/>
  <c r="AH152" i="17"/>
  <c r="AH213" i="17"/>
  <c r="P213" i="17"/>
  <c r="AS213" i="17"/>
  <c r="AU152" i="17"/>
  <c r="R213" i="17"/>
  <c r="AJ213" i="17"/>
  <c r="V213" i="17"/>
  <c r="AM213" i="17"/>
  <c r="AX213" i="17"/>
  <c r="Q213" i="17"/>
  <c r="AU213" i="17"/>
  <c r="AT152" i="17"/>
  <c r="AT213" i="17"/>
  <c r="AP213" i="17"/>
  <c r="Y152" i="17"/>
  <c r="AE152" i="17"/>
  <c r="AO152" i="17"/>
  <c r="AO213" i="17"/>
  <c r="AG152" i="17"/>
  <c r="U213" i="17"/>
  <c r="AV152" i="17"/>
  <c r="AD152" i="17"/>
  <c r="V152" i="17"/>
  <c r="X213" i="17"/>
  <c r="AJ152" i="17"/>
  <c r="L213" i="17"/>
  <c r="AN213" i="17"/>
  <c r="AM152" i="17"/>
  <c r="X152" i="17"/>
  <c r="AX152" i="17"/>
  <c r="M213" i="17"/>
  <c r="AR152" i="17"/>
  <c r="T213" i="17"/>
  <c r="AP152" i="17"/>
  <c r="AV213" i="17"/>
  <c r="AB213" i="17"/>
  <c r="S213" i="17"/>
  <c r="AW152" i="17"/>
  <c r="W213" i="17"/>
  <c r="AB152" i="17"/>
  <c r="AY152" i="17"/>
  <c r="AY213" i="17"/>
  <c r="AL213" i="17"/>
  <c r="AF152" i="17"/>
  <c r="AF213" i="17"/>
  <c r="N213" i="17"/>
  <c r="Z152" i="17"/>
  <c r="AI152" i="17"/>
  <c r="Z213" i="17"/>
  <c r="AG213" i="17"/>
  <c r="AW213" i="17"/>
  <c r="AN152" i="17"/>
  <c r="AI213" i="17"/>
  <c r="AL152" i="17"/>
  <c r="AD213" i="17"/>
  <c r="AK152" i="17"/>
  <c r="AK213" i="17"/>
  <c r="L153" i="17"/>
  <c r="O153" i="17" s="1"/>
  <c r="R153" i="17" s="1"/>
  <c r="U153" i="17" s="1"/>
  <c r="AD214" i="17"/>
  <c r="X153" i="17"/>
  <c r="AX214" i="17"/>
  <c r="Q214" i="17"/>
  <c r="M214" i="17"/>
  <c r="AR153" i="17"/>
  <c r="AR214" i="17"/>
  <c r="AT153" i="17"/>
  <c r="R214" i="17"/>
  <c r="AQ153" i="17"/>
  <c r="AJ153" i="17"/>
  <c r="Y214" i="17"/>
  <c r="W153" i="17"/>
  <c r="W214" i="17"/>
  <c r="AH153" i="17"/>
  <c r="AX153" i="17"/>
  <c r="AS214" i="17"/>
  <c r="AP153" i="17"/>
  <c r="AC153" i="17"/>
  <c r="O214" i="17"/>
  <c r="P214" i="17"/>
  <c r="AS153" i="17"/>
  <c r="AU214" i="17"/>
  <c r="AP214" i="17"/>
  <c r="AQ214" i="17"/>
  <c r="AJ214" i="17"/>
  <c r="Y153" i="17"/>
  <c r="AE153" i="17"/>
  <c r="AO153" i="17"/>
  <c r="AO214" i="17"/>
  <c r="AV153" i="17"/>
  <c r="AA153" i="17"/>
  <c r="AT214" i="17"/>
  <c r="AB153" i="17"/>
  <c r="L214" i="17"/>
  <c r="S214" i="17"/>
  <c r="AN214" i="17"/>
  <c r="AI153" i="17"/>
  <c r="AI214" i="17"/>
  <c r="V153" i="17"/>
  <c r="V214" i="17"/>
  <c r="AC214" i="17"/>
  <c r="AM153" i="17"/>
  <c r="AA214" i="17"/>
  <c r="AU153" i="17"/>
  <c r="AG214" i="17"/>
  <c r="AB214" i="17"/>
  <c r="AV214" i="17"/>
  <c r="T214" i="17"/>
  <c r="AG153" i="17"/>
  <c r="AW153" i="17"/>
  <c r="AW214" i="17"/>
  <c r="AY214" i="17"/>
  <c r="Z214" i="17"/>
  <c r="AD153" i="17"/>
  <c r="AE214" i="17"/>
  <c r="U214" i="17"/>
  <c r="AY153" i="17"/>
  <c r="AF214" i="17"/>
  <c r="Z153" i="17"/>
  <c r="AM214" i="17"/>
  <c r="AH214" i="17"/>
  <c r="AN153" i="17"/>
  <c r="AK153" i="17"/>
  <c r="AK214" i="17"/>
  <c r="AF153" i="17"/>
  <c r="N214" i="17"/>
  <c r="X214" i="17"/>
  <c r="AL153" i="17"/>
  <c r="AL214" i="17"/>
  <c r="L156" i="17"/>
  <c r="O156" i="17" s="1"/>
  <c r="R156" i="17" s="1"/>
  <c r="U156" i="17" s="1"/>
  <c r="AD217" i="17"/>
  <c r="V156" i="17"/>
  <c r="V217" i="17"/>
  <c r="AM156" i="17"/>
  <c r="AA217" i="17"/>
  <c r="AR217" i="17"/>
  <c r="T217" i="17"/>
  <c r="AP217" i="17"/>
  <c r="AJ156" i="17"/>
  <c r="AE217" i="17"/>
  <c r="AM217" i="17"/>
  <c r="P217" i="17"/>
  <c r="AR156" i="17"/>
  <c r="AU217" i="17"/>
  <c r="AT217" i="17"/>
  <c r="AQ217" i="17"/>
  <c r="Y156" i="17"/>
  <c r="W217" i="17"/>
  <c r="AC156" i="17"/>
  <c r="AA156" i="17"/>
  <c r="X156" i="17"/>
  <c r="X217" i="17"/>
  <c r="AH217" i="17"/>
  <c r="AX217" i="17"/>
  <c r="Q217" i="17"/>
  <c r="AT156" i="17"/>
  <c r="R217" i="17"/>
  <c r="W156" i="17"/>
  <c r="AC217" i="17"/>
  <c r="AH156" i="17"/>
  <c r="AU156" i="17"/>
  <c r="S217" i="17"/>
  <c r="AI217" i="17"/>
  <c r="AX156" i="17"/>
  <c r="Y217" i="17"/>
  <c r="AO156" i="17"/>
  <c r="AO217" i="17"/>
  <c r="L217" i="17"/>
  <c r="AN156" i="17"/>
  <c r="AN217" i="17"/>
  <c r="AD156" i="17"/>
  <c r="O217" i="17"/>
  <c r="M217" i="17"/>
  <c r="AS156" i="17"/>
  <c r="AS217" i="17"/>
  <c r="AP156" i="17"/>
  <c r="AJ217" i="17"/>
  <c r="AG217" i="17"/>
  <c r="AV217" i="17"/>
  <c r="AE156" i="17"/>
  <c r="AG156" i="17"/>
  <c r="U217" i="17"/>
  <c r="AW217" i="17"/>
  <c r="AI156" i="17"/>
  <c r="AY217" i="17"/>
  <c r="Z156" i="17"/>
  <c r="AB217" i="17"/>
  <c r="AV156" i="17"/>
  <c r="AW156" i="17"/>
  <c r="AL156" i="17"/>
  <c r="N217" i="17"/>
  <c r="AQ156" i="17"/>
  <c r="AB156" i="17"/>
  <c r="AK156" i="17"/>
  <c r="AK217" i="17"/>
  <c r="AY156" i="17"/>
  <c r="AF217" i="17"/>
  <c r="Z217" i="17"/>
  <c r="AL217" i="17"/>
  <c r="AF156" i="17"/>
  <c r="L157" i="17"/>
  <c r="O157" i="17" s="1"/>
  <c r="R157" i="17" s="1"/>
  <c r="U157" i="17" s="1"/>
  <c r="AD157" i="17"/>
  <c r="AD218" i="17"/>
  <c r="V157" i="17"/>
  <c r="AH157" i="17"/>
  <c r="AX157" i="17"/>
  <c r="AP218" i="17"/>
  <c r="AJ157" i="17"/>
  <c r="Y157" i="17"/>
  <c r="AE157" i="17"/>
  <c r="AO157" i="17"/>
  <c r="AG157" i="17"/>
  <c r="AG218" i="17"/>
  <c r="W218" i="17"/>
  <c r="AC157" i="17"/>
  <c r="AM157" i="17"/>
  <c r="AA218" i="17"/>
  <c r="AX218" i="17"/>
  <c r="Q218" i="17"/>
  <c r="P218" i="17"/>
  <c r="M218" i="17"/>
  <c r="AR157" i="17"/>
  <c r="AS157" i="17"/>
  <c r="AS218" i="17"/>
  <c r="AU157" i="17"/>
  <c r="AT218" i="17"/>
  <c r="Y218" i="17"/>
  <c r="V218" i="17"/>
  <c r="W157" i="17"/>
  <c r="AC218" i="17"/>
  <c r="AA157" i="17"/>
  <c r="X157" i="17"/>
  <c r="X218" i="17"/>
  <c r="AR218" i="17"/>
  <c r="AU218" i="17"/>
  <c r="AT157" i="17"/>
  <c r="R218" i="17"/>
  <c r="AQ157" i="17"/>
  <c r="AQ218" i="17"/>
  <c r="AM218" i="17"/>
  <c r="AH218" i="17"/>
  <c r="AO218" i="17"/>
  <c r="U218" i="17"/>
  <c r="S218" i="17"/>
  <c r="AW157" i="17"/>
  <c r="AI218" i="17"/>
  <c r="AK157" i="17"/>
  <c r="AJ218" i="17"/>
  <c r="AW218" i="17"/>
  <c r="AN157" i="17"/>
  <c r="AN218" i="17"/>
  <c r="AP157" i="17"/>
  <c r="AE218" i="17"/>
  <c r="AB157" i="17"/>
  <c r="AB218" i="17"/>
  <c r="L218" i="17"/>
  <c r="T218" i="17"/>
  <c r="AV157" i="17"/>
  <c r="AI157" i="17"/>
  <c r="AL218" i="17"/>
  <c r="AY218" i="17"/>
  <c r="O218" i="17"/>
  <c r="AV218" i="17"/>
  <c r="AK218" i="17"/>
  <c r="AL157" i="17"/>
  <c r="AF218" i="17"/>
  <c r="AY157" i="17"/>
  <c r="AF157" i="17"/>
  <c r="N218" i="17"/>
  <c r="Z157" i="17"/>
  <c r="Z218" i="17"/>
  <c r="L160" i="17"/>
  <c r="O160" i="17" s="1"/>
  <c r="R160" i="17" s="1"/>
  <c r="U160" i="17" s="1"/>
  <c r="AD160" i="17"/>
  <c r="AD221" i="17"/>
  <c r="V160" i="17"/>
  <c r="W160" i="17"/>
  <c r="O221" i="17"/>
  <c r="AX160" i="17"/>
  <c r="AX221" i="17"/>
  <c r="P221" i="17"/>
  <c r="M221" i="17"/>
  <c r="AU160" i="17"/>
  <c r="AT221" i="17"/>
  <c r="AP160" i="17"/>
  <c r="R221" i="17"/>
  <c r="AQ160" i="17"/>
  <c r="AJ221" i="17"/>
  <c r="W221" i="17"/>
  <c r="AC221" i="17"/>
  <c r="AA160" i="17"/>
  <c r="X221" i="17"/>
  <c r="AS221" i="17"/>
  <c r="AT160" i="17"/>
  <c r="V221" i="17"/>
  <c r="AC160" i="17"/>
  <c r="AM160" i="17"/>
  <c r="AA221" i="17"/>
  <c r="AR221" i="17"/>
  <c r="AS160" i="17"/>
  <c r="T221" i="17"/>
  <c r="AP221" i="17"/>
  <c r="AJ160" i="17"/>
  <c r="AE221" i="17"/>
  <c r="AB160" i="17"/>
  <c r="AV160" i="17"/>
  <c r="AM221" i="17"/>
  <c r="AH221" i="17"/>
  <c r="Q221" i="17"/>
  <c r="AQ221" i="17"/>
  <c r="AO160" i="17"/>
  <c r="U221" i="17"/>
  <c r="AN221" i="17"/>
  <c r="AH160" i="17"/>
  <c r="AU221" i="17"/>
  <c r="Y221" i="17"/>
  <c r="AE160" i="17"/>
  <c r="AG221" i="17"/>
  <c r="AB221" i="17"/>
  <c r="L221" i="17"/>
  <c r="AW160" i="17"/>
  <c r="AI160" i="17"/>
  <c r="AO221" i="17"/>
  <c r="S221" i="17"/>
  <c r="AW221" i="17"/>
  <c r="Y160" i="17"/>
  <c r="AV221" i="17"/>
  <c r="AK160" i="17"/>
  <c r="AF160" i="17"/>
  <c r="X160" i="17"/>
  <c r="AN160" i="17"/>
  <c r="AK221" i="17"/>
  <c r="AY160" i="17"/>
  <c r="AL221" i="17"/>
  <c r="AF221" i="17"/>
  <c r="N221" i="17"/>
  <c r="Z221" i="17"/>
  <c r="AL160" i="17"/>
  <c r="AR160" i="17"/>
  <c r="AG160" i="17"/>
  <c r="AI221" i="17"/>
  <c r="AY221" i="17"/>
  <c r="Z160" i="17"/>
  <c r="L161" i="17"/>
  <c r="O161" i="17" s="1"/>
  <c r="R161" i="17" s="1"/>
  <c r="U161" i="17" s="1"/>
  <c r="AC222" i="17"/>
  <c r="AM222" i="17"/>
  <c r="AH222" i="17"/>
  <c r="O222" i="17"/>
  <c r="M222" i="17"/>
  <c r="T222" i="17"/>
  <c r="AJ222" i="17"/>
  <c r="AE222" i="17"/>
  <c r="V222" i="17"/>
  <c r="W161" i="17"/>
  <c r="AA161" i="17"/>
  <c r="X161" i="17"/>
  <c r="X222" i="17"/>
  <c r="Q222" i="17"/>
  <c r="AR222" i="17"/>
  <c r="AS222" i="17"/>
  <c r="AU222" i="17"/>
  <c r="AT161" i="17"/>
  <c r="AP161" i="17"/>
  <c r="R222" i="17"/>
  <c r="AQ161" i="17"/>
  <c r="AQ222" i="17"/>
  <c r="AD161" i="17"/>
  <c r="AD222" i="17"/>
  <c r="V161" i="17"/>
  <c r="AX161" i="17"/>
  <c r="AP222" i="17"/>
  <c r="AJ161" i="17"/>
  <c r="Y161" i="17"/>
  <c r="AE161" i="17"/>
  <c r="AO161" i="17"/>
  <c r="AO222" i="17"/>
  <c r="AG161" i="17"/>
  <c r="AG222" i="17"/>
  <c r="AC161" i="17"/>
  <c r="AR161" i="17"/>
  <c r="AS161" i="17"/>
  <c r="AN161" i="17"/>
  <c r="AN222" i="17"/>
  <c r="W222" i="17"/>
  <c r="AH161" i="17"/>
  <c r="U222" i="17"/>
  <c r="AV161" i="17"/>
  <c r="AV222" i="17"/>
  <c r="AW222" i="17"/>
  <c r="AI161" i="17"/>
  <c r="AA222" i="17"/>
  <c r="AX222" i="17"/>
  <c r="AU161" i="17"/>
  <c r="AT222" i="17"/>
  <c r="Y222" i="17"/>
  <c r="L222" i="17"/>
  <c r="S222" i="17"/>
  <c r="AW161" i="17"/>
  <c r="AY222" i="17"/>
  <c r="AM161" i="17"/>
  <c r="P222" i="17"/>
  <c r="AB161" i="17"/>
  <c r="AK222" i="17"/>
  <c r="AL161" i="17"/>
  <c r="AF222" i="17"/>
  <c r="AK161" i="17"/>
  <c r="AY161" i="17"/>
  <c r="AF161" i="17"/>
  <c r="N222" i="17"/>
  <c r="Z222" i="17"/>
  <c r="AB222" i="17"/>
  <c r="AI222" i="17"/>
  <c r="AL222" i="17"/>
  <c r="Z161" i="17"/>
  <c r="L164" i="17"/>
  <c r="O164" i="17" s="1"/>
  <c r="R164" i="17" s="1"/>
  <c r="U164" i="17" s="1"/>
  <c r="V164" i="17"/>
  <c r="AM225" i="17"/>
  <c r="X164" i="17"/>
  <c r="AH164" i="17"/>
  <c r="AH225" i="17"/>
  <c r="AX164" i="17"/>
  <c r="Q225" i="17"/>
  <c r="AR164" i="17"/>
  <c r="AU225" i="17"/>
  <c r="AQ225" i="17"/>
  <c r="Y164" i="17"/>
  <c r="Y225" i="17"/>
  <c r="AE164" i="17"/>
  <c r="AO164" i="17"/>
  <c r="AG164" i="17"/>
  <c r="AD225" i="17"/>
  <c r="AM164" i="17"/>
  <c r="AA225" i="17"/>
  <c r="AR225" i="17"/>
  <c r="AS164" i="17"/>
  <c r="T225" i="17"/>
  <c r="R225" i="17"/>
  <c r="AJ164" i="17"/>
  <c r="AD164" i="17"/>
  <c r="W164" i="17"/>
  <c r="O225" i="17"/>
  <c r="AX225" i="17"/>
  <c r="P225" i="17"/>
  <c r="M225" i="17"/>
  <c r="AU164" i="17"/>
  <c r="AT225" i="17"/>
  <c r="AP225" i="17"/>
  <c r="AQ164" i="17"/>
  <c r="AJ225" i="17"/>
  <c r="U225" i="17"/>
  <c r="AT164" i="17"/>
  <c r="AE225" i="17"/>
  <c r="AG225" i="17"/>
  <c r="AB225" i="17"/>
  <c r="L225" i="17"/>
  <c r="AI164" i="17"/>
  <c r="V225" i="17"/>
  <c r="W225" i="17"/>
  <c r="AA164" i="17"/>
  <c r="AV164" i="17"/>
  <c r="AV225" i="17"/>
  <c r="AW164" i="17"/>
  <c r="AC164" i="17"/>
  <c r="AB164" i="17"/>
  <c r="AO225" i="17"/>
  <c r="AW225" i="17"/>
  <c r="AN164" i="17"/>
  <c r="AK164" i="17"/>
  <c r="AK225" i="17"/>
  <c r="AY164" i="17"/>
  <c r="AF225" i="17"/>
  <c r="X225" i="17"/>
  <c r="AP164" i="17"/>
  <c r="AN225" i="17"/>
  <c r="AS225" i="17"/>
  <c r="S225" i="17"/>
  <c r="AI225" i="17"/>
  <c r="AY225" i="17"/>
  <c r="AL164" i="17"/>
  <c r="AC225" i="17"/>
  <c r="AL225" i="17"/>
  <c r="AF164" i="17"/>
  <c r="N225" i="17"/>
  <c r="Z164" i="17"/>
  <c r="Z225" i="17"/>
  <c r="L165" i="17"/>
  <c r="O165" i="17" s="1"/>
  <c r="R165" i="17" s="1"/>
  <c r="U165" i="17" s="1"/>
  <c r="W226" i="17"/>
  <c r="AC165" i="17"/>
  <c r="AC226" i="17"/>
  <c r="AM165" i="17"/>
  <c r="AA226" i="17"/>
  <c r="AX165" i="17"/>
  <c r="AX226" i="17"/>
  <c r="P226" i="17"/>
  <c r="AR165" i="17"/>
  <c r="AS165" i="17"/>
  <c r="AS226" i="17"/>
  <c r="AU165" i="17"/>
  <c r="AT226" i="17"/>
  <c r="Y226" i="17"/>
  <c r="AD226" i="17"/>
  <c r="Q226" i="17"/>
  <c r="AP226" i="17"/>
  <c r="AJ165" i="17"/>
  <c r="Y165" i="17"/>
  <c r="AD165" i="17"/>
  <c r="V165" i="17"/>
  <c r="AM226" i="17"/>
  <c r="AH226" i="17"/>
  <c r="O226" i="17"/>
  <c r="M226" i="17"/>
  <c r="T226" i="17"/>
  <c r="AP165" i="17"/>
  <c r="AJ226" i="17"/>
  <c r="AE226" i="17"/>
  <c r="AG226" i="17"/>
  <c r="AB165" i="17"/>
  <c r="AB226" i="17"/>
  <c r="AA165" i="17"/>
  <c r="X165" i="17"/>
  <c r="X226" i="17"/>
  <c r="AR226" i="17"/>
  <c r="AU226" i="17"/>
  <c r="R226" i="17"/>
  <c r="AQ165" i="17"/>
  <c r="AO226" i="17"/>
  <c r="AV165" i="17"/>
  <c r="AV226" i="17"/>
  <c r="AE165" i="17"/>
  <c r="AG165" i="17"/>
  <c r="U226" i="17"/>
  <c r="AW226" i="17"/>
  <c r="V226" i="17"/>
  <c r="W165" i="17"/>
  <c r="AH165" i="17"/>
  <c r="AT165" i="17"/>
  <c r="AQ226" i="17"/>
  <c r="AO165" i="17"/>
  <c r="L226" i="17"/>
  <c r="AI165" i="17"/>
  <c r="AK226" i="17"/>
  <c r="AY165" i="17"/>
  <c r="AF226" i="17"/>
  <c r="S226" i="17"/>
  <c r="AN165" i="17"/>
  <c r="AN226" i="17"/>
  <c r="AK165" i="17"/>
  <c r="AL165" i="17"/>
  <c r="AF165" i="17"/>
  <c r="N226" i="17"/>
  <c r="Z226" i="17"/>
  <c r="AW165" i="17"/>
  <c r="AI226" i="17"/>
  <c r="AL226" i="17"/>
  <c r="AY226" i="17"/>
  <c r="Z165" i="17"/>
  <c r="L168" i="17"/>
  <c r="O168" i="17" s="1"/>
  <c r="R168" i="17" s="1"/>
  <c r="U168" i="17" s="1"/>
  <c r="AD168" i="17"/>
  <c r="W229" i="17"/>
  <c r="AC168" i="17"/>
  <c r="AC229" i="17"/>
  <c r="AA168" i="17"/>
  <c r="X229" i="17"/>
  <c r="AH168" i="17"/>
  <c r="AS229" i="17"/>
  <c r="AT229" i="17"/>
  <c r="AP168" i="17"/>
  <c r="AP229" i="17"/>
  <c r="R229" i="17"/>
  <c r="AO229" i="17"/>
  <c r="AG229" i="17"/>
  <c r="W168" i="17"/>
  <c r="AH229" i="17"/>
  <c r="O229" i="17"/>
  <c r="AX229" i="17"/>
  <c r="P229" i="17"/>
  <c r="M229" i="17"/>
  <c r="AU168" i="17"/>
  <c r="AQ168" i="17"/>
  <c r="AJ229" i="17"/>
  <c r="AD229" i="17"/>
  <c r="V168" i="17"/>
  <c r="V229" i="17"/>
  <c r="AM229" i="17"/>
  <c r="X168" i="17"/>
  <c r="AX168" i="17"/>
  <c r="Q229" i="17"/>
  <c r="AR168" i="17"/>
  <c r="AU229" i="17"/>
  <c r="AT168" i="17"/>
  <c r="AQ229" i="17"/>
  <c r="Y168" i="17"/>
  <c r="Y229" i="17"/>
  <c r="AE168" i="17"/>
  <c r="AO168" i="17"/>
  <c r="AG168" i="17"/>
  <c r="AB229" i="17"/>
  <c r="AV168" i="17"/>
  <c r="AV229" i="17"/>
  <c r="AW168" i="17"/>
  <c r="AJ168" i="17"/>
  <c r="S229" i="17"/>
  <c r="AW229" i="17"/>
  <c r="AN168" i="17"/>
  <c r="AI229" i="17"/>
  <c r="AA229" i="17"/>
  <c r="AS168" i="17"/>
  <c r="T229" i="17"/>
  <c r="AE229" i="17"/>
  <c r="U229" i="17"/>
  <c r="L229" i="17"/>
  <c r="AM168" i="17"/>
  <c r="AN229" i="17"/>
  <c r="AY229" i="17"/>
  <c r="AL168" i="17"/>
  <c r="N229" i="17"/>
  <c r="Z229" i="17"/>
  <c r="AB168" i="17"/>
  <c r="AF168" i="17"/>
  <c r="AR229" i="17"/>
  <c r="AI168" i="17"/>
  <c r="AK168" i="17"/>
  <c r="AK229" i="17"/>
  <c r="AY168" i="17"/>
  <c r="AL229" i="17"/>
  <c r="AF229" i="17"/>
  <c r="Z168" i="17"/>
  <c r="L169" i="17"/>
  <c r="O169" i="17" s="1"/>
  <c r="R169" i="17" s="1"/>
  <c r="U169" i="17" s="1"/>
  <c r="V230" i="17"/>
  <c r="W169" i="17"/>
  <c r="AC230" i="17"/>
  <c r="X169" i="17"/>
  <c r="X230" i="17"/>
  <c r="AH169" i="17"/>
  <c r="M230" i="17"/>
  <c r="AR230" i="17"/>
  <c r="AS230" i="17"/>
  <c r="AU169" i="17"/>
  <c r="AU230" i="17"/>
  <c r="R230" i="17"/>
  <c r="AQ230" i="17"/>
  <c r="AD169" i="17"/>
  <c r="V169" i="17"/>
  <c r="AM230" i="17"/>
  <c r="AH230" i="17"/>
  <c r="O230" i="17"/>
  <c r="AX169" i="17"/>
  <c r="Q230" i="17"/>
  <c r="AR169" i="17"/>
  <c r="T230" i="17"/>
  <c r="AT169" i="17"/>
  <c r="AQ169" i="17"/>
  <c r="AJ230" i="17"/>
  <c r="W230" i="17"/>
  <c r="AC169" i="17"/>
  <c r="AM169" i="17"/>
  <c r="AA169" i="17"/>
  <c r="AA230" i="17"/>
  <c r="AX230" i="17"/>
  <c r="P230" i="17"/>
  <c r="AT230" i="17"/>
  <c r="AE169" i="17"/>
  <c r="AO230" i="17"/>
  <c r="AG169" i="17"/>
  <c r="AG230" i="17"/>
  <c r="AP230" i="17"/>
  <c r="AB169" i="17"/>
  <c r="AB230" i="17"/>
  <c r="L230" i="17"/>
  <c r="S230" i="17"/>
  <c r="AW230" i="17"/>
  <c r="AI230" i="17"/>
  <c r="AK169" i="17"/>
  <c r="AD230" i="17"/>
  <c r="AP169" i="17"/>
  <c r="AJ169" i="17"/>
  <c r="Y169" i="17"/>
  <c r="Y230" i="17"/>
  <c r="U230" i="17"/>
  <c r="AV169" i="17"/>
  <c r="AV230" i="17"/>
  <c r="AW169" i="17"/>
  <c r="AN169" i="17"/>
  <c r="AN230" i="17"/>
  <c r="AL169" i="17"/>
  <c r="AF169" i="17"/>
  <c r="N230" i="17"/>
  <c r="Z230" i="17"/>
  <c r="AI169" i="17"/>
  <c r="AK230" i="17"/>
  <c r="AL230" i="17"/>
  <c r="AE230" i="17"/>
  <c r="AY230" i="17"/>
  <c r="Z169" i="17"/>
  <c r="AS169" i="17"/>
  <c r="AO169" i="17"/>
  <c r="AY169" i="17"/>
  <c r="AF230" i="17"/>
  <c r="L176" i="17"/>
  <c r="O176" i="17" s="1"/>
  <c r="R176" i="17" s="1"/>
  <c r="U176" i="17" s="1"/>
  <c r="AM176" i="17"/>
  <c r="AA176" i="17"/>
  <c r="O237" i="17"/>
  <c r="P237" i="17"/>
  <c r="M237" i="17"/>
  <c r="AS176" i="17"/>
  <c r="AU176" i="17"/>
  <c r="R237" i="17"/>
  <c r="AJ237" i="17"/>
  <c r="Y176" i="17"/>
  <c r="AG176" i="17"/>
  <c r="AD176" i="17"/>
  <c r="V176" i="17"/>
  <c r="V237" i="17"/>
  <c r="W237" i="17"/>
  <c r="AC176" i="17"/>
  <c r="AC237" i="17"/>
  <c r="X237" i="17"/>
  <c r="AH176" i="17"/>
  <c r="AS237" i="17"/>
  <c r="AP237" i="17"/>
  <c r="AQ176" i="17"/>
  <c r="AD237" i="17"/>
  <c r="AA237" i="17"/>
  <c r="X176" i="17"/>
  <c r="AX237" i="17"/>
  <c r="AR176" i="17"/>
  <c r="AR237" i="17"/>
  <c r="T237" i="17"/>
  <c r="AT237" i="17"/>
  <c r="AJ176" i="17"/>
  <c r="AE237" i="17"/>
  <c r="AB176" i="17"/>
  <c r="AX176" i="17"/>
  <c r="AU237" i="17"/>
  <c r="AT176" i="17"/>
  <c r="Y237" i="17"/>
  <c r="AE176" i="17"/>
  <c r="AW176" i="17"/>
  <c r="AN176" i="17"/>
  <c r="AN237" i="17"/>
  <c r="W176" i="17"/>
  <c r="AH237" i="17"/>
  <c r="AO176" i="17"/>
  <c r="AO237" i="17"/>
  <c r="U237" i="17"/>
  <c r="L237" i="17"/>
  <c r="AK176" i="17"/>
  <c r="AM237" i="17"/>
  <c r="Q237" i="17"/>
  <c r="AQ237" i="17"/>
  <c r="AG237" i="17"/>
  <c r="S237" i="17"/>
  <c r="AW237" i="17"/>
  <c r="AB237" i="17"/>
  <c r="AL237" i="17"/>
  <c r="N237" i="17"/>
  <c r="Z237" i="17"/>
  <c r="AI237" i="17"/>
  <c r="AK237" i="17"/>
  <c r="AL176" i="17"/>
  <c r="AF237" i="17"/>
  <c r="AV176" i="17"/>
  <c r="AI176" i="17"/>
  <c r="AP176" i="17"/>
  <c r="AV237" i="17"/>
  <c r="AY176" i="17"/>
  <c r="AY237" i="17"/>
  <c r="AF176" i="17"/>
  <c r="Z176" i="17"/>
  <c r="L178" i="17"/>
  <c r="O178" i="17" s="1"/>
  <c r="R178" i="17" s="1"/>
  <c r="U178" i="17" s="1"/>
  <c r="V239" i="17"/>
  <c r="W239" i="17"/>
  <c r="AC178" i="17"/>
  <c r="AC239" i="17"/>
  <c r="X178" i="17"/>
  <c r="AX239" i="17"/>
  <c r="P239" i="17"/>
  <c r="M239" i="17"/>
  <c r="AS178" i="17"/>
  <c r="AS239" i="17"/>
  <c r="T239" i="17"/>
  <c r="AQ239" i="17"/>
  <c r="AO239" i="17"/>
  <c r="O239" i="17"/>
  <c r="AX178" i="17"/>
  <c r="Q239" i="17"/>
  <c r="AT178" i="17"/>
  <c r="AT239" i="17"/>
  <c r="AP178" i="17"/>
  <c r="AJ178" i="17"/>
  <c r="AJ239" i="17"/>
  <c r="AD178" i="17"/>
  <c r="V178" i="17"/>
  <c r="W178" i="17"/>
  <c r="AM178" i="17"/>
  <c r="AM239" i="17"/>
  <c r="AA178" i="17"/>
  <c r="AA239" i="17"/>
  <c r="X239" i="17"/>
  <c r="AH178" i="17"/>
  <c r="AU239" i="17"/>
  <c r="R239" i="17"/>
  <c r="AG239" i="17"/>
  <c r="AD239" i="17"/>
  <c r="AH239" i="17"/>
  <c r="AG178" i="17"/>
  <c r="AB239" i="17"/>
  <c r="U239" i="17"/>
  <c r="AP239" i="17"/>
  <c r="AE239" i="17"/>
  <c r="AV178" i="17"/>
  <c r="L239" i="17"/>
  <c r="S239" i="17"/>
  <c r="AW178" i="17"/>
  <c r="AI178" i="17"/>
  <c r="AI239" i="17"/>
  <c r="AK178" i="17"/>
  <c r="AQ178" i="17"/>
  <c r="Y178" i="17"/>
  <c r="AB178" i="17"/>
  <c r="AV239" i="17"/>
  <c r="AW239" i="17"/>
  <c r="AK239" i="17"/>
  <c r="AY239" i="17"/>
  <c r="Z178" i="17"/>
  <c r="AR239" i="17"/>
  <c r="Y239" i="17"/>
  <c r="AO178" i="17"/>
  <c r="AN178" i="17"/>
  <c r="Z239" i="17"/>
  <c r="AR178" i="17"/>
  <c r="AN239" i="17"/>
  <c r="AY178" i="17"/>
  <c r="AL178" i="17"/>
  <c r="AL239" i="17"/>
  <c r="AU178" i="17"/>
  <c r="AE178" i="17"/>
  <c r="AF178" i="17"/>
  <c r="AF239" i="17"/>
  <c r="N239" i="17"/>
  <c r="L180" i="17"/>
  <c r="O180" i="17" s="1"/>
  <c r="R180" i="17" s="1"/>
  <c r="U180" i="17" s="1"/>
  <c r="V241" i="17"/>
  <c r="W180" i="17"/>
  <c r="AC180" i="17"/>
  <c r="AM241" i="17"/>
  <c r="AX180" i="17"/>
  <c r="Q241" i="17"/>
  <c r="AU241" i="17"/>
  <c r="AT180" i="17"/>
  <c r="AP180" i="17"/>
  <c r="AQ241" i="17"/>
  <c r="Y180" i="17"/>
  <c r="Y241" i="17"/>
  <c r="AO180" i="17"/>
  <c r="AA241" i="17"/>
  <c r="AX241" i="17"/>
  <c r="AR180" i="17"/>
  <c r="AR241" i="17"/>
  <c r="T241" i="17"/>
  <c r="AP241" i="17"/>
  <c r="AD241" i="17"/>
  <c r="AM180" i="17"/>
  <c r="AA180" i="17"/>
  <c r="AH241" i="17"/>
  <c r="O241" i="17"/>
  <c r="P241" i="17"/>
  <c r="M241" i="17"/>
  <c r="AS180" i="17"/>
  <c r="AU180" i="17"/>
  <c r="AJ180" i="17"/>
  <c r="AJ241" i="17"/>
  <c r="AG180" i="17"/>
  <c r="AB180" i="17"/>
  <c r="U241" i="17"/>
  <c r="AV180" i="17"/>
  <c r="AD180" i="17"/>
  <c r="W241" i="17"/>
  <c r="AH180" i="17"/>
  <c r="AT241" i="17"/>
  <c r="AO241" i="17"/>
  <c r="L241" i="17"/>
  <c r="AK180" i="17"/>
  <c r="AC241" i="17"/>
  <c r="X241" i="17"/>
  <c r="AS241" i="17"/>
  <c r="R241" i="17"/>
  <c r="AB241" i="17"/>
  <c r="AV241" i="17"/>
  <c r="AI180" i="17"/>
  <c r="V180" i="17"/>
  <c r="AQ180" i="17"/>
  <c r="AE180" i="17"/>
  <c r="AN180" i="17"/>
  <c r="X180" i="17"/>
  <c r="AE241" i="17"/>
  <c r="AI241" i="17"/>
  <c r="AK241" i="17"/>
  <c r="AL180" i="17"/>
  <c r="AF180" i="17"/>
  <c r="AF241" i="17"/>
  <c r="S241" i="17"/>
  <c r="N241" i="17"/>
  <c r="AG241" i="17"/>
  <c r="AY180" i="17"/>
  <c r="AY241" i="17"/>
  <c r="AL241" i="17"/>
  <c r="Z180" i="17"/>
  <c r="Z241" i="17"/>
  <c r="AW180" i="17"/>
  <c r="AW241" i="17"/>
  <c r="AN241" i="17"/>
  <c r="P53" i="17"/>
  <c r="P49" i="17"/>
  <c r="P45" i="17"/>
  <c r="P41" i="17"/>
  <c r="P37" i="17"/>
  <c r="P33" i="17"/>
  <c r="P29" i="17"/>
  <c r="P25" i="17"/>
  <c r="P21" i="17"/>
  <c r="P17" i="17"/>
  <c r="L151" i="17"/>
  <c r="O151" i="17" s="1"/>
  <c r="R151" i="17" s="1"/>
  <c r="U151" i="17" s="1"/>
  <c r="V212" i="17"/>
  <c r="W151" i="17"/>
  <c r="W212" i="17"/>
  <c r="AA212" i="17"/>
  <c r="AH212" i="17"/>
  <c r="AX212" i="17"/>
  <c r="AR151" i="17"/>
  <c r="AS151" i="17"/>
  <c r="AP212" i="17"/>
  <c r="AQ151" i="17"/>
  <c r="AQ212" i="17"/>
  <c r="AJ151" i="17"/>
  <c r="AJ212" i="17"/>
  <c r="AD151" i="17"/>
  <c r="AD212" i="17"/>
  <c r="V151" i="17"/>
  <c r="AC212" i="17"/>
  <c r="AM212" i="17"/>
  <c r="X212" i="17"/>
  <c r="O212" i="17"/>
  <c r="AX151" i="17"/>
  <c r="P212" i="17"/>
  <c r="AR212" i="17"/>
  <c r="AS212" i="17"/>
  <c r="T212" i="17"/>
  <c r="AT212" i="17"/>
  <c r="AP151" i="17"/>
  <c r="AC151" i="17"/>
  <c r="AM151" i="17"/>
  <c r="AH151" i="17"/>
  <c r="Q212" i="17"/>
  <c r="AU151" i="17"/>
  <c r="AU212" i="17"/>
  <c r="R212" i="17"/>
  <c r="Y212" i="17"/>
  <c r="U212" i="17"/>
  <c r="X151" i="17"/>
  <c r="AG212" i="17"/>
  <c r="AV151" i="17"/>
  <c r="AI151" i="17"/>
  <c r="AT151" i="17"/>
  <c r="AO212" i="17"/>
  <c r="AV212" i="17"/>
  <c r="AN212" i="17"/>
  <c r="M212" i="17"/>
  <c r="Y151" i="17"/>
  <c r="AE151" i="17"/>
  <c r="AE212" i="17"/>
  <c r="AG151" i="17"/>
  <c r="AB151" i="17"/>
  <c r="AB212" i="17"/>
  <c r="L212" i="17"/>
  <c r="AW212" i="17"/>
  <c r="AL151" i="17"/>
  <c r="AL212" i="17"/>
  <c r="AF212" i="17"/>
  <c r="Z212" i="17"/>
  <c r="AO151" i="17"/>
  <c r="S212" i="17"/>
  <c r="AN151" i="17"/>
  <c r="AI212" i="17"/>
  <c r="AK151" i="17"/>
  <c r="AF151" i="17"/>
  <c r="Z151" i="17"/>
  <c r="AA151" i="17"/>
  <c r="AY151" i="17"/>
  <c r="AW151" i="17"/>
  <c r="AK212" i="17"/>
  <c r="AY212" i="17"/>
  <c r="N212" i="17"/>
  <c r="L155" i="17"/>
  <c r="O155" i="17" s="1"/>
  <c r="R155" i="17" s="1"/>
  <c r="U155" i="17" s="1"/>
  <c r="V216" i="17"/>
  <c r="AM216" i="17"/>
  <c r="AA155" i="17"/>
  <c r="X155" i="17"/>
  <c r="X216" i="17"/>
  <c r="AH216" i="17"/>
  <c r="AX216" i="17"/>
  <c r="P216" i="17"/>
  <c r="M216" i="17"/>
  <c r="AR216" i="17"/>
  <c r="AS155" i="17"/>
  <c r="AT155" i="17"/>
  <c r="AE155" i="17"/>
  <c r="AG155" i="17"/>
  <c r="AC155" i="17"/>
  <c r="AM155" i="17"/>
  <c r="AH155" i="17"/>
  <c r="AU155" i="17"/>
  <c r="AU216" i="17"/>
  <c r="AP216" i="17"/>
  <c r="W155" i="17"/>
  <c r="Q216" i="17"/>
  <c r="AR155" i="17"/>
  <c r="T216" i="17"/>
  <c r="AQ155" i="17"/>
  <c r="AQ216" i="17"/>
  <c r="AJ155" i="17"/>
  <c r="Y216" i="17"/>
  <c r="AE216" i="17"/>
  <c r="AB155" i="17"/>
  <c r="AV155" i="17"/>
  <c r="AD216" i="17"/>
  <c r="V155" i="17"/>
  <c r="AA216" i="17"/>
  <c r="AX155" i="17"/>
  <c r="Y155" i="17"/>
  <c r="AO155" i="17"/>
  <c r="AG216" i="17"/>
  <c r="U216" i="17"/>
  <c r="AD155" i="17"/>
  <c r="O216" i="17"/>
  <c r="AS216" i="17"/>
  <c r="R216" i="17"/>
  <c r="AO216" i="17"/>
  <c r="AB216" i="17"/>
  <c r="AV216" i="17"/>
  <c r="AW155" i="17"/>
  <c r="AN216" i="17"/>
  <c r="W216" i="17"/>
  <c r="AJ216" i="17"/>
  <c r="S216" i="17"/>
  <c r="AW216" i="17"/>
  <c r="AT216" i="17"/>
  <c r="AP155" i="17"/>
  <c r="AN155" i="17"/>
  <c r="AK216" i="17"/>
  <c r="AY216" i="17"/>
  <c r="AF155" i="17"/>
  <c r="AF216" i="17"/>
  <c r="Z155" i="17"/>
  <c r="AI155" i="17"/>
  <c r="AK155" i="17"/>
  <c r="AY155" i="17"/>
  <c r="AC216" i="17"/>
  <c r="AI216" i="17"/>
  <c r="AL216" i="17"/>
  <c r="N216" i="17"/>
  <c r="Z216" i="17"/>
  <c r="L216" i="17"/>
  <c r="AL155" i="17"/>
  <c r="L159" i="17"/>
  <c r="O159" i="17" s="1"/>
  <c r="R159" i="17" s="1"/>
  <c r="U159" i="17" s="1"/>
  <c r="V159" i="17"/>
  <c r="W220" i="17"/>
  <c r="AX220" i="17"/>
  <c r="Q220" i="17"/>
  <c r="M220" i="17"/>
  <c r="AR159" i="17"/>
  <c r="AP220" i="17"/>
  <c r="AQ159" i="17"/>
  <c r="AJ220" i="17"/>
  <c r="AE159" i="17"/>
  <c r="V220" i="17"/>
  <c r="AC220" i="17"/>
  <c r="AM159" i="17"/>
  <c r="AM220" i="17"/>
  <c r="AH220" i="17"/>
  <c r="T220" i="17"/>
  <c r="AT159" i="17"/>
  <c r="AP159" i="17"/>
  <c r="R220" i="17"/>
  <c r="Y159" i="17"/>
  <c r="Y220" i="17"/>
  <c r="AD159" i="17"/>
  <c r="W159" i="17"/>
  <c r="AC159" i="17"/>
  <c r="X159" i="17"/>
  <c r="X220" i="17"/>
  <c r="AH159" i="17"/>
  <c r="O220" i="17"/>
  <c r="AX159" i="17"/>
  <c r="P220" i="17"/>
  <c r="AR220" i="17"/>
  <c r="AS159" i="17"/>
  <c r="AS220" i="17"/>
  <c r="AU159" i="17"/>
  <c r="AT220" i="17"/>
  <c r="AQ220" i="17"/>
  <c r="AJ159" i="17"/>
  <c r="AE220" i="17"/>
  <c r="AO220" i="17"/>
  <c r="AB159" i="17"/>
  <c r="U220" i="17"/>
  <c r="AB220" i="17"/>
  <c r="AV220" i="17"/>
  <c r="AN159" i="17"/>
  <c r="AN220" i="17"/>
  <c r="AI159" i="17"/>
  <c r="AK159" i="17"/>
  <c r="AA220" i="17"/>
  <c r="AU220" i="17"/>
  <c r="AO159" i="17"/>
  <c r="L220" i="17"/>
  <c r="AD220" i="17"/>
  <c r="AA159" i="17"/>
  <c r="AG159" i="17"/>
  <c r="AV159" i="17"/>
  <c r="S220" i="17"/>
  <c r="AW220" i="17"/>
  <c r="AG220" i="17"/>
  <c r="AK220" i="17"/>
  <c r="AL220" i="17"/>
  <c r="AF159" i="17"/>
  <c r="Z220" i="17"/>
  <c r="AY159" i="17"/>
  <c r="Z159" i="17"/>
  <c r="AI220" i="17"/>
  <c r="AL159" i="17"/>
  <c r="N220" i="17"/>
  <c r="AW159" i="17"/>
  <c r="AY220" i="17"/>
  <c r="AF220" i="17"/>
  <c r="L163" i="17"/>
  <c r="O163" i="17" s="1"/>
  <c r="R163" i="17" s="1"/>
  <c r="U163" i="17" s="1"/>
  <c r="AD224" i="17"/>
  <c r="W224" i="17"/>
  <c r="AA163" i="17"/>
  <c r="AA224" i="17"/>
  <c r="AR163" i="17"/>
  <c r="AD163" i="17"/>
  <c r="W163" i="17"/>
  <c r="AC163" i="17"/>
  <c r="X163" i="17"/>
  <c r="X224" i="17"/>
  <c r="AH163" i="17"/>
  <c r="O224" i="17"/>
  <c r="AX163" i="17"/>
  <c r="P224" i="17"/>
  <c r="AR224" i="17"/>
  <c r="AS163" i="17"/>
  <c r="AS224" i="17"/>
  <c r="AU163" i="17"/>
  <c r="AU224" i="17"/>
  <c r="AT224" i="17"/>
  <c r="AQ224" i="17"/>
  <c r="AJ163" i="17"/>
  <c r="V163" i="17"/>
  <c r="AX224" i="17"/>
  <c r="Q224" i="17"/>
  <c r="M224" i="17"/>
  <c r="AP224" i="17"/>
  <c r="AQ163" i="17"/>
  <c r="AJ224" i="17"/>
  <c r="AE163" i="17"/>
  <c r="AB163" i="17"/>
  <c r="AB224" i="17"/>
  <c r="AM163" i="17"/>
  <c r="AM224" i="17"/>
  <c r="T224" i="17"/>
  <c r="AP163" i="17"/>
  <c r="Y163" i="17"/>
  <c r="Y224" i="17"/>
  <c r="AO163" i="17"/>
  <c r="L224" i="17"/>
  <c r="AN163" i="17"/>
  <c r="AC224" i="17"/>
  <c r="AE224" i="17"/>
  <c r="AG163" i="17"/>
  <c r="AG224" i="17"/>
  <c r="U224" i="17"/>
  <c r="AH224" i="17"/>
  <c r="R224" i="17"/>
  <c r="AO224" i="17"/>
  <c r="AV163" i="17"/>
  <c r="AV224" i="17"/>
  <c r="V224" i="17"/>
  <c r="AW163" i="17"/>
  <c r="AY163" i="17"/>
  <c r="Z163" i="17"/>
  <c r="S224" i="17"/>
  <c r="AN224" i="17"/>
  <c r="AI224" i="17"/>
  <c r="AL163" i="17"/>
  <c r="AF163" i="17"/>
  <c r="N224" i="17"/>
  <c r="AK163" i="17"/>
  <c r="AF224" i="17"/>
  <c r="AT163" i="17"/>
  <c r="AW224" i="17"/>
  <c r="AI163" i="17"/>
  <c r="AK224" i="17"/>
  <c r="AY224" i="17"/>
  <c r="AL224" i="17"/>
  <c r="Z224" i="17"/>
  <c r="L167" i="17"/>
  <c r="O167" i="17" s="1"/>
  <c r="R167" i="17" s="1"/>
  <c r="U167" i="17" s="1"/>
  <c r="V228" i="17"/>
  <c r="W228" i="17"/>
  <c r="AC228" i="17"/>
  <c r="AM167" i="17"/>
  <c r="AA228" i="17"/>
  <c r="AH228" i="17"/>
  <c r="T228" i="17"/>
  <c r="AT167" i="17"/>
  <c r="AP167" i="17"/>
  <c r="R228" i="17"/>
  <c r="Y228" i="17"/>
  <c r="AG228" i="17"/>
  <c r="V167" i="17"/>
  <c r="AC167" i="17"/>
  <c r="AM228" i="17"/>
  <c r="O228" i="17"/>
  <c r="AX228" i="17"/>
  <c r="Q228" i="17"/>
  <c r="M228" i="17"/>
  <c r="AP228" i="17"/>
  <c r="AQ167" i="17"/>
  <c r="AJ228" i="17"/>
  <c r="Y167" i="17"/>
  <c r="AD228" i="17"/>
  <c r="AA167" i="17"/>
  <c r="AR167" i="17"/>
  <c r="AV167" i="17"/>
  <c r="AV228" i="17"/>
  <c r="P228" i="17"/>
  <c r="AS167" i="17"/>
  <c r="AS228" i="17"/>
  <c r="AJ167" i="17"/>
  <c r="AE167" i="17"/>
  <c r="AB167" i="17"/>
  <c r="U228" i="17"/>
  <c r="S228" i="17"/>
  <c r="AI228" i="17"/>
  <c r="W167" i="17"/>
  <c r="X167" i="17"/>
  <c r="AU167" i="17"/>
  <c r="AT228" i="17"/>
  <c r="AQ228" i="17"/>
  <c r="AE228" i="17"/>
  <c r="AW167" i="17"/>
  <c r="AW228" i="17"/>
  <c r="AU228" i="17"/>
  <c r="AO167" i="17"/>
  <c r="AB228" i="17"/>
  <c r="L228" i="17"/>
  <c r="AD167" i="17"/>
  <c r="X228" i="17"/>
  <c r="AN228" i="17"/>
  <c r="AL167" i="17"/>
  <c r="AF167" i="17"/>
  <c r="N228" i="17"/>
  <c r="AH167" i="17"/>
  <c r="AX167" i="17"/>
  <c r="AK167" i="17"/>
  <c r="AF228" i="17"/>
  <c r="AR228" i="17"/>
  <c r="AO228" i="17"/>
  <c r="AG167" i="17"/>
  <c r="AI167" i="17"/>
  <c r="AK228" i="17"/>
  <c r="AY228" i="17"/>
  <c r="AL228" i="17"/>
  <c r="Z228" i="17"/>
  <c r="AN167" i="17"/>
  <c r="AY167" i="17"/>
  <c r="Z167" i="17"/>
  <c r="L172" i="17"/>
  <c r="O172" i="17" s="1"/>
  <c r="R172" i="17" s="1"/>
  <c r="U172" i="17" s="1"/>
  <c r="AD172" i="17"/>
  <c r="AD233" i="17"/>
  <c r="V172" i="17"/>
  <c r="W172" i="17"/>
  <c r="AM172" i="17"/>
  <c r="AA233" i="17"/>
  <c r="X172" i="17"/>
  <c r="AX172" i="17"/>
  <c r="AR233" i="17"/>
  <c r="T233" i="17"/>
  <c r="AU172" i="17"/>
  <c r="AQ172" i="17"/>
  <c r="AE233" i="17"/>
  <c r="AG172" i="17"/>
  <c r="V233" i="17"/>
  <c r="AM233" i="17"/>
  <c r="AA172" i="17"/>
  <c r="AX233" i="17"/>
  <c r="Q233" i="17"/>
  <c r="AS172" i="17"/>
  <c r="AU233" i="17"/>
  <c r="R233" i="17"/>
  <c r="AQ233" i="17"/>
  <c r="Y233" i="17"/>
  <c r="W233" i="17"/>
  <c r="AC233" i="17"/>
  <c r="X233" i="17"/>
  <c r="AH233" i="17"/>
  <c r="AR172" i="17"/>
  <c r="AS233" i="17"/>
  <c r="AT172" i="17"/>
  <c r="AP172" i="17"/>
  <c r="AJ172" i="17"/>
  <c r="Y172" i="17"/>
  <c r="AO172" i="17"/>
  <c r="AO233" i="17"/>
  <c r="AG233" i="17"/>
  <c r="AV172" i="17"/>
  <c r="AB172" i="17"/>
  <c r="S233" i="17"/>
  <c r="AW233" i="17"/>
  <c r="AI233" i="17"/>
  <c r="AC172" i="17"/>
  <c r="AH172" i="17"/>
  <c r="AT233" i="17"/>
  <c r="AN233" i="17"/>
  <c r="P233" i="17"/>
  <c r="M233" i="17"/>
  <c r="AP233" i="17"/>
  <c r="AE172" i="17"/>
  <c r="AB233" i="17"/>
  <c r="AV233" i="17"/>
  <c r="AW172" i="17"/>
  <c r="AK172" i="17"/>
  <c r="AY233" i="17"/>
  <c r="N233" i="17"/>
  <c r="O233" i="17"/>
  <c r="L233" i="17"/>
  <c r="Z172" i="17"/>
  <c r="AN172" i="17"/>
  <c r="AI172" i="17"/>
  <c r="AK233" i="17"/>
  <c r="AY172" i="17"/>
  <c r="AL233" i="17"/>
  <c r="AF233" i="17"/>
  <c r="AJ233" i="17"/>
  <c r="U233" i="17"/>
  <c r="AL172" i="17"/>
  <c r="AF172" i="17"/>
  <c r="Z233" i="17"/>
  <c r="L170" i="17"/>
  <c r="O170" i="17" s="1"/>
  <c r="R170" i="17" s="1"/>
  <c r="U170" i="17" s="1"/>
  <c r="X231" i="17"/>
  <c r="AH170" i="17"/>
  <c r="O231" i="17"/>
  <c r="AX170" i="17"/>
  <c r="Q231" i="17"/>
  <c r="AS170" i="17"/>
  <c r="T231" i="17"/>
  <c r="AT170" i="17"/>
  <c r="AT231" i="17"/>
  <c r="AJ170" i="17"/>
  <c r="AE170" i="17"/>
  <c r="V231" i="17"/>
  <c r="W170" i="17"/>
  <c r="W231" i="17"/>
  <c r="AC231" i="17"/>
  <c r="AM170" i="17"/>
  <c r="AX231" i="17"/>
  <c r="M231" i="17"/>
  <c r="AR170" i="17"/>
  <c r="AS231" i="17"/>
  <c r="AQ231" i="17"/>
  <c r="AJ231" i="17"/>
  <c r="Y170" i="17"/>
  <c r="AD231" i="17"/>
  <c r="AC170" i="17"/>
  <c r="X170" i="17"/>
  <c r="AH231" i="17"/>
  <c r="AU170" i="17"/>
  <c r="AP170" i="17"/>
  <c r="AP231" i="17"/>
  <c r="AQ170" i="17"/>
  <c r="Y231" i="17"/>
  <c r="AE231" i="17"/>
  <c r="AB231" i="17"/>
  <c r="U231" i="17"/>
  <c r="AA170" i="17"/>
  <c r="P231" i="17"/>
  <c r="R231" i="17"/>
  <c r="AG231" i="17"/>
  <c r="AN231" i="17"/>
  <c r="AI170" i="17"/>
  <c r="AM231" i="17"/>
  <c r="AA231" i="17"/>
  <c r="AO231" i="17"/>
  <c r="AG170" i="17"/>
  <c r="AB170" i="17"/>
  <c r="AW231" i="17"/>
  <c r="AK170" i="17"/>
  <c r="AD170" i="17"/>
  <c r="AR231" i="17"/>
  <c r="AO170" i="17"/>
  <c r="AV170" i="17"/>
  <c r="AV231" i="17"/>
  <c r="S231" i="17"/>
  <c r="V170" i="17"/>
  <c r="AW170" i="17"/>
  <c r="AL231" i="17"/>
  <c r="AY170" i="17"/>
  <c r="AF170" i="17"/>
  <c r="N231" i="17"/>
  <c r="AU231" i="17"/>
  <c r="L231" i="17"/>
  <c r="AN170" i="17"/>
  <c r="AK231" i="17"/>
  <c r="AY231" i="17"/>
  <c r="Z170" i="17"/>
  <c r="AI231" i="17"/>
  <c r="AL170" i="17"/>
  <c r="AF231" i="17"/>
  <c r="Z231" i="17"/>
  <c r="L171" i="17"/>
  <c r="O171" i="17" s="1"/>
  <c r="R171" i="17" s="1"/>
  <c r="U171" i="17" s="1"/>
  <c r="AD171" i="17"/>
  <c r="V171" i="17"/>
  <c r="W232" i="17"/>
  <c r="AC171" i="17"/>
  <c r="AA171" i="17"/>
  <c r="X232" i="17"/>
  <c r="P232" i="17"/>
  <c r="AR232" i="17"/>
  <c r="AS232" i="17"/>
  <c r="AT232" i="17"/>
  <c r="AE232" i="17"/>
  <c r="AO232" i="17"/>
  <c r="AD232" i="17"/>
  <c r="W171" i="17"/>
  <c r="AR171" i="17"/>
  <c r="AP171" i="17"/>
  <c r="AJ171" i="17"/>
  <c r="Y171" i="17"/>
  <c r="V232" i="17"/>
  <c r="AC232" i="17"/>
  <c r="AM232" i="17"/>
  <c r="AH171" i="17"/>
  <c r="AH232" i="17"/>
  <c r="AX171" i="17"/>
  <c r="T232" i="17"/>
  <c r="AT171" i="17"/>
  <c r="R232" i="17"/>
  <c r="AQ232" i="17"/>
  <c r="Y232" i="17"/>
  <c r="AG232" i="17"/>
  <c r="AV171" i="17"/>
  <c r="O232" i="17"/>
  <c r="AP232" i="17"/>
  <c r="AQ171" i="17"/>
  <c r="AE171" i="17"/>
  <c r="AO171" i="17"/>
  <c r="AW232" i="17"/>
  <c r="Q232" i="17"/>
  <c r="M232" i="17"/>
  <c r="AS171" i="17"/>
  <c r="AW171" i="17"/>
  <c r="AN232" i="17"/>
  <c r="AI171" i="17"/>
  <c r="AK171" i="17"/>
  <c r="AM171" i="17"/>
  <c r="AA232" i="17"/>
  <c r="X171" i="17"/>
  <c r="AU171" i="17"/>
  <c r="AG171" i="17"/>
  <c r="U232" i="17"/>
  <c r="AB171" i="17"/>
  <c r="AV232" i="17"/>
  <c r="AF232" i="17"/>
  <c r="Z171" i="17"/>
  <c r="AX232" i="17"/>
  <c r="AB232" i="17"/>
  <c r="AI232" i="17"/>
  <c r="AK232" i="17"/>
  <c r="AL232" i="17"/>
  <c r="AF171" i="17"/>
  <c r="Z232" i="17"/>
  <c r="AJ232" i="17"/>
  <c r="L232" i="17"/>
  <c r="AN171" i="17"/>
  <c r="AY171" i="17"/>
  <c r="AL171" i="17"/>
  <c r="AU232" i="17"/>
  <c r="S232" i="17"/>
  <c r="AY232" i="17"/>
  <c r="N232" i="17"/>
  <c r="L174" i="17"/>
  <c r="O174" i="17" s="1"/>
  <c r="R174" i="17" s="1"/>
  <c r="U174" i="17" s="1"/>
  <c r="AD174" i="17"/>
  <c r="AM235" i="17"/>
  <c r="AA174" i="17"/>
  <c r="AA235" i="17"/>
  <c r="X235" i="17"/>
  <c r="AX174" i="17"/>
  <c r="P235" i="17"/>
  <c r="AR174" i="17"/>
  <c r="AU235" i="17"/>
  <c r="R235" i="17"/>
  <c r="AG235" i="17"/>
  <c r="AD235" i="17"/>
  <c r="AC174" i="17"/>
  <c r="X174" i="17"/>
  <c r="AH235" i="17"/>
  <c r="AR235" i="17"/>
  <c r="T235" i="17"/>
  <c r="AU174" i="17"/>
  <c r="AP235" i="17"/>
  <c r="AQ174" i="17"/>
  <c r="Y235" i="17"/>
  <c r="O235" i="17"/>
  <c r="Q235" i="17"/>
  <c r="AS174" i="17"/>
  <c r="AT174" i="17"/>
  <c r="AT235" i="17"/>
  <c r="AE174" i="17"/>
  <c r="AX235" i="17"/>
  <c r="M235" i="17"/>
  <c r="AO235" i="17"/>
  <c r="AG174" i="17"/>
  <c r="AB174" i="17"/>
  <c r="AW235" i="17"/>
  <c r="AK174" i="17"/>
  <c r="V174" i="17"/>
  <c r="AM174" i="17"/>
  <c r="AP174" i="17"/>
  <c r="AQ235" i="17"/>
  <c r="Y174" i="17"/>
  <c r="U235" i="17"/>
  <c r="AW174" i="17"/>
  <c r="AN174" i="17"/>
  <c r="V235" i="17"/>
  <c r="AC235" i="17"/>
  <c r="AS235" i="17"/>
  <c r="AV174" i="17"/>
  <c r="AV235" i="17"/>
  <c r="W174" i="17"/>
  <c r="AY174" i="17"/>
  <c r="N235" i="17"/>
  <c r="Z174" i="17"/>
  <c r="AE235" i="17"/>
  <c r="AB235" i="17"/>
  <c r="AI174" i="17"/>
  <c r="AK235" i="17"/>
  <c r="AY235" i="17"/>
  <c r="AF174" i="17"/>
  <c r="AJ174" i="17"/>
  <c r="AJ235" i="17"/>
  <c r="AO174" i="17"/>
  <c r="AI235" i="17"/>
  <c r="Z235" i="17"/>
  <c r="W235" i="17"/>
  <c r="AH174" i="17"/>
  <c r="L235" i="17"/>
  <c r="S235" i="17"/>
  <c r="AN235" i="17"/>
  <c r="AL174" i="17"/>
  <c r="AL235" i="17"/>
  <c r="AF235" i="17"/>
  <c r="L175" i="17"/>
  <c r="O175" i="17" s="1"/>
  <c r="R175" i="17" s="1"/>
  <c r="U175" i="17" s="1"/>
  <c r="AA236" i="17"/>
  <c r="X175" i="17"/>
  <c r="AH175" i="17"/>
  <c r="AX236" i="17"/>
  <c r="Q236" i="17"/>
  <c r="M236" i="17"/>
  <c r="AU236" i="17"/>
  <c r="AP236" i="17"/>
  <c r="AJ236" i="17"/>
  <c r="V236" i="17"/>
  <c r="AC236" i="17"/>
  <c r="AA175" i="17"/>
  <c r="AH236" i="17"/>
  <c r="O236" i="17"/>
  <c r="AS175" i="17"/>
  <c r="T236" i="17"/>
  <c r="R236" i="17"/>
  <c r="Y236" i="17"/>
  <c r="AD175" i="17"/>
  <c r="V175" i="17"/>
  <c r="W236" i="17"/>
  <c r="AC175" i="17"/>
  <c r="AM175" i="17"/>
  <c r="X236" i="17"/>
  <c r="AX175" i="17"/>
  <c r="P236" i="17"/>
  <c r="AR236" i="17"/>
  <c r="AS236" i="17"/>
  <c r="AU175" i="17"/>
  <c r="AT175" i="17"/>
  <c r="AT236" i="17"/>
  <c r="AP175" i="17"/>
  <c r="AE175" i="17"/>
  <c r="AO175" i="17"/>
  <c r="AO236" i="17"/>
  <c r="U236" i="17"/>
  <c r="Y175" i="17"/>
  <c r="AE236" i="17"/>
  <c r="AG236" i="17"/>
  <c r="AN175" i="17"/>
  <c r="AN236" i="17"/>
  <c r="AQ175" i="17"/>
  <c r="AB175" i="17"/>
  <c r="AB236" i="17"/>
  <c r="AV175" i="17"/>
  <c r="AV236" i="17"/>
  <c r="L236" i="17"/>
  <c r="AI175" i="17"/>
  <c r="W175" i="17"/>
  <c r="AR175" i="17"/>
  <c r="AQ236" i="17"/>
  <c r="AW175" i="17"/>
  <c r="AW236" i="17"/>
  <c r="AD236" i="17"/>
  <c r="AM236" i="17"/>
  <c r="AJ175" i="17"/>
  <c r="AG175" i="17"/>
  <c r="AK236" i="17"/>
  <c r="AL236" i="17"/>
  <c r="AF175" i="17"/>
  <c r="Z236" i="17"/>
  <c r="AI236" i="17"/>
  <c r="AY175" i="17"/>
  <c r="AY236" i="17"/>
  <c r="N236" i="17"/>
  <c r="S236" i="17"/>
  <c r="AK175" i="17"/>
  <c r="AL175" i="17"/>
  <c r="AF236" i="17"/>
  <c r="Z175" i="17"/>
  <c r="BG92" i="8"/>
  <c r="K226" i="7" s="1"/>
  <c r="BJ92" i="8"/>
  <c r="K227" i="7" s="1"/>
  <c r="BS92" i="8"/>
  <c r="K230" i="7" s="1"/>
  <c r="DF90" i="8"/>
  <c r="CH92" i="8"/>
  <c r="K235" i="7" s="1"/>
  <c r="CT92" i="8"/>
  <c r="K239" i="7" s="1"/>
  <c r="P270" i="8"/>
  <c r="P266" i="8"/>
  <c r="AU92" i="8"/>
  <c r="K222" i="7" s="1"/>
  <c r="BV92" i="8"/>
  <c r="K231" i="7" s="1"/>
  <c r="DR92" i="8"/>
  <c r="K247" i="7" s="1"/>
  <c r="AR92" i="8"/>
  <c r="K221" i="7" s="1"/>
  <c r="CZ92" i="8"/>
  <c r="K241" i="7" s="1"/>
  <c r="CB92" i="8"/>
  <c r="K233" i="7" s="1"/>
  <c r="BA92" i="8"/>
  <c r="K224" i="7" s="1"/>
  <c r="P272" i="8"/>
  <c r="P268" i="8"/>
  <c r="P264" i="8"/>
  <c r="BM92" i="8"/>
  <c r="K228" i="7" s="1"/>
  <c r="CN92" i="8"/>
  <c r="K237" i="7" s="1"/>
  <c r="DL92" i="8"/>
  <c r="K245" i="7" s="1"/>
  <c r="AY236" i="8"/>
  <c r="AZ192" i="8" s="1"/>
  <c r="BK236" i="8"/>
  <c r="BL189" i="8" s="1"/>
  <c r="CX236" i="8"/>
  <c r="CY187" i="8" s="1"/>
  <c r="DJ236" i="8"/>
  <c r="DK188" i="8" s="1"/>
  <c r="AP82" i="8"/>
  <c r="AQ39" i="8" s="1"/>
  <c r="AV82" i="8"/>
  <c r="AU89" i="8" s="1"/>
  <c r="BH82" i="8"/>
  <c r="BG89" i="8" s="1"/>
  <c r="BN82" i="8"/>
  <c r="BO41" i="8" s="1"/>
  <c r="AM236" i="8"/>
  <c r="AN195" i="8" s="1"/>
  <c r="DA82" i="8"/>
  <c r="CZ89" i="8" s="1"/>
  <c r="DM82" i="8"/>
  <c r="DL89" i="8" s="1"/>
  <c r="BW236" i="8"/>
  <c r="BX195" i="8" s="1"/>
  <c r="BV244" i="8"/>
  <c r="CF236" i="8"/>
  <c r="CG194" i="8" s="1"/>
  <c r="CI236" i="8"/>
  <c r="CJ191" i="8" s="1"/>
  <c r="CH244" i="8"/>
  <c r="DD236" i="8"/>
  <c r="DE191" i="8" s="1"/>
  <c r="DI244" i="8"/>
  <c r="CU82" i="8"/>
  <c r="CT89" i="8" s="1"/>
  <c r="DS82" i="8"/>
  <c r="DT37" i="8" s="1"/>
  <c r="AL244" i="8"/>
  <c r="H304" i="7"/>
  <c r="AS236" i="8"/>
  <c r="AT189" i="8" s="1"/>
  <c r="BE236" i="8"/>
  <c r="BF188" i="8" s="1"/>
  <c r="BD244" i="8"/>
  <c r="CO236" i="8"/>
  <c r="CP193" i="8" s="1"/>
  <c r="DP236" i="8"/>
  <c r="DQ195" i="8" s="1"/>
  <c r="DS236" i="8"/>
  <c r="DT190" i="8" s="1"/>
  <c r="DV236" i="8"/>
  <c r="DW195" i="8" s="1"/>
  <c r="AS82" i="8"/>
  <c r="AR89" i="8" s="1"/>
  <c r="AY82" i="8"/>
  <c r="AX89" i="8" s="1"/>
  <c r="BB82" i="8"/>
  <c r="BC36" i="8" s="1"/>
  <c r="BK82" i="8"/>
  <c r="BL35" i="8" s="1"/>
  <c r="BQ82" i="8"/>
  <c r="BP89" i="8" s="1"/>
  <c r="BT82" i="8"/>
  <c r="BS89" i="8" s="1"/>
  <c r="BZ82" i="8"/>
  <c r="CA38" i="8" s="1"/>
  <c r="CC82" i="8"/>
  <c r="CD37" i="8" s="1"/>
  <c r="CL82" i="8"/>
  <c r="CK89" i="8" s="1"/>
  <c r="CO82" i="8"/>
  <c r="CN89" i="8" s="1"/>
  <c r="CX82" i="8"/>
  <c r="CY36" i="8" s="1"/>
  <c r="DD82" i="8"/>
  <c r="DE37" i="8" s="1"/>
  <c r="DG82" i="8"/>
  <c r="DH42" i="8" s="1"/>
  <c r="DP82" i="8"/>
  <c r="DQ41" i="8" s="1"/>
  <c r="DV82" i="8"/>
  <c r="DW36" i="8" s="1"/>
  <c r="DJ82" i="8"/>
  <c r="DK33" i="8" s="1"/>
  <c r="AO247" i="8"/>
  <c r="AU247" i="8"/>
  <c r="BA247" i="8"/>
  <c r="CB247" i="8"/>
  <c r="CK247" i="8"/>
  <c r="CT247" i="8"/>
  <c r="AL247" i="8"/>
  <c r="AP236" i="8"/>
  <c r="AQ196" i="8" s="1"/>
  <c r="AO244" i="8"/>
  <c r="AV236" i="8"/>
  <c r="AW189" i="8" s="1"/>
  <c r="AU244" i="8"/>
  <c r="AZ187" i="8"/>
  <c r="BB236" i="8"/>
  <c r="BC189" i="8" s="1"/>
  <c r="BA244" i="8"/>
  <c r="BD247" i="8"/>
  <c r="BH236" i="8"/>
  <c r="BI191" i="8" s="1"/>
  <c r="BN236" i="8"/>
  <c r="BO194" i="8" s="1"/>
  <c r="BQ236" i="8"/>
  <c r="BR196" i="8" s="1"/>
  <c r="BT236" i="8"/>
  <c r="BU189" i="8" s="1"/>
  <c r="BV247" i="8"/>
  <c r="BZ236" i="8"/>
  <c r="CA194" i="8" s="1"/>
  <c r="CC236" i="8"/>
  <c r="CD187" i="8" s="1"/>
  <c r="CB244" i="8"/>
  <c r="CH247" i="8"/>
  <c r="CL236" i="8"/>
  <c r="CM189" i="8" s="1"/>
  <c r="CK244" i="8"/>
  <c r="CR236" i="8"/>
  <c r="CS194" i="8" s="1"/>
  <c r="CU236" i="8"/>
  <c r="CV189" i="8" s="1"/>
  <c r="CT244" i="8"/>
  <c r="DA236" i="8"/>
  <c r="DB188" i="8" s="1"/>
  <c r="DG236" i="8"/>
  <c r="DH190" i="8" s="1"/>
  <c r="DI247" i="8"/>
  <c r="DM236" i="8"/>
  <c r="DN189" i="8" s="1"/>
  <c r="P311" i="8"/>
  <c r="P309" i="8"/>
  <c r="P307" i="8"/>
  <c r="P305" i="8"/>
  <c r="P303" i="8"/>
  <c r="P301" i="8"/>
  <c r="P299" i="8"/>
  <c r="P297" i="8"/>
  <c r="P295" i="8"/>
  <c r="P293" i="8"/>
  <c r="P291" i="8"/>
  <c r="P289" i="8"/>
  <c r="P287" i="8"/>
  <c r="P285" i="8"/>
  <c r="P283" i="8"/>
  <c r="P281" i="8"/>
  <c r="P279" i="8"/>
  <c r="P277" i="8"/>
  <c r="P275" i="8"/>
  <c r="P273" i="8"/>
  <c r="P271" i="8"/>
  <c r="P269" i="8"/>
  <c r="P267" i="8"/>
  <c r="P265" i="8"/>
  <c r="P263" i="8"/>
  <c r="DU244" i="8"/>
  <c r="DU247" i="8"/>
  <c r="DR244" i="8"/>
  <c r="DR247" i="8"/>
  <c r="DO244" i="8"/>
  <c r="DO247" i="8"/>
  <c r="DL244" i="8"/>
  <c r="DL247" i="8"/>
  <c r="DF244" i="8"/>
  <c r="DF247" i="8"/>
  <c r="DC244" i="8"/>
  <c r="DC247" i="8"/>
  <c r="CZ244" i="8"/>
  <c r="CZ247" i="8"/>
  <c r="CW244" i="8"/>
  <c r="CW247" i="8"/>
  <c r="CQ244" i="8"/>
  <c r="CQ247" i="8"/>
  <c r="CP190" i="8"/>
  <c r="CN244" i="8"/>
  <c r="CN247" i="8"/>
  <c r="CE244" i="8"/>
  <c r="CE247" i="8"/>
  <c r="BY244" i="8"/>
  <c r="BY247" i="8"/>
  <c r="BS244" i="8"/>
  <c r="BS247" i="8"/>
  <c r="BP244" i="8"/>
  <c r="BP247" i="8"/>
  <c r="BM244" i="8"/>
  <c r="BM247" i="8"/>
  <c r="BJ244" i="8"/>
  <c r="BJ247" i="8"/>
  <c r="BG244" i="8"/>
  <c r="BG247" i="8"/>
  <c r="AX244" i="8"/>
  <c r="AX247" i="8"/>
  <c r="AR244" i="8"/>
  <c r="AR247" i="8"/>
  <c r="H247" i="8"/>
  <c r="AM82" i="8"/>
  <c r="AL89" i="8" s="1"/>
  <c r="BE82" i="8"/>
  <c r="BD89" i="8" s="1"/>
  <c r="BW82" i="8"/>
  <c r="BV89" i="8" s="1"/>
  <c r="CF82" i="8"/>
  <c r="CG38" i="8" s="1"/>
  <c r="CI82" i="8"/>
  <c r="CH89" i="8" s="1"/>
  <c r="CR82" i="8"/>
  <c r="CQ89" i="8" s="1"/>
  <c r="CQ92" i="8"/>
  <c r="K238" i="7" s="1"/>
  <c r="CW92" i="8"/>
  <c r="K240" i="7" s="1"/>
  <c r="DI92" i="8"/>
  <c r="K244" i="7" s="1"/>
  <c r="DO92" i="8"/>
  <c r="K246" i="7" s="1"/>
  <c r="CE90" i="8"/>
  <c r="DU92" i="8"/>
  <c r="K248" i="7" s="1"/>
  <c r="DC92" i="8"/>
  <c r="K242" i="7" s="1"/>
  <c r="CK92" i="8"/>
  <c r="K236" i="7" s="1"/>
  <c r="BY92" i="8"/>
  <c r="K232" i="7" s="1"/>
  <c r="BP92" i="8"/>
  <c r="K229" i="7" s="1"/>
  <c r="BD92" i="8"/>
  <c r="K225" i="7" s="1"/>
  <c r="AX92" i="8"/>
  <c r="K223" i="7" s="1"/>
  <c r="AO92" i="8"/>
  <c r="K220" i="7" s="1"/>
  <c r="AL92" i="8"/>
  <c r="K219" i="7" s="1"/>
  <c r="AJ184" i="8"/>
  <c r="AG184" i="8"/>
  <c r="L184" i="8"/>
  <c r="I184" i="8"/>
  <c r="P8" i="17" l="1"/>
  <c r="P16" i="17"/>
  <c r="P24" i="17"/>
  <c r="P32" i="17"/>
  <c r="P40" i="17"/>
  <c r="P48" i="17"/>
  <c r="L125" i="17" a="1"/>
  <c r="P13" i="17"/>
  <c r="P18" i="17"/>
  <c r="P34" i="17"/>
  <c r="P42" i="17"/>
  <c r="P50" i="17"/>
  <c r="P7" i="17"/>
  <c r="R17" i="17"/>
  <c r="Q17" i="17"/>
  <c r="J75" i="17" s="1"/>
  <c r="R25" i="17"/>
  <c r="Q25" i="17"/>
  <c r="J83" i="17" s="1"/>
  <c r="R33" i="17"/>
  <c r="Q33" i="17"/>
  <c r="J91" i="17" s="1"/>
  <c r="R41" i="17"/>
  <c r="Q41" i="17"/>
  <c r="J99" i="17" s="1"/>
  <c r="R49" i="17"/>
  <c r="Q49" i="17"/>
  <c r="J107" i="17" s="1"/>
  <c r="R23" i="17"/>
  <c r="Q23" i="17"/>
  <c r="J81" i="17" s="1"/>
  <c r="R31" i="17"/>
  <c r="Q31" i="17"/>
  <c r="J89" i="17" s="1"/>
  <c r="R39" i="17"/>
  <c r="Q39" i="17"/>
  <c r="J97" i="17" s="1"/>
  <c r="R47" i="17"/>
  <c r="Q47" i="17"/>
  <c r="J105" i="17" s="1"/>
  <c r="P10" i="17"/>
  <c r="P12" i="17"/>
  <c r="P20" i="17"/>
  <c r="P28" i="17"/>
  <c r="P36" i="17"/>
  <c r="P44" i="17"/>
  <c r="P52" i="17"/>
  <c r="P11" i="17"/>
  <c r="P26" i="17"/>
  <c r="P6" i="17"/>
  <c r="P14" i="17"/>
  <c r="P22" i="17"/>
  <c r="P30" i="17"/>
  <c r="P38" i="17"/>
  <c r="P46" i="17"/>
  <c r="P54" i="17"/>
  <c r="P15" i="17"/>
  <c r="P9" i="17"/>
  <c r="R21" i="17"/>
  <c r="Q21" i="17"/>
  <c r="J79" i="17" s="1"/>
  <c r="R29" i="17"/>
  <c r="Q29" i="17"/>
  <c r="J87" i="17" s="1"/>
  <c r="R37" i="17"/>
  <c r="Q37" i="17"/>
  <c r="J95" i="17" s="1"/>
  <c r="R45" i="17"/>
  <c r="Q45" i="17"/>
  <c r="J103" i="17" s="1"/>
  <c r="R53" i="17"/>
  <c r="Q53" i="17"/>
  <c r="J111" i="17" s="1"/>
  <c r="R19" i="17"/>
  <c r="Q19" i="17"/>
  <c r="J77" i="17" s="1"/>
  <c r="R27" i="17"/>
  <c r="Q27" i="17"/>
  <c r="J85" i="17" s="1"/>
  <c r="R35" i="17"/>
  <c r="Q35" i="17"/>
  <c r="J93" i="17" s="1"/>
  <c r="R43" i="17"/>
  <c r="Q43" i="17"/>
  <c r="J101" i="17" s="1"/>
  <c r="R51" i="17"/>
  <c r="Q51" i="17"/>
  <c r="J109" i="17" s="1"/>
  <c r="DH38" i="8"/>
  <c r="AW35" i="8"/>
  <c r="DQ188" i="8"/>
  <c r="BX32" i="8"/>
  <c r="CP36" i="8"/>
  <c r="BL192" i="8"/>
  <c r="DB191" i="8"/>
  <c r="DN38" i="8"/>
  <c r="CY193" i="8"/>
  <c r="DB189" i="8"/>
  <c r="BX190" i="8"/>
  <c r="DH186" i="8"/>
  <c r="CJ196" i="8"/>
  <c r="BU41" i="8"/>
  <c r="CP32" i="8"/>
  <c r="AT194" i="8"/>
  <c r="BF42" i="8"/>
  <c r="BI37" i="8"/>
  <c r="CV36" i="8"/>
  <c r="DQ34" i="8"/>
  <c r="AT186" i="8"/>
  <c r="AT195" i="8"/>
  <c r="AZ40" i="8"/>
  <c r="CP37" i="8"/>
  <c r="DQ38" i="8"/>
  <c r="DK195" i="8"/>
  <c r="BC35" i="8"/>
  <c r="CA32" i="8"/>
  <c r="BI40" i="8"/>
  <c r="BU33" i="8"/>
  <c r="CV41" i="8"/>
  <c r="DN32" i="8"/>
  <c r="DQ42" i="8"/>
  <c r="AT187" i="8"/>
  <c r="BR189" i="8"/>
  <c r="BU188" i="8"/>
  <c r="CJ188" i="8"/>
  <c r="DQ192" i="8"/>
  <c r="DT193" i="8"/>
  <c r="DT32" i="8"/>
  <c r="BU190" i="8"/>
  <c r="AZ34" i="8"/>
  <c r="BO36" i="8"/>
  <c r="BU36" i="8"/>
  <c r="CV33" i="8"/>
  <c r="DN35" i="8"/>
  <c r="CJ189" i="8"/>
  <c r="CY192" i="8"/>
  <c r="DB196" i="8"/>
  <c r="DH195" i="8"/>
  <c r="DQ196" i="8"/>
  <c r="CD42" i="8"/>
  <c r="CD192" i="8"/>
  <c r="CG35" i="8"/>
  <c r="BL186" i="8"/>
  <c r="AQ41" i="8"/>
  <c r="BL32" i="8"/>
  <c r="DE38" i="8"/>
  <c r="BC187" i="8"/>
  <c r="CA191" i="8"/>
  <c r="CG187" i="8"/>
  <c r="BR36" i="8"/>
  <c r="AT40" i="8"/>
  <c r="CM38" i="8"/>
  <c r="AT32" i="8"/>
  <c r="AT38" i="8"/>
  <c r="AW33" i="8"/>
  <c r="BR34" i="8"/>
  <c r="DH39" i="8"/>
  <c r="CM195" i="8"/>
  <c r="AT37" i="8"/>
  <c r="AW32" i="8"/>
  <c r="AW38" i="8"/>
  <c r="BL33" i="8"/>
  <c r="BR35" i="8"/>
  <c r="CM35" i="8"/>
  <c r="DB40" i="8"/>
  <c r="DK32" i="8"/>
  <c r="DB37" i="8"/>
  <c r="CD35" i="8"/>
  <c r="DW193" i="8"/>
  <c r="BR41" i="8"/>
  <c r="CM37" i="8"/>
  <c r="DB39" i="8"/>
  <c r="CG191" i="8"/>
  <c r="AQ35" i="8"/>
  <c r="AT35" i="8"/>
  <c r="AW41" i="8"/>
  <c r="AW36" i="8"/>
  <c r="BR33" i="8"/>
  <c r="CM32" i="8"/>
  <c r="CM40" i="8"/>
  <c r="DB38" i="8"/>
  <c r="DK38" i="8"/>
  <c r="AN193" i="8"/>
  <c r="BI187" i="8"/>
  <c r="BL194" i="8"/>
  <c r="BO195" i="8"/>
  <c r="CA187" i="8"/>
  <c r="CV196" i="8"/>
  <c r="DE192" i="8"/>
  <c r="DN194" i="8"/>
  <c r="AZ35" i="8"/>
  <c r="AZ37" i="8"/>
  <c r="AZ41" i="8"/>
  <c r="BI32" i="8"/>
  <c r="BI38" i="8"/>
  <c r="CP34" i="8"/>
  <c r="CV42" i="8"/>
  <c r="DN41" i="8"/>
  <c r="DN36" i="8"/>
  <c r="CP35" i="8"/>
  <c r="DQ35" i="8"/>
  <c r="DO89" i="8"/>
  <c r="AT192" i="8"/>
  <c r="CD188" i="8"/>
  <c r="CJ194" i="8"/>
  <c r="CM191" i="8"/>
  <c r="DQ193" i="8"/>
  <c r="AT41" i="8"/>
  <c r="AT36" i="8"/>
  <c r="AW42" i="8"/>
  <c r="AW34" i="8"/>
  <c r="AZ38" i="8"/>
  <c r="AZ42" i="8"/>
  <c r="BF34" i="8"/>
  <c r="BI41" i="8"/>
  <c r="BI33" i="8"/>
  <c r="BI36" i="8"/>
  <c r="BR39" i="8"/>
  <c r="BR40" i="8"/>
  <c r="BR42" i="8"/>
  <c r="BU37" i="8"/>
  <c r="BU40" i="8"/>
  <c r="CM41" i="8"/>
  <c r="CM33" i="8"/>
  <c r="CM36" i="8"/>
  <c r="CP40" i="8"/>
  <c r="CS34" i="8"/>
  <c r="CV37" i="8"/>
  <c r="CV40" i="8"/>
  <c r="DB32" i="8"/>
  <c r="DB36" i="8"/>
  <c r="DN39" i="8"/>
  <c r="DN42" i="8"/>
  <c r="DN34" i="8"/>
  <c r="DH41" i="8"/>
  <c r="DB35" i="8"/>
  <c r="CP41" i="8"/>
  <c r="CP33" i="8"/>
  <c r="DQ32" i="8"/>
  <c r="DQ36" i="8"/>
  <c r="DQ40" i="8"/>
  <c r="DH34" i="8"/>
  <c r="AT190" i="8"/>
  <c r="AT191" i="8"/>
  <c r="AW194" i="8"/>
  <c r="BC194" i="8"/>
  <c r="BL195" i="8"/>
  <c r="BO187" i="8"/>
  <c r="BR193" i="8"/>
  <c r="CA195" i="8"/>
  <c r="CG195" i="8"/>
  <c r="CJ192" i="8"/>
  <c r="CJ193" i="8"/>
  <c r="CM194" i="8"/>
  <c r="CM187" i="8"/>
  <c r="CP191" i="8"/>
  <c r="CV188" i="8"/>
  <c r="CY196" i="8"/>
  <c r="CY188" i="8"/>
  <c r="CY189" i="8"/>
  <c r="DN191" i="8"/>
  <c r="DQ186" i="8"/>
  <c r="DQ190" i="8"/>
  <c r="DQ194" i="8"/>
  <c r="CJ187" i="8"/>
  <c r="BI35" i="8"/>
  <c r="BU39" i="8"/>
  <c r="BU42" i="8"/>
  <c r="BU34" i="8"/>
  <c r="CP42" i="8"/>
  <c r="CV39" i="8"/>
  <c r="CV34" i="8"/>
  <c r="DN33" i="8"/>
  <c r="DQ39" i="8"/>
  <c r="AT193" i="8"/>
  <c r="AW186" i="8"/>
  <c r="BR191" i="8"/>
  <c r="CJ195" i="8"/>
  <c r="CM186" i="8"/>
  <c r="CY190" i="8"/>
  <c r="CY191" i="8"/>
  <c r="DN186" i="8"/>
  <c r="DN190" i="8"/>
  <c r="DQ189" i="8"/>
  <c r="AT33" i="8"/>
  <c r="AW39" i="8"/>
  <c r="AZ33" i="8"/>
  <c r="AT39" i="8"/>
  <c r="AT42" i="8"/>
  <c r="AT34" i="8"/>
  <c r="AW37" i="8"/>
  <c r="AW40" i="8"/>
  <c r="AZ32" i="8"/>
  <c r="AZ36" i="8"/>
  <c r="AZ39" i="8"/>
  <c r="BF36" i="8"/>
  <c r="BI39" i="8"/>
  <c r="BI42" i="8"/>
  <c r="BI34" i="8"/>
  <c r="BR32" i="8"/>
  <c r="BR37" i="8"/>
  <c r="BR38" i="8"/>
  <c r="BU32" i="8"/>
  <c r="BU35" i="8"/>
  <c r="BU38" i="8"/>
  <c r="CM39" i="8"/>
  <c r="CM42" i="8"/>
  <c r="CM34" i="8"/>
  <c r="CP38" i="8"/>
  <c r="CV32" i="8"/>
  <c r="CV35" i="8"/>
  <c r="CV38" i="8"/>
  <c r="DB42" i="8"/>
  <c r="DB34" i="8"/>
  <c r="DN37" i="8"/>
  <c r="DN40" i="8"/>
  <c r="DH40" i="8"/>
  <c r="DB41" i="8"/>
  <c r="DB33" i="8"/>
  <c r="CP39" i="8"/>
  <c r="DQ33" i="8"/>
  <c r="DQ37" i="8"/>
  <c r="DH35" i="8"/>
  <c r="AT196" i="8"/>
  <c r="AT188" i="8"/>
  <c r="AW190" i="8"/>
  <c r="BC195" i="8"/>
  <c r="BL196" i="8"/>
  <c r="BL187" i="8"/>
  <c r="BO191" i="8"/>
  <c r="BR187" i="8"/>
  <c r="BR195" i="8"/>
  <c r="CD196" i="8"/>
  <c r="CJ186" i="8"/>
  <c r="CJ190" i="8"/>
  <c r="CM190" i="8"/>
  <c r="CY186" i="8"/>
  <c r="CY194" i="8"/>
  <c r="CY195" i="8"/>
  <c r="DN187" i="8"/>
  <c r="DQ187" i="8"/>
  <c r="DQ191" i="8"/>
  <c r="AQ37" i="8"/>
  <c r="BL41" i="8"/>
  <c r="BX35" i="8"/>
  <c r="CD36" i="8"/>
  <c r="DK41" i="8"/>
  <c r="AN194" i="8"/>
  <c r="AQ33" i="8"/>
  <c r="AQ38" i="8"/>
  <c r="BF38" i="8"/>
  <c r="BL37" i="8"/>
  <c r="BL38" i="8"/>
  <c r="BX40" i="8"/>
  <c r="CA40" i="8"/>
  <c r="CD34" i="8"/>
  <c r="DE32" i="8"/>
  <c r="DE39" i="8"/>
  <c r="DK35" i="8"/>
  <c r="DT38" i="8"/>
  <c r="DK34" i="8"/>
  <c r="AN192" i="8"/>
  <c r="AZ194" i="8"/>
  <c r="BI194" i="8"/>
  <c r="BU191" i="8"/>
  <c r="CS192" i="8"/>
  <c r="DB190" i="8"/>
  <c r="DE193" i="8"/>
  <c r="AQ42" i="8"/>
  <c r="BL40" i="8"/>
  <c r="DE36" i="8"/>
  <c r="DK36" i="8"/>
  <c r="AN187" i="8"/>
  <c r="CS186" i="8"/>
  <c r="DE190" i="8"/>
  <c r="AQ34" i="8"/>
  <c r="BF32" i="8"/>
  <c r="BF40" i="8"/>
  <c r="BX34" i="8"/>
  <c r="CD32" i="8"/>
  <c r="CS38" i="8"/>
  <c r="CY39" i="8"/>
  <c r="AZ186" i="8"/>
  <c r="BU196" i="8"/>
  <c r="DU89" i="8"/>
  <c r="DW42" i="8"/>
  <c r="DW38" i="8"/>
  <c r="DW34" i="8"/>
  <c r="DW41" i="8"/>
  <c r="DW37" i="8"/>
  <c r="DW33" i="8"/>
  <c r="BA89" i="8"/>
  <c r="BC40" i="8"/>
  <c r="BC37" i="8"/>
  <c r="BF191" i="8"/>
  <c r="BF190" i="8"/>
  <c r="BF186" i="8"/>
  <c r="BF193" i="8"/>
  <c r="BF192" i="8"/>
  <c r="BX192" i="8"/>
  <c r="BX189" i="8"/>
  <c r="BX186" i="8"/>
  <c r="BX194" i="8"/>
  <c r="BX191" i="8"/>
  <c r="BM89" i="8"/>
  <c r="BO40" i="8"/>
  <c r="BO37" i="8"/>
  <c r="BO34" i="8"/>
  <c r="BO39" i="8"/>
  <c r="BO42" i="8"/>
  <c r="BC39" i="8"/>
  <c r="BC38" i="8"/>
  <c r="BO32" i="8"/>
  <c r="BO38" i="8"/>
  <c r="CA35" i="8"/>
  <c r="DT40" i="8"/>
  <c r="DW35" i="8"/>
  <c r="BF194" i="8"/>
  <c r="BF187" i="8"/>
  <c r="BX196" i="8"/>
  <c r="AQ189" i="8"/>
  <c r="AQ188" i="8"/>
  <c r="AQ192" i="8"/>
  <c r="DI89" i="8"/>
  <c r="DK40" i="8"/>
  <c r="DK37" i="8"/>
  <c r="DK42" i="8"/>
  <c r="DK39" i="8"/>
  <c r="DC89" i="8"/>
  <c r="DE33" i="8"/>
  <c r="DE41" i="8"/>
  <c r="DE40" i="8"/>
  <c r="DE34" i="8"/>
  <c r="DE42" i="8"/>
  <c r="DE35" i="8"/>
  <c r="CB89" i="8"/>
  <c r="CD39" i="8"/>
  <c r="CD38" i="8"/>
  <c r="CD33" i="8"/>
  <c r="CD41" i="8"/>
  <c r="CD40" i="8"/>
  <c r="BJ89" i="8"/>
  <c r="BL34" i="8"/>
  <c r="BL42" i="8"/>
  <c r="BL39" i="8"/>
  <c r="BL36" i="8"/>
  <c r="DW189" i="8"/>
  <c r="DW188" i="8"/>
  <c r="DW196" i="8"/>
  <c r="DW191" i="8"/>
  <c r="DW190" i="8"/>
  <c r="DE187" i="8"/>
  <c r="DE195" i="8"/>
  <c r="DE194" i="8"/>
  <c r="DE186" i="8"/>
  <c r="DE189" i="8"/>
  <c r="DE188" i="8"/>
  <c r="DE196" i="8"/>
  <c r="AN189" i="8"/>
  <c r="AN188" i="8"/>
  <c r="AN196" i="8"/>
  <c r="AN191" i="8"/>
  <c r="AN190" i="8"/>
  <c r="AN186" i="8"/>
  <c r="AO89" i="8"/>
  <c r="AQ40" i="8"/>
  <c r="AQ36" i="8"/>
  <c r="AQ32" i="8"/>
  <c r="AZ189" i="8"/>
  <c r="AZ188" i="8"/>
  <c r="AZ196" i="8"/>
  <c r="AZ191" i="8"/>
  <c r="AZ190" i="8"/>
  <c r="CY42" i="8"/>
  <c r="CY38" i="8"/>
  <c r="CY34" i="8"/>
  <c r="CY41" i="8"/>
  <c r="CY37" i="8"/>
  <c r="CY33" i="8"/>
  <c r="DT196" i="8"/>
  <c r="DT192" i="8"/>
  <c r="DT188" i="8"/>
  <c r="DT195" i="8"/>
  <c r="DT191" i="8"/>
  <c r="DT187" i="8"/>
  <c r="DK191" i="8"/>
  <c r="DK190" i="8"/>
  <c r="DK186" i="8"/>
  <c r="DK193" i="8"/>
  <c r="DK192" i="8"/>
  <c r="BC32" i="8"/>
  <c r="BC33" i="8"/>
  <c r="BC34" i="8"/>
  <c r="BO35" i="8"/>
  <c r="DW39" i="8"/>
  <c r="CE89" i="8"/>
  <c r="CG39" i="8"/>
  <c r="CG34" i="8"/>
  <c r="CG32" i="8"/>
  <c r="CY32" i="8"/>
  <c r="CY40" i="8"/>
  <c r="BF195" i="8"/>
  <c r="BX193" i="8"/>
  <c r="BX188" i="8"/>
  <c r="DK196" i="8"/>
  <c r="DK189" i="8"/>
  <c r="DT186" i="8"/>
  <c r="DT194" i="8"/>
  <c r="DW194" i="8"/>
  <c r="DW187" i="8"/>
  <c r="DH189" i="8"/>
  <c r="DH194" i="8"/>
  <c r="DH187" i="8"/>
  <c r="CS195" i="8"/>
  <c r="CS190" i="8"/>
  <c r="CS196" i="8"/>
  <c r="CS188" i="8"/>
  <c r="BI189" i="8"/>
  <c r="BI195" i="8"/>
  <c r="BI190" i="8"/>
  <c r="BI186" i="8"/>
  <c r="AZ195" i="8"/>
  <c r="BY89" i="8"/>
  <c r="CA34" i="8"/>
  <c r="CA42" i="8"/>
  <c r="CA39" i="8"/>
  <c r="CA36" i="8"/>
  <c r="CA33" i="8"/>
  <c r="CA41" i="8"/>
  <c r="DR89" i="8"/>
  <c r="DT34" i="8"/>
  <c r="DT42" i="8"/>
  <c r="DT39" i="8"/>
  <c r="DT33" i="8"/>
  <c r="DT41" i="8"/>
  <c r="DT36" i="8"/>
  <c r="AN37" i="8"/>
  <c r="BC41" i="8"/>
  <c r="BC42" i="8"/>
  <c r="BO33" i="8"/>
  <c r="CA37" i="8"/>
  <c r="DT35" i="8"/>
  <c r="DW32" i="8"/>
  <c r="DW40" i="8"/>
  <c r="CY35" i="8"/>
  <c r="CW89" i="8"/>
  <c r="BF196" i="8"/>
  <c r="BF189" i="8"/>
  <c r="BX187" i="8"/>
  <c r="DK194" i="8"/>
  <c r="DK187" i="8"/>
  <c r="DT189" i="8"/>
  <c r="DW186" i="8"/>
  <c r="DW192" i="8"/>
  <c r="DB193" i="8"/>
  <c r="DB192" i="8"/>
  <c r="DB187" i="8"/>
  <c r="DB195" i="8"/>
  <c r="DB194" i="8"/>
  <c r="DB186" i="8"/>
  <c r="BU193" i="8"/>
  <c r="BU192" i="8"/>
  <c r="BU187" i="8"/>
  <c r="BU195" i="8"/>
  <c r="BU194" i="8"/>
  <c r="BU186" i="8"/>
  <c r="AZ193" i="8"/>
  <c r="BX39" i="8"/>
  <c r="BX36" i="8"/>
  <c r="DN195" i="8"/>
  <c r="AN39" i="8"/>
  <c r="DH32" i="8"/>
  <c r="DH36" i="8"/>
  <c r="DF89" i="8"/>
  <c r="BC192" i="8"/>
  <c r="BC193" i="8"/>
  <c r="BL193" i="8"/>
  <c r="BO188" i="8"/>
  <c r="BO192" i="8"/>
  <c r="BO196" i="8"/>
  <c r="CA188" i="8"/>
  <c r="CA192" i="8"/>
  <c r="CA196" i="8"/>
  <c r="CG188" i="8"/>
  <c r="CG192" i="8"/>
  <c r="CG196" i="8"/>
  <c r="CP196" i="8"/>
  <c r="CP188" i="8"/>
  <c r="CP189" i="8"/>
  <c r="CV194" i="8"/>
  <c r="CJ42" i="8"/>
  <c r="AN41" i="8"/>
  <c r="CG42" i="8"/>
  <c r="CJ38" i="8"/>
  <c r="CS42" i="8"/>
  <c r="CJ39" i="8"/>
  <c r="DH33" i="8"/>
  <c r="DH37" i="8"/>
  <c r="BC186" i="8"/>
  <c r="BC190" i="8"/>
  <c r="BC191" i="8"/>
  <c r="BL190" i="8"/>
  <c r="BL191" i="8"/>
  <c r="BO189" i="8"/>
  <c r="BO193" i="8"/>
  <c r="CA189" i="8"/>
  <c r="CA193" i="8"/>
  <c r="CG189" i="8"/>
  <c r="CG193" i="8"/>
  <c r="CP186" i="8"/>
  <c r="CP194" i="8"/>
  <c r="CP195" i="8"/>
  <c r="CP187" i="8"/>
  <c r="CV192" i="8"/>
  <c r="DH191" i="8"/>
  <c r="AN35" i="8"/>
  <c r="CJ34" i="8"/>
  <c r="CJ35" i="8"/>
  <c r="BC196" i="8"/>
  <c r="BC188" i="8"/>
  <c r="BL188" i="8"/>
  <c r="BO186" i="8"/>
  <c r="BO190" i="8"/>
  <c r="CA186" i="8"/>
  <c r="CA190" i="8"/>
  <c r="CG186" i="8"/>
  <c r="CG190" i="8"/>
  <c r="CP192" i="8"/>
  <c r="CV186" i="8"/>
  <c r="CV190" i="8"/>
  <c r="AN32" i="8"/>
  <c r="AN34" i="8"/>
  <c r="AN36" i="8"/>
  <c r="AN38" i="8"/>
  <c r="AN40" i="8"/>
  <c r="AN42" i="8"/>
  <c r="BX41" i="8"/>
  <c r="BX37" i="8"/>
  <c r="BX33" i="8"/>
  <c r="BX38" i="8"/>
  <c r="BX42" i="8"/>
  <c r="CJ32" i="8"/>
  <c r="CJ40" i="8"/>
  <c r="CJ36" i="8"/>
  <c r="CJ41" i="8"/>
  <c r="CJ37" i="8"/>
  <c r="CJ33" i="8"/>
  <c r="AQ186" i="8"/>
  <c r="AQ194" i="8"/>
  <c r="AQ190" i="8"/>
  <c r="AW196" i="8"/>
  <c r="AW192" i="8"/>
  <c r="AW188" i="8"/>
  <c r="BI196" i="8"/>
  <c r="BI192" i="8"/>
  <c r="BI188" i="8"/>
  <c r="BI193" i="8"/>
  <c r="BR186" i="8"/>
  <c r="BR188" i="8"/>
  <c r="BR190" i="8"/>
  <c r="BR192" i="8"/>
  <c r="BR194" i="8"/>
  <c r="CD186" i="8"/>
  <c r="CD194" i="8"/>
  <c r="CD190" i="8"/>
  <c r="CM196" i="8"/>
  <c r="CM192" i="8"/>
  <c r="CM188" i="8"/>
  <c r="CM193" i="8"/>
  <c r="CS187" i="8"/>
  <c r="CS189" i="8"/>
  <c r="CS191" i="8"/>
  <c r="CS193" i="8"/>
  <c r="DH196" i="8"/>
  <c r="DH192" i="8"/>
  <c r="DH188" i="8"/>
  <c r="DH193" i="8"/>
  <c r="DN196" i="8"/>
  <c r="DN192" i="8"/>
  <c r="DN188" i="8"/>
  <c r="DN193" i="8"/>
  <c r="CV195" i="8"/>
  <c r="CV191" i="8"/>
  <c r="CV187" i="8"/>
  <c r="CD193" i="8"/>
  <c r="CD189" i="8"/>
  <c r="AW195" i="8"/>
  <c r="AW191" i="8"/>
  <c r="AW187" i="8"/>
  <c r="AQ195" i="8"/>
  <c r="AQ191" i="8"/>
  <c r="AQ187" i="8"/>
  <c r="BF33" i="8"/>
  <c r="BF35" i="8"/>
  <c r="BF37" i="8"/>
  <c r="BF39" i="8"/>
  <c r="BF41" i="8"/>
  <c r="CG41" i="8"/>
  <c r="CG37" i="8"/>
  <c r="CG33" i="8"/>
  <c r="CG40" i="8"/>
  <c r="CG36" i="8"/>
  <c r="CS32" i="8"/>
  <c r="CS40" i="8"/>
  <c r="CS36" i="8"/>
  <c r="CV193" i="8"/>
  <c r="CD195" i="8"/>
  <c r="CD191" i="8"/>
  <c r="AW193" i="8"/>
  <c r="AQ193" i="8"/>
  <c r="CS39" i="8"/>
  <c r="CS35" i="8"/>
  <c r="AN33" i="8"/>
  <c r="CS41" i="8"/>
  <c r="CS37" i="8"/>
  <c r="CS33" i="8"/>
  <c r="M5" i="10"/>
  <c r="J271" i="8"/>
  <c r="F18" i="8"/>
  <c r="I38" i="8"/>
  <c r="F175" i="7"/>
  <c r="R54" i="17" l="1"/>
  <c r="Q54" i="17"/>
  <c r="J112" i="17" s="1"/>
  <c r="R38" i="17"/>
  <c r="Q38" i="17"/>
  <c r="J96" i="17" s="1"/>
  <c r="R22" i="17"/>
  <c r="Q22" i="17"/>
  <c r="J80" i="17" s="1"/>
  <c r="R44" i="17"/>
  <c r="Q44" i="17"/>
  <c r="J102" i="17" s="1"/>
  <c r="R28" i="17"/>
  <c r="Q28" i="17"/>
  <c r="J86" i="17" s="1"/>
  <c r="R42" i="17"/>
  <c r="Q42" i="17"/>
  <c r="J100" i="17" s="1"/>
  <c r="R18" i="17"/>
  <c r="Q18" i="17"/>
  <c r="J76" i="17" s="1"/>
  <c r="O101" i="17"/>
  <c r="P101" i="17"/>
  <c r="L101" i="17"/>
  <c r="N101" i="17"/>
  <c r="M101" i="17"/>
  <c r="O85" i="17"/>
  <c r="M85" i="17"/>
  <c r="P85" i="17"/>
  <c r="L85" i="17"/>
  <c r="N85" i="17"/>
  <c r="O111" i="17"/>
  <c r="L111" i="17"/>
  <c r="M111" i="17"/>
  <c r="N111" i="17"/>
  <c r="P111" i="17"/>
  <c r="O95" i="17"/>
  <c r="M95" i="17"/>
  <c r="N95" i="17"/>
  <c r="P95" i="17"/>
  <c r="L95" i="17"/>
  <c r="O79" i="17"/>
  <c r="P79" i="17"/>
  <c r="L79" i="17"/>
  <c r="N79" i="17"/>
  <c r="M79" i="17"/>
  <c r="O105" i="17"/>
  <c r="P105" i="17"/>
  <c r="M105" i="17"/>
  <c r="N105" i="17"/>
  <c r="L105" i="17"/>
  <c r="O89" i="17"/>
  <c r="N89" i="17"/>
  <c r="M89" i="17"/>
  <c r="P89" i="17"/>
  <c r="L89" i="17"/>
  <c r="O107" i="17"/>
  <c r="M107" i="17"/>
  <c r="P107" i="17"/>
  <c r="N107" i="17"/>
  <c r="L107" i="17"/>
  <c r="O91" i="17"/>
  <c r="N91" i="17"/>
  <c r="M91" i="17"/>
  <c r="P91" i="17"/>
  <c r="L91" i="17"/>
  <c r="O75" i="17"/>
  <c r="L75" i="17"/>
  <c r="N75" i="17"/>
  <c r="M75" i="17"/>
  <c r="P75" i="17"/>
  <c r="R48" i="17"/>
  <c r="Q48" i="17"/>
  <c r="J106" i="17" s="1"/>
  <c r="R32" i="17"/>
  <c r="Q32" i="17"/>
  <c r="J90" i="17" s="1"/>
  <c r="R16" i="17"/>
  <c r="Q16" i="17"/>
  <c r="J74" i="17" s="1"/>
  <c r="R46" i="17"/>
  <c r="Q46" i="17"/>
  <c r="J104" i="17" s="1"/>
  <c r="R30" i="17"/>
  <c r="Q30" i="17"/>
  <c r="J88" i="17" s="1"/>
  <c r="R26" i="17"/>
  <c r="Q26" i="17"/>
  <c r="J84" i="17" s="1"/>
  <c r="R52" i="17"/>
  <c r="Q52" i="17"/>
  <c r="J110" i="17" s="1"/>
  <c r="R36" i="17"/>
  <c r="Q36" i="17"/>
  <c r="J94" i="17" s="1"/>
  <c r="R20" i="17"/>
  <c r="Q20" i="17"/>
  <c r="J78" i="17" s="1"/>
  <c r="R50" i="17"/>
  <c r="Q50" i="17"/>
  <c r="J108" i="17" s="1"/>
  <c r="R34" i="17"/>
  <c r="Q34" i="17"/>
  <c r="J92" i="17" s="1"/>
  <c r="T125" i="17"/>
  <c r="AJ125" i="17"/>
  <c r="M125" i="17"/>
  <c r="AC125" i="17"/>
  <c r="AS125" i="17"/>
  <c r="AD125" i="17"/>
  <c r="W125" i="17"/>
  <c r="R125" i="17"/>
  <c r="AY125" i="17"/>
  <c r="AP125" i="17"/>
  <c r="X125" i="17"/>
  <c r="AN125" i="17"/>
  <c r="Q125" i="17"/>
  <c r="AG125" i="17"/>
  <c r="AW125" i="17"/>
  <c r="AL125" i="17"/>
  <c r="AE125" i="17"/>
  <c r="AH125" i="17"/>
  <c r="AI125" i="17"/>
  <c r="AQ125" i="17"/>
  <c r="L125" i="17"/>
  <c r="AB125" i="17"/>
  <c r="AR125" i="17"/>
  <c r="U125" i="17"/>
  <c r="AK125" i="17"/>
  <c r="N125" i="17"/>
  <c r="AT125" i="17"/>
  <c r="AM125" i="17"/>
  <c r="AX125" i="17"/>
  <c r="S125" i="17"/>
  <c r="P125" i="17"/>
  <c r="AF125" i="17"/>
  <c r="AV125" i="17"/>
  <c r="Y125" i="17"/>
  <c r="AO125" i="17"/>
  <c r="V125" i="17"/>
  <c r="O125" i="17"/>
  <c r="AU125" i="17"/>
  <c r="AA125" i="17"/>
  <c r="Z125" i="17"/>
  <c r="O109" i="17"/>
  <c r="L109" i="17"/>
  <c r="N109" i="17"/>
  <c r="M109" i="17"/>
  <c r="P109" i="17"/>
  <c r="O93" i="17"/>
  <c r="L93" i="17"/>
  <c r="N93" i="17"/>
  <c r="M93" i="17"/>
  <c r="P93" i="17"/>
  <c r="O77" i="17"/>
  <c r="P77" i="17"/>
  <c r="L77" i="17"/>
  <c r="N77" i="17"/>
  <c r="M77" i="17"/>
  <c r="O103" i="17"/>
  <c r="P103" i="17"/>
  <c r="M103" i="17"/>
  <c r="L103" i="17"/>
  <c r="N103" i="17"/>
  <c r="O87" i="17"/>
  <c r="L87" i="17"/>
  <c r="N87" i="17"/>
  <c r="M87" i="17"/>
  <c r="P87" i="17"/>
  <c r="O97" i="17"/>
  <c r="P97" i="17"/>
  <c r="N97" i="17"/>
  <c r="L97" i="17"/>
  <c r="M97" i="17"/>
  <c r="O81" i="17"/>
  <c r="P81" i="17"/>
  <c r="L81" i="17"/>
  <c r="N81" i="17"/>
  <c r="M81" i="17"/>
  <c r="O99" i="17"/>
  <c r="L99" i="17"/>
  <c r="M99" i="17"/>
  <c r="P99" i="17"/>
  <c r="N99" i="17"/>
  <c r="O83" i="17"/>
  <c r="P83" i="17"/>
  <c r="L83" i="17"/>
  <c r="N83" i="17"/>
  <c r="M83" i="17"/>
  <c r="R40" i="17"/>
  <c r="Q40" i="17"/>
  <c r="J98" i="17" s="1"/>
  <c r="R24" i="17"/>
  <c r="Q24" i="17"/>
  <c r="J82" i="17" s="1"/>
  <c r="AT82" i="8"/>
  <c r="AW82" i="8"/>
  <c r="CV82" i="8"/>
  <c r="BU82" i="8"/>
  <c r="AT236" i="8"/>
  <c r="BL236" i="8"/>
  <c r="DB236" i="8"/>
  <c r="BX236" i="8"/>
  <c r="CJ236" i="8"/>
  <c r="BR82" i="8"/>
  <c r="DQ236" i="8"/>
  <c r="CP82" i="8"/>
  <c r="DN82" i="8"/>
  <c r="DB82" i="8"/>
  <c r="BI82" i="8"/>
  <c r="DE236" i="8"/>
  <c r="CY236" i="8"/>
  <c r="DQ82" i="8"/>
  <c r="AZ82" i="8"/>
  <c r="CM82" i="8"/>
  <c r="DK236" i="8"/>
  <c r="BC82" i="8"/>
  <c r="CJ82" i="8"/>
  <c r="DH236" i="8"/>
  <c r="BC236" i="8"/>
  <c r="CP236" i="8"/>
  <c r="BU236" i="8"/>
  <c r="DT236" i="8"/>
  <c r="BF236" i="8"/>
  <c r="BO82" i="8"/>
  <c r="DT82" i="8"/>
  <c r="CA82" i="8"/>
  <c r="CY82" i="8"/>
  <c r="AZ236" i="8"/>
  <c r="AQ82" i="8"/>
  <c r="AN236" i="8"/>
  <c r="DW236" i="8"/>
  <c r="BL82" i="8"/>
  <c r="CD82" i="8"/>
  <c r="DE82" i="8"/>
  <c r="DK82" i="8"/>
  <c r="DW82" i="8"/>
  <c r="CV236" i="8"/>
  <c r="DN236" i="8"/>
  <c r="CS236" i="8"/>
  <c r="CM236" i="8"/>
  <c r="BR236" i="8"/>
  <c r="BI236" i="8"/>
  <c r="BX82" i="8"/>
  <c r="CG236" i="8"/>
  <c r="BO236" i="8"/>
  <c r="CA236" i="8"/>
  <c r="DH82" i="8"/>
  <c r="AN82" i="8"/>
  <c r="CG82" i="8"/>
  <c r="AQ236" i="8"/>
  <c r="AW236" i="8"/>
  <c r="CD236" i="8"/>
  <c r="CS82" i="8"/>
  <c r="BF82" i="8"/>
  <c r="E34" i="7"/>
  <c r="L166" i="8"/>
  <c r="K166" i="8"/>
  <c r="I166" i="8"/>
  <c r="I162" i="8"/>
  <c r="J162" i="8"/>
  <c r="K162" i="8"/>
  <c r="L162" i="8"/>
  <c r="M486" i="10"/>
  <c r="M413" i="10"/>
  <c r="O82" i="17" l="1"/>
  <c r="N82" i="17"/>
  <c r="P82" i="17"/>
  <c r="L82" i="17"/>
  <c r="M82" i="17"/>
  <c r="O76" i="17"/>
  <c r="M76" i="17"/>
  <c r="L76" i="17"/>
  <c r="N76" i="17"/>
  <c r="P76" i="17"/>
  <c r="O86" i="17"/>
  <c r="M86" i="17"/>
  <c r="N86" i="17"/>
  <c r="P86" i="17"/>
  <c r="L86" i="17"/>
  <c r="O80" i="17"/>
  <c r="M80" i="17"/>
  <c r="L80" i="17"/>
  <c r="N80" i="17"/>
  <c r="P80" i="17"/>
  <c r="O112" i="17"/>
  <c r="P112" i="17"/>
  <c r="M112" i="17"/>
  <c r="N112" i="17"/>
  <c r="L112" i="17"/>
  <c r="O108" i="17"/>
  <c r="M108" i="17"/>
  <c r="N108" i="17"/>
  <c r="L108" i="17"/>
  <c r="P108" i="17"/>
  <c r="O78" i="17"/>
  <c r="P78" i="17"/>
  <c r="L78" i="17"/>
  <c r="M78" i="17"/>
  <c r="N78" i="17"/>
  <c r="O110" i="17"/>
  <c r="M110" i="17"/>
  <c r="N110" i="17"/>
  <c r="L110" i="17"/>
  <c r="P110" i="17"/>
  <c r="O104" i="17"/>
  <c r="P104" i="17"/>
  <c r="M104" i="17"/>
  <c r="N104" i="17"/>
  <c r="L104" i="17"/>
  <c r="O90" i="17"/>
  <c r="P90" i="17"/>
  <c r="L90" i="17"/>
  <c r="M90" i="17"/>
  <c r="N90" i="17"/>
  <c r="O98" i="17"/>
  <c r="M98" i="17"/>
  <c r="N98" i="17"/>
  <c r="L98" i="17"/>
  <c r="P98" i="17"/>
  <c r="O100" i="17"/>
  <c r="L100" i="17"/>
  <c r="P100" i="17"/>
  <c r="M100" i="17"/>
  <c r="N100" i="17"/>
  <c r="O102" i="17"/>
  <c r="L102" i="17"/>
  <c r="P102" i="17"/>
  <c r="M102" i="17"/>
  <c r="N102" i="17"/>
  <c r="O96" i="17"/>
  <c r="N96" i="17"/>
  <c r="L96" i="17"/>
  <c r="P96" i="17"/>
  <c r="M96" i="17"/>
  <c r="O92" i="17"/>
  <c r="N92" i="17"/>
  <c r="P92" i="17"/>
  <c r="M92" i="17"/>
  <c r="L92" i="17"/>
  <c r="O94" i="17"/>
  <c r="M94" i="17"/>
  <c r="N94" i="17"/>
  <c r="P94" i="17"/>
  <c r="L94" i="17"/>
  <c r="O84" i="17"/>
  <c r="M84" i="17"/>
  <c r="L84" i="17"/>
  <c r="N84" i="17"/>
  <c r="P84" i="17"/>
  <c r="O88" i="17"/>
  <c r="P88" i="17"/>
  <c r="M88" i="17"/>
  <c r="L88" i="17"/>
  <c r="N88" i="17"/>
  <c r="O74" i="17"/>
  <c r="P74" i="17"/>
  <c r="L74" i="17"/>
  <c r="M74" i="17"/>
  <c r="N74" i="17"/>
  <c r="O106" i="17"/>
  <c r="L106" i="17"/>
  <c r="P106" i="17"/>
  <c r="M106" i="17"/>
  <c r="N106" i="17"/>
  <c r="J166" i="8"/>
  <c r="F95" i="14"/>
  <c r="F84" i="14"/>
  <c r="H67" i="14"/>
  <c r="G67" i="14"/>
  <c r="F67" i="14"/>
  <c r="F126" i="7"/>
  <c r="G126" i="7"/>
  <c r="H126" i="7"/>
  <c r="I126" i="7"/>
  <c r="J126" i="7"/>
  <c r="K126" i="7"/>
  <c r="L126" i="7"/>
  <c r="M126" i="7"/>
  <c r="E126" i="7"/>
  <c r="G200" i="7" l="1"/>
  <c r="E111" i="7"/>
  <c r="G111" i="7"/>
  <c r="H111" i="7"/>
  <c r="I111" i="7"/>
  <c r="J111" i="7"/>
  <c r="K111" i="7"/>
  <c r="L111" i="7"/>
  <c r="M111" i="7"/>
  <c r="F111" i="7"/>
  <c r="F95" i="7"/>
  <c r="G95" i="7"/>
  <c r="H95" i="7"/>
  <c r="I95" i="7"/>
  <c r="J95" i="7"/>
  <c r="K95" i="7"/>
  <c r="L95" i="7"/>
  <c r="M95" i="7"/>
  <c r="E95" i="7"/>
  <c r="F80" i="7"/>
  <c r="G80" i="7"/>
  <c r="H80" i="7"/>
  <c r="I80" i="7"/>
  <c r="J80" i="7"/>
  <c r="K80" i="7"/>
  <c r="L80" i="7"/>
  <c r="M80" i="7"/>
  <c r="E80" i="7"/>
  <c r="F65" i="7"/>
  <c r="G65" i="7"/>
  <c r="H65" i="7"/>
  <c r="I65" i="7"/>
  <c r="J65" i="7"/>
  <c r="K65" i="7"/>
  <c r="L65" i="7"/>
  <c r="M65" i="7"/>
  <c r="E65" i="7"/>
  <c r="F50" i="7"/>
  <c r="G50" i="7"/>
  <c r="H50" i="7"/>
  <c r="I50" i="7"/>
  <c r="J50" i="7"/>
  <c r="K50" i="7"/>
  <c r="L50" i="7"/>
  <c r="M50" i="7"/>
  <c r="E50" i="7"/>
  <c r="F34" i="7"/>
  <c r="G34" i="7"/>
  <c r="H34" i="7"/>
  <c r="I34" i="7"/>
  <c r="J34" i="7"/>
  <c r="K34" i="7"/>
  <c r="L34" i="7"/>
  <c r="M34" i="7"/>
  <c r="I19" i="7"/>
  <c r="J19" i="7"/>
  <c r="K19" i="7"/>
  <c r="L19" i="7"/>
  <c r="M19" i="7"/>
  <c r="F194" i="8"/>
  <c r="F195" i="8"/>
  <c r="F196" i="8"/>
  <c r="F197" i="8"/>
  <c r="F198" i="8"/>
  <c r="F199" i="8"/>
  <c r="F200" i="8"/>
  <c r="F201" i="8"/>
  <c r="F202" i="8"/>
  <c r="F203" i="8"/>
  <c r="F204" i="8"/>
  <c r="F205" i="8"/>
  <c r="G198" i="7" l="1"/>
  <c r="G196" i="7"/>
  <c r="G194" i="7"/>
  <c r="G195" i="7"/>
  <c r="G197" i="7"/>
  <c r="G199" i="7"/>
  <c r="F262" i="8" l="1"/>
  <c r="J192" i="17" s="1"/>
  <c r="F99" i="14"/>
  <c r="H63" i="17" l="1"/>
  <c r="H131" i="17"/>
  <c r="L5" i="17"/>
  <c r="M5" i="17" s="1"/>
  <c r="D358" i="7"/>
  <c r="BX262" i="8"/>
  <c r="W262" i="8"/>
  <c r="I46" i="14"/>
  <c r="F136" i="14"/>
  <c r="F138" i="14"/>
  <c r="F134" i="14"/>
  <c r="F125" i="14"/>
  <c r="F124" i="14" s="1"/>
  <c r="F122" i="14"/>
  <c r="F120" i="14"/>
  <c r="F113" i="14"/>
  <c r="F110" i="14"/>
  <c r="F82" i="14"/>
  <c r="I45" i="14" s="1"/>
  <c r="H70" i="14"/>
  <c r="F70" i="14"/>
  <c r="H69" i="14"/>
  <c r="F69" i="14"/>
  <c r="G69" i="14"/>
  <c r="G71" i="14" s="1"/>
  <c r="F68" i="14"/>
  <c r="H68" i="14"/>
  <c r="G68" i="14"/>
  <c r="F66" i="14"/>
  <c r="H66" i="14"/>
  <c r="G66" i="14"/>
  <c r="F108" i="14" s="1"/>
  <c r="F44" i="14"/>
  <c r="J44" i="14" s="1"/>
  <c r="J10" i="14" s="1"/>
  <c r="N5" i="17" l="1"/>
  <c r="R5" i="17"/>
  <c r="H71" i="14"/>
  <c r="F71" i="14"/>
  <c r="L10" i="14"/>
  <c r="F146" i="7"/>
  <c r="G146" i="7"/>
  <c r="E146" i="7"/>
  <c r="F45" i="14"/>
  <c r="F121" i="14" s="1"/>
  <c r="I263" i="8"/>
  <c r="I264" i="8"/>
  <c r="I265" i="8"/>
  <c r="I266" i="8"/>
  <c r="I267" i="8"/>
  <c r="I268" i="8"/>
  <c r="I269" i="8"/>
  <c r="I270" i="8"/>
  <c r="I271" i="8"/>
  <c r="I272" i="8"/>
  <c r="I273" i="8"/>
  <c r="I274" i="8"/>
  <c r="I275" i="8"/>
  <c r="I276" i="8"/>
  <c r="I277" i="8"/>
  <c r="I278" i="8"/>
  <c r="I279" i="8"/>
  <c r="I280" i="8"/>
  <c r="I262" i="8"/>
  <c r="J263" i="8"/>
  <c r="J264" i="8"/>
  <c r="J265" i="8"/>
  <c r="J266" i="8"/>
  <c r="J267" i="8"/>
  <c r="J268" i="8"/>
  <c r="J269" i="8"/>
  <c r="J270" i="8"/>
  <c r="J272" i="8"/>
  <c r="J273" i="8"/>
  <c r="J274" i="8"/>
  <c r="J275" i="8"/>
  <c r="J276" i="8"/>
  <c r="J277" i="8"/>
  <c r="J278" i="8"/>
  <c r="J279" i="8"/>
  <c r="J280" i="8"/>
  <c r="J262" i="8"/>
  <c r="O5" i="17" l="1"/>
  <c r="Q5" i="17" s="1"/>
  <c r="K10" i="14"/>
  <c r="J45" i="14"/>
  <c r="J11" i="14" s="1"/>
  <c r="F109" i="14"/>
  <c r="F123" i="14"/>
  <c r="J63" i="17" l="1"/>
  <c r="F111" i="14"/>
  <c r="F112" i="14" s="1"/>
  <c r="F114" i="14" s="1"/>
  <c r="F127" i="14"/>
  <c r="F126" i="14"/>
  <c r="F186" i="8"/>
  <c r="G263" i="8"/>
  <c r="G264" i="8"/>
  <c r="G265" i="8"/>
  <c r="G266" i="8"/>
  <c r="G267" i="8"/>
  <c r="G268" i="8"/>
  <c r="G269" i="8"/>
  <c r="G270" i="8"/>
  <c r="G271" i="8"/>
  <c r="G272" i="8"/>
  <c r="G273" i="8"/>
  <c r="G274" i="8"/>
  <c r="G275" i="8"/>
  <c r="G276" i="8"/>
  <c r="G277" i="8"/>
  <c r="G278" i="8"/>
  <c r="G279" i="8"/>
  <c r="G280" i="8"/>
  <c r="G130" i="8"/>
  <c r="G111" i="8"/>
  <c r="N63" i="17" l="1"/>
  <c r="L63" i="17"/>
  <c r="O63" i="17"/>
  <c r="P63" i="17" s="1"/>
  <c r="I78" i="17"/>
  <c r="Q78" i="17" s="1"/>
  <c r="I20" i="17"/>
  <c r="I146" i="17"/>
  <c r="K146" i="17"/>
  <c r="N146" i="17" s="1"/>
  <c r="Q146" i="17" s="1"/>
  <c r="T146" i="17" s="1"/>
  <c r="K207" i="17"/>
  <c r="I16" i="17"/>
  <c r="I74" i="17"/>
  <c r="Q74" i="17" s="1"/>
  <c r="K142" i="17"/>
  <c r="N142" i="17" s="1"/>
  <c r="Q142" i="17" s="1"/>
  <c r="T142" i="17" s="1"/>
  <c r="I142" i="17"/>
  <c r="K203" i="17"/>
  <c r="I12" i="17"/>
  <c r="I70" i="17"/>
  <c r="K138" i="17"/>
  <c r="I138" i="17"/>
  <c r="K199" i="17"/>
  <c r="I8" i="17"/>
  <c r="I66" i="17"/>
  <c r="K134" i="17"/>
  <c r="I134" i="17"/>
  <c r="K195" i="17"/>
  <c r="I81" i="17"/>
  <c r="Q81" i="17" s="1"/>
  <c r="I23" i="17"/>
  <c r="I149" i="17"/>
  <c r="K149" i="17"/>
  <c r="N149" i="17" s="1"/>
  <c r="Q149" i="17" s="1"/>
  <c r="T149" i="17" s="1"/>
  <c r="K210" i="17"/>
  <c r="I19" i="17"/>
  <c r="I77" i="17"/>
  <c r="Q77" i="17" s="1"/>
  <c r="K145" i="17"/>
  <c r="N145" i="17" s="1"/>
  <c r="Q145" i="17" s="1"/>
  <c r="T145" i="17" s="1"/>
  <c r="I145" i="17"/>
  <c r="K206" i="17"/>
  <c r="I73" i="17"/>
  <c r="I15" i="17"/>
  <c r="I141" i="17"/>
  <c r="K141" i="17"/>
  <c r="K202" i="17"/>
  <c r="I11" i="17"/>
  <c r="I69" i="17"/>
  <c r="I137" i="17"/>
  <c r="K137" i="17"/>
  <c r="K198" i="17"/>
  <c r="I7" i="17"/>
  <c r="I65" i="17"/>
  <c r="I133" i="17"/>
  <c r="K133" i="17"/>
  <c r="K194" i="17"/>
  <c r="I22" i="17"/>
  <c r="I80" i="17"/>
  <c r="Q80" i="17" s="1"/>
  <c r="K148" i="17"/>
  <c r="N148" i="17" s="1"/>
  <c r="Q148" i="17" s="1"/>
  <c r="T148" i="17" s="1"/>
  <c r="I148" i="17"/>
  <c r="K209" i="17"/>
  <c r="I18" i="17"/>
  <c r="I76" i="17"/>
  <c r="Q76" i="17" s="1"/>
  <c r="I144" i="17"/>
  <c r="K144" i="17"/>
  <c r="N144" i="17" s="1"/>
  <c r="Q144" i="17" s="1"/>
  <c r="T144" i="17" s="1"/>
  <c r="K205" i="17"/>
  <c r="I14" i="17"/>
  <c r="I72" i="17"/>
  <c r="I140" i="17"/>
  <c r="K140" i="17"/>
  <c r="K201" i="17"/>
  <c r="I10" i="17"/>
  <c r="I68" i="17"/>
  <c r="I136" i="17"/>
  <c r="K136" i="17"/>
  <c r="K197" i="17"/>
  <c r="I6" i="17"/>
  <c r="I64" i="17"/>
  <c r="I132" i="17"/>
  <c r="K132" i="17"/>
  <c r="K193" i="17"/>
  <c r="I79" i="17"/>
  <c r="Q79" i="17" s="1"/>
  <c r="I21" i="17"/>
  <c r="K147" i="17"/>
  <c r="N147" i="17" s="1"/>
  <c r="Q147" i="17" s="1"/>
  <c r="T147" i="17" s="1"/>
  <c r="I147" i="17"/>
  <c r="K208" i="17"/>
  <c r="I75" i="17"/>
  <c r="Q75" i="17" s="1"/>
  <c r="I17" i="17"/>
  <c r="K143" i="17"/>
  <c r="N143" i="17" s="1"/>
  <c r="Q143" i="17" s="1"/>
  <c r="T143" i="17" s="1"/>
  <c r="I143" i="17"/>
  <c r="K204" i="17"/>
  <c r="I13" i="17"/>
  <c r="I71" i="17"/>
  <c r="K139" i="17"/>
  <c r="I139" i="17"/>
  <c r="K200" i="17"/>
  <c r="I9" i="17"/>
  <c r="I67" i="17"/>
  <c r="K135" i="17"/>
  <c r="I135" i="17"/>
  <c r="K196" i="17"/>
  <c r="E374" i="7"/>
  <c r="F374" i="7" s="1"/>
  <c r="E366" i="7"/>
  <c r="F366" i="7" s="1"/>
  <c r="E373" i="7"/>
  <c r="F373" i="7" s="1"/>
  <c r="E361" i="7"/>
  <c r="F361" i="7" s="1"/>
  <c r="E372" i="7"/>
  <c r="F372" i="7" s="1"/>
  <c r="E364" i="7"/>
  <c r="F364" i="7" s="1"/>
  <c r="E360" i="7"/>
  <c r="F360" i="7" s="1"/>
  <c r="E370" i="7"/>
  <c r="F370" i="7" s="1"/>
  <c r="E362" i="7"/>
  <c r="F362" i="7" s="1"/>
  <c r="E369" i="7"/>
  <c r="F369" i="7" s="1"/>
  <c r="E365" i="7"/>
  <c r="F365" i="7" s="1"/>
  <c r="E376" i="7"/>
  <c r="F376" i="7" s="1"/>
  <c r="E368" i="7"/>
  <c r="F368" i="7" s="1"/>
  <c r="E375" i="7"/>
  <c r="F375" i="7" s="1"/>
  <c r="E371" i="7"/>
  <c r="F371" i="7" s="1"/>
  <c r="E367" i="7"/>
  <c r="F367" i="7" s="1"/>
  <c r="E363" i="7"/>
  <c r="F363" i="7" s="1"/>
  <c r="E359" i="7"/>
  <c r="F359" i="7" s="1"/>
  <c r="G120" i="8"/>
  <c r="G129" i="8"/>
  <c r="G127" i="8"/>
  <c r="G125" i="8"/>
  <c r="G123" i="8"/>
  <c r="G121" i="8"/>
  <c r="G119" i="8"/>
  <c r="G117" i="8"/>
  <c r="G115" i="8"/>
  <c r="G113" i="8"/>
  <c r="G128" i="8"/>
  <c r="G126" i="8"/>
  <c r="G124" i="8"/>
  <c r="G122" i="8"/>
  <c r="G116" i="8"/>
  <c r="G114" i="8"/>
  <c r="G112" i="8"/>
  <c r="CC262" i="8"/>
  <c r="AU262" i="8"/>
  <c r="AS262" i="8"/>
  <c r="AQ262" i="8"/>
  <c r="BZ262" i="8"/>
  <c r="CP262" i="8"/>
  <c r="G118" i="8"/>
  <c r="F88" i="14"/>
  <c r="E257" i="7"/>
  <c r="E263" i="7"/>
  <c r="E262" i="7"/>
  <c r="E261" i="7"/>
  <c r="E260" i="7"/>
  <c r="E259" i="7"/>
  <c r="E258" i="7"/>
  <c r="E256" i="7"/>
  <c r="E255" i="7"/>
  <c r="Q63" i="17" l="1"/>
  <c r="M63" i="17"/>
  <c r="L139" i="17"/>
  <c r="O139" i="17" s="1"/>
  <c r="R139" i="17" s="1"/>
  <c r="U139" i="17" s="1"/>
  <c r="W139" i="17"/>
  <c r="AA139" i="17"/>
  <c r="AX139" i="17"/>
  <c r="M200" i="17"/>
  <c r="AU139" i="17"/>
  <c r="AT139" i="17"/>
  <c r="AQ200" i="17"/>
  <c r="Y139" i="17"/>
  <c r="AO139" i="17"/>
  <c r="AG139" i="17"/>
  <c r="AD139" i="17"/>
  <c r="X139" i="17"/>
  <c r="O200" i="17"/>
  <c r="Q200" i="17"/>
  <c r="AR139" i="17"/>
  <c r="R200" i="17"/>
  <c r="V139" i="17"/>
  <c r="V200" i="17"/>
  <c r="W200" i="17"/>
  <c r="AC139" i="17"/>
  <c r="AM139" i="17"/>
  <c r="AH139" i="17"/>
  <c r="AH200" i="17"/>
  <c r="AX200" i="17"/>
  <c r="AP200" i="17"/>
  <c r="AQ139" i="17"/>
  <c r="AJ200" i="17"/>
  <c r="AG200" i="17"/>
  <c r="AB200" i="17"/>
  <c r="X200" i="17"/>
  <c r="AR200" i="17"/>
  <c r="AV139" i="17"/>
  <c r="AV200" i="17"/>
  <c r="AW139" i="17"/>
  <c r="AN139" i="17"/>
  <c r="AN200" i="17"/>
  <c r="AD200" i="17"/>
  <c r="P200" i="17"/>
  <c r="AS139" i="17"/>
  <c r="T200" i="17"/>
  <c r="Y200" i="17"/>
  <c r="AB139" i="17"/>
  <c r="AW200" i="17"/>
  <c r="AC200" i="17"/>
  <c r="AA200" i="17"/>
  <c r="AU200" i="17"/>
  <c r="AT200" i="17"/>
  <c r="AJ139" i="17"/>
  <c r="U200" i="17"/>
  <c r="AM200" i="17"/>
  <c r="AI200" i="17"/>
  <c r="AS200" i="17"/>
  <c r="AO200" i="17"/>
  <c r="AY139" i="17"/>
  <c r="AL139" i="17"/>
  <c r="Z139" i="17"/>
  <c r="AP139" i="17"/>
  <c r="AK200" i="17"/>
  <c r="AF139" i="17"/>
  <c r="N200" i="17"/>
  <c r="AE139" i="17"/>
  <c r="AE200" i="17"/>
  <c r="L200" i="17"/>
  <c r="S200" i="17"/>
  <c r="AI139" i="17"/>
  <c r="AK139" i="17"/>
  <c r="AY200" i="17"/>
  <c r="AL200" i="17"/>
  <c r="AF200" i="17"/>
  <c r="Z200" i="17"/>
  <c r="N132" i="17"/>
  <c r="M132" i="17"/>
  <c r="L136" i="17"/>
  <c r="O136" i="17" s="1"/>
  <c r="R136" i="17" s="1"/>
  <c r="U136" i="17" s="1"/>
  <c r="V197" i="17"/>
  <c r="AH197" i="17"/>
  <c r="O197" i="17"/>
  <c r="AX136" i="17"/>
  <c r="AR197" i="17"/>
  <c r="AT197" i="17"/>
  <c r="AP136" i="17"/>
  <c r="AP197" i="17"/>
  <c r="AQ197" i="17"/>
  <c r="AJ136" i="17"/>
  <c r="Y197" i="17"/>
  <c r="AE197" i="17"/>
  <c r="AD197" i="17"/>
  <c r="AC197" i="17"/>
  <c r="AA197" i="17"/>
  <c r="X136" i="17"/>
  <c r="P197" i="17"/>
  <c r="AS136" i="17"/>
  <c r="AS197" i="17"/>
  <c r="AJ197" i="17"/>
  <c r="AD136" i="17"/>
  <c r="V136" i="17"/>
  <c r="W136" i="17"/>
  <c r="AM197" i="17"/>
  <c r="AA136" i="17"/>
  <c r="AH136" i="17"/>
  <c r="Q197" i="17"/>
  <c r="AU197" i="17"/>
  <c r="R197" i="17"/>
  <c r="Y136" i="17"/>
  <c r="AE136" i="17"/>
  <c r="AO136" i="17"/>
  <c r="AO197" i="17"/>
  <c r="AB136" i="17"/>
  <c r="U197" i="17"/>
  <c r="AM136" i="17"/>
  <c r="L197" i="17"/>
  <c r="AN197" i="17"/>
  <c r="X197" i="17"/>
  <c r="AX197" i="17"/>
  <c r="AT136" i="17"/>
  <c r="AG197" i="17"/>
  <c r="AV197" i="17"/>
  <c r="AW136" i="17"/>
  <c r="W197" i="17"/>
  <c r="AU136" i="17"/>
  <c r="AV136" i="17"/>
  <c r="S197" i="17"/>
  <c r="AR136" i="17"/>
  <c r="AQ136" i="17"/>
  <c r="AN136" i="17"/>
  <c r="AI136" i="17"/>
  <c r="AI197" i="17"/>
  <c r="AK136" i="17"/>
  <c r="AY197" i="17"/>
  <c r="AL136" i="17"/>
  <c r="AF197" i="17"/>
  <c r="AG136" i="17"/>
  <c r="AY136" i="17"/>
  <c r="AL197" i="17"/>
  <c r="N197" i="17"/>
  <c r="AC136" i="17"/>
  <c r="M197" i="17"/>
  <c r="T197" i="17"/>
  <c r="AB197" i="17"/>
  <c r="AF136" i="17"/>
  <c r="Z136" i="17"/>
  <c r="Z197" i="17"/>
  <c r="AW197" i="17"/>
  <c r="AK197" i="17"/>
  <c r="L148" i="17"/>
  <c r="O148" i="17" s="1"/>
  <c r="R148" i="17" s="1"/>
  <c r="U148" i="17" s="1"/>
  <c r="AD209" i="17"/>
  <c r="AM209" i="17"/>
  <c r="Q209" i="17"/>
  <c r="AU209" i="17"/>
  <c r="AT209" i="17"/>
  <c r="Y148" i="17"/>
  <c r="AE148" i="17"/>
  <c r="AO148" i="17"/>
  <c r="AO209" i="17"/>
  <c r="AG148" i="17"/>
  <c r="W209" i="17"/>
  <c r="AM148" i="17"/>
  <c r="X148" i="17"/>
  <c r="X209" i="17"/>
  <c r="AH148" i="17"/>
  <c r="AH209" i="17"/>
  <c r="M209" i="17"/>
  <c r="AR148" i="17"/>
  <c r="T209" i="17"/>
  <c r="AP148" i="17"/>
  <c r="AJ148" i="17"/>
  <c r="V209" i="17"/>
  <c r="W148" i="17"/>
  <c r="AC209" i="17"/>
  <c r="AA209" i="17"/>
  <c r="P209" i="17"/>
  <c r="AS209" i="17"/>
  <c r="AU148" i="17"/>
  <c r="AT148" i="17"/>
  <c r="AJ209" i="17"/>
  <c r="AA148" i="17"/>
  <c r="AX209" i="17"/>
  <c r="R209" i="17"/>
  <c r="Y209" i="17"/>
  <c r="AB209" i="17"/>
  <c r="S209" i="17"/>
  <c r="AW148" i="17"/>
  <c r="AI148" i="17"/>
  <c r="AI209" i="17"/>
  <c r="AD148" i="17"/>
  <c r="AR209" i="17"/>
  <c r="AQ148" i="17"/>
  <c r="AQ209" i="17"/>
  <c r="AE209" i="17"/>
  <c r="L209" i="17"/>
  <c r="AN209" i="17"/>
  <c r="V148" i="17"/>
  <c r="O209" i="17"/>
  <c r="AX148" i="17"/>
  <c r="AG209" i="17"/>
  <c r="AB148" i="17"/>
  <c r="U209" i="17"/>
  <c r="AV148" i="17"/>
  <c r="AW209" i="17"/>
  <c r="AS148" i="17"/>
  <c r="AK148" i="17"/>
  <c r="AK209" i="17"/>
  <c r="N209" i="17"/>
  <c r="Z148" i="17"/>
  <c r="AC148" i="17"/>
  <c r="AV209" i="17"/>
  <c r="AY148" i="17"/>
  <c r="AY209" i="17"/>
  <c r="AL209" i="17"/>
  <c r="AF148" i="17"/>
  <c r="AF209" i="17"/>
  <c r="AL148" i="17"/>
  <c r="AP209" i="17"/>
  <c r="AN148" i="17"/>
  <c r="Z209" i="17"/>
  <c r="L133" i="17"/>
  <c r="O133" i="17" s="1"/>
  <c r="R133" i="17" s="1"/>
  <c r="V133" i="17"/>
  <c r="AA133" i="17"/>
  <c r="O194" i="17"/>
  <c r="P194" i="17"/>
  <c r="AS133" i="17"/>
  <c r="AU194" i="17"/>
  <c r="AP194" i="17"/>
  <c r="AQ194" i="17"/>
  <c r="AJ194" i="17"/>
  <c r="Y133" i="17"/>
  <c r="AO133" i="17"/>
  <c r="AG133" i="17"/>
  <c r="V194" i="17"/>
  <c r="AM133" i="17"/>
  <c r="AM194" i="17"/>
  <c r="AA194" i="17"/>
  <c r="X194" i="17"/>
  <c r="AH194" i="17"/>
  <c r="AX133" i="17"/>
  <c r="M194" i="17"/>
  <c r="T194" i="17"/>
  <c r="AT194" i="17"/>
  <c r="AQ133" i="17"/>
  <c r="AJ133" i="17"/>
  <c r="W133" i="17"/>
  <c r="W194" i="17"/>
  <c r="AC133" i="17"/>
  <c r="AH133" i="17"/>
  <c r="AS194" i="17"/>
  <c r="AU133" i="17"/>
  <c r="AT133" i="17"/>
  <c r="AP133" i="17"/>
  <c r="AE133" i="17"/>
  <c r="AE194" i="17"/>
  <c r="AB133" i="17"/>
  <c r="AD133" i="17"/>
  <c r="AR194" i="17"/>
  <c r="Y194" i="17"/>
  <c r="Q194" i="17"/>
  <c r="AR133" i="17"/>
  <c r="AB194" i="17"/>
  <c r="L194" i="17"/>
  <c r="S194" i="17"/>
  <c r="AW133" i="17"/>
  <c r="AN194" i="17"/>
  <c r="AI194" i="17"/>
  <c r="AD194" i="17"/>
  <c r="X133" i="17"/>
  <c r="AX194" i="17"/>
  <c r="R194" i="17"/>
  <c r="AG194" i="17"/>
  <c r="U133" i="17"/>
  <c r="AW194" i="17"/>
  <c r="AC194" i="17"/>
  <c r="AV194" i="17"/>
  <c r="AL194" i="17"/>
  <c r="AF133" i="17"/>
  <c r="AI133" i="17"/>
  <c r="AK133" i="17"/>
  <c r="AY194" i="17"/>
  <c r="AL133" i="17"/>
  <c r="Z194" i="17"/>
  <c r="AO194" i="17"/>
  <c r="AV133" i="17"/>
  <c r="AK194" i="17"/>
  <c r="AY133" i="17"/>
  <c r="AF194" i="17"/>
  <c r="Z133" i="17"/>
  <c r="U194" i="17"/>
  <c r="AN133" i="17"/>
  <c r="N194" i="17"/>
  <c r="L145" i="17"/>
  <c r="O145" i="17" s="1"/>
  <c r="R145" i="17" s="1"/>
  <c r="U145" i="17" s="1"/>
  <c r="V145" i="17"/>
  <c r="W206" i="17"/>
  <c r="AC145" i="17"/>
  <c r="AC206" i="17"/>
  <c r="AH145" i="17"/>
  <c r="Q206" i="17"/>
  <c r="AS206" i="17"/>
  <c r="AT145" i="17"/>
  <c r="AP145" i="17"/>
  <c r="Y145" i="17"/>
  <c r="AE145" i="17"/>
  <c r="AE206" i="17"/>
  <c r="AO145" i="17"/>
  <c r="AO206" i="17"/>
  <c r="AD145" i="17"/>
  <c r="AD206" i="17"/>
  <c r="AM145" i="17"/>
  <c r="X145" i="17"/>
  <c r="AX206" i="17"/>
  <c r="AR145" i="17"/>
  <c r="AR206" i="17"/>
  <c r="AS145" i="17"/>
  <c r="AU145" i="17"/>
  <c r="R206" i="17"/>
  <c r="AJ145" i="17"/>
  <c r="V206" i="17"/>
  <c r="W145" i="17"/>
  <c r="AM206" i="17"/>
  <c r="AA145" i="17"/>
  <c r="AA206" i="17"/>
  <c r="X206" i="17"/>
  <c r="AH206" i="17"/>
  <c r="M206" i="17"/>
  <c r="T206" i="17"/>
  <c r="AT206" i="17"/>
  <c r="AG206" i="17"/>
  <c r="AX145" i="17"/>
  <c r="AP206" i="17"/>
  <c r="U206" i="17"/>
  <c r="AN145" i="17"/>
  <c r="AQ145" i="17"/>
  <c r="AG145" i="17"/>
  <c r="AI145" i="17"/>
  <c r="O206" i="17"/>
  <c r="P206" i="17"/>
  <c r="AB206" i="17"/>
  <c r="AV206" i="17"/>
  <c r="AW206" i="17"/>
  <c r="AU206" i="17"/>
  <c r="AQ206" i="17"/>
  <c r="S206" i="17"/>
  <c r="AW145" i="17"/>
  <c r="AN206" i="17"/>
  <c r="AF145" i="17"/>
  <c r="N206" i="17"/>
  <c r="Z145" i="17"/>
  <c r="AJ206" i="17"/>
  <c r="Y206" i="17"/>
  <c r="AK145" i="17"/>
  <c r="AK206" i="17"/>
  <c r="AL145" i="17"/>
  <c r="AL206" i="17"/>
  <c r="AV145" i="17"/>
  <c r="L206" i="17"/>
  <c r="AY206" i="17"/>
  <c r="Z206" i="17"/>
  <c r="AB145" i="17"/>
  <c r="AI206" i="17"/>
  <c r="AY145" i="17"/>
  <c r="AF206" i="17"/>
  <c r="L149" i="17"/>
  <c r="O149" i="17" s="1"/>
  <c r="R149" i="17" s="1"/>
  <c r="U149" i="17" s="1"/>
  <c r="AC149" i="17"/>
  <c r="O210" i="17"/>
  <c r="Q210" i="17"/>
  <c r="P210" i="17"/>
  <c r="AS149" i="17"/>
  <c r="AU210" i="17"/>
  <c r="AP210" i="17"/>
  <c r="AQ149" i="17"/>
  <c r="AQ210" i="17"/>
  <c r="AJ210" i="17"/>
  <c r="Y149" i="17"/>
  <c r="Y210" i="17"/>
  <c r="AE149" i="17"/>
  <c r="AO149" i="17"/>
  <c r="AO210" i="17"/>
  <c r="AD149" i="17"/>
  <c r="V149" i="17"/>
  <c r="V210" i="17"/>
  <c r="W149" i="17"/>
  <c r="AM210" i="17"/>
  <c r="AA149" i="17"/>
  <c r="AA210" i="17"/>
  <c r="X210" i="17"/>
  <c r="AH210" i="17"/>
  <c r="T210" i="17"/>
  <c r="AU149" i="17"/>
  <c r="AT210" i="17"/>
  <c r="W210" i="17"/>
  <c r="AC210" i="17"/>
  <c r="AH149" i="17"/>
  <c r="AX149" i="17"/>
  <c r="AP149" i="17"/>
  <c r="AE210" i="17"/>
  <c r="AG149" i="17"/>
  <c r="AM149" i="17"/>
  <c r="AW149" i="17"/>
  <c r="AI149" i="17"/>
  <c r="AS210" i="17"/>
  <c r="AB149" i="17"/>
  <c r="U210" i="17"/>
  <c r="AV149" i="17"/>
  <c r="L210" i="17"/>
  <c r="S210" i="17"/>
  <c r="AN210" i="17"/>
  <c r="AI210" i="17"/>
  <c r="X149" i="17"/>
  <c r="AR149" i="17"/>
  <c r="AR210" i="17"/>
  <c r="AT149" i="17"/>
  <c r="AB210" i="17"/>
  <c r="AL149" i="17"/>
  <c r="AL210" i="17"/>
  <c r="AD210" i="17"/>
  <c r="AG210" i="17"/>
  <c r="AK210" i="17"/>
  <c r="AY210" i="17"/>
  <c r="Z210" i="17"/>
  <c r="AX210" i="17"/>
  <c r="R210" i="17"/>
  <c r="AW210" i="17"/>
  <c r="AY149" i="17"/>
  <c r="AF210" i="17"/>
  <c r="Z149" i="17"/>
  <c r="M210" i="17"/>
  <c r="AJ149" i="17"/>
  <c r="AV210" i="17"/>
  <c r="AN149" i="17"/>
  <c r="AK149" i="17"/>
  <c r="AF149" i="17"/>
  <c r="N210" i="17"/>
  <c r="L142" i="17"/>
  <c r="O142" i="17" s="1"/>
  <c r="R142" i="17" s="1"/>
  <c r="U142" i="17" s="1"/>
  <c r="AD203" i="17"/>
  <c r="W203" i="17"/>
  <c r="AC203" i="17"/>
  <c r="AA142" i="17"/>
  <c r="AH203" i="17"/>
  <c r="AX142" i="17"/>
  <c r="P203" i="17"/>
  <c r="AR142" i="17"/>
  <c r="AU203" i="17"/>
  <c r="AT142" i="17"/>
  <c r="AT203" i="17"/>
  <c r="AD142" i="17"/>
  <c r="V142" i="17"/>
  <c r="W142" i="17"/>
  <c r="AM203" i="17"/>
  <c r="O203" i="17"/>
  <c r="AP142" i="17"/>
  <c r="AQ142" i="17"/>
  <c r="AQ203" i="17"/>
  <c r="AJ142" i="17"/>
  <c r="Y142" i="17"/>
  <c r="AC142" i="17"/>
  <c r="X142" i="17"/>
  <c r="X203" i="17"/>
  <c r="AX203" i="17"/>
  <c r="Q203" i="17"/>
  <c r="AR203" i="17"/>
  <c r="AS142" i="17"/>
  <c r="T203" i="17"/>
  <c r="AP203" i="17"/>
  <c r="AE142" i="17"/>
  <c r="AO142" i="17"/>
  <c r="AA203" i="17"/>
  <c r="M203" i="17"/>
  <c r="AG142" i="17"/>
  <c r="AB203" i="17"/>
  <c r="L203" i="17"/>
  <c r="AN142" i="17"/>
  <c r="AJ203" i="17"/>
  <c r="AV142" i="17"/>
  <c r="AW142" i="17"/>
  <c r="AI142" i="17"/>
  <c r="AH142" i="17"/>
  <c r="AU142" i="17"/>
  <c r="AE203" i="17"/>
  <c r="AB142" i="17"/>
  <c r="S203" i="17"/>
  <c r="AS203" i="17"/>
  <c r="AI203" i="17"/>
  <c r="AF203" i="17"/>
  <c r="AG203" i="17"/>
  <c r="AW203" i="17"/>
  <c r="AN203" i="17"/>
  <c r="AK203" i="17"/>
  <c r="AF142" i="17"/>
  <c r="N203" i="17"/>
  <c r="AM142" i="17"/>
  <c r="AK142" i="17"/>
  <c r="AY142" i="17"/>
  <c r="Z142" i="17"/>
  <c r="Z203" i="17"/>
  <c r="V203" i="17"/>
  <c r="R203" i="17"/>
  <c r="Y203" i="17"/>
  <c r="AO203" i="17"/>
  <c r="U203" i="17"/>
  <c r="AV203" i="17"/>
  <c r="AY203" i="17"/>
  <c r="AL142" i="17"/>
  <c r="AL203" i="17"/>
  <c r="L146" i="17"/>
  <c r="O146" i="17" s="1"/>
  <c r="R146" i="17" s="1"/>
  <c r="U146" i="17" s="1"/>
  <c r="AD146" i="17"/>
  <c r="V207" i="17"/>
  <c r="AA207" i="17"/>
  <c r="M207" i="17"/>
  <c r="AR146" i="17"/>
  <c r="AR207" i="17"/>
  <c r="AS207" i="17"/>
  <c r="T207" i="17"/>
  <c r="R207" i="17"/>
  <c r="Y207" i="17"/>
  <c r="AE207" i="17"/>
  <c r="AO207" i="17"/>
  <c r="W146" i="17"/>
  <c r="AC146" i="17"/>
  <c r="AA146" i="17"/>
  <c r="X207" i="17"/>
  <c r="AX207" i="17"/>
  <c r="Q207" i="17"/>
  <c r="AS146" i="17"/>
  <c r="AT146" i="17"/>
  <c r="AP207" i="17"/>
  <c r="AQ146" i="17"/>
  <c r="AJ207" i="17"/>
  <c r="AD207" i="17"/>
  <c r="V146" i="17"/>
  <c r="W207" i="17"/>
  <c r="AC207" i="17"/>
  <c r="AH146" i="17"/>
  <c r="AH207" i="17"/>
  <c r="AX146" i="17"/>
  <c r="P207" i="17"/>
  <c r="AU207" i="17"/>
  <c r="AT207" i="17"/>
  <c r="AP146" i="17"/>
  <c r="AJ146" i="17"/>
  <c r="AE146" i="17"/>
  <c r="AU146" i="17"/>
  <c r="AQ207" i="17"/>
  <c r="AG146" i="17"/>
  <c r="AV207" i="17"/>
  <c r="AN207" i="17"/>
  <c r="O207" i="17"/>
  <c r="Y146" i="17"/>
  <c r="AG207" i="17"/>
  <c r="U207" i="17"/>
  <c r="AV146" i="17"/>
  <c r="L207" i="17"/>
  <c r="AW146" i="17"/>
  <c r="AW207" i="17"/>
  <c r="AI146" i="17"/>
  <c r="AM146" i="17"/>
  <c r="AM207" i="17"/>
  <c r="X146" i="17"/>
  <c r="AO146" i="17"/>
  <c r="AK207" i="17"/>
  <c r="N207" i="17"/>
  <c r="AK146" i="17"/>
  <c r="AL146" i="17"/>
  <c r="Z207" i="17"/>
  <c r="S207" i="17"/>
  <c r="AN146" i="17"/>
  <c r="AY207" i="17"/>
  <c r="AL207" i="17"/>
  <c r="AF207" i="17"/>
  <c r="Z146" i="17"/>
  <c r="AB146" i="17"/>
  <c r="AB207" i="17"/>
  <c r="AI207" i="17"/>
  <c r="AY146" i="17"/>
  <c r="AF146" i="17"/>
  <c r="L135" i="17"/>
  <c r="O135" i="17" s="1"/>
  <c r="R135" i="17" s="1"/>
  <c r="U135" i="17" s="1"/>
  <c r="AD135" i="17"/>
  <c r="V196" i="17"/>
  <c r="AC135" i="17"/>
  <c r="AM135" i="17"/>
  <c r="AH196" i="17"/>
  <c r="AX196" i="17"/>
  <c r="AU196" i="17"/>
  <c r="AP196" i="17"/>
  <c r="AQ135" i="17"/>
  <c r="AJ196" i="17"/>
  <c r="AD196" i="17"/>
  <c r="AC196" i="17"/>
  <c r="AA196" i="17"/>
  <c r="X196" i="17"/>
  <c r="P196" i="17"/>
  <c r="AR196" i="17"/>
  <c r="AS135" i="17"/>
  <c r="AS196" i="17"/>
  <c r="T196" i="17"/>
  <c r="AT196" i="17"/>
  <c r="AP135" i="17"/>
  <c r="AJ135" i="17"/>
  <c r="V135" i="17"/>
  <c r="AM196" i="17"/>
  <c r="X135" i="17"/>
  <c r="AH135" i="17"/>
  <c r="O196" i="17"/>
  <c r="Q196" i="17"/>
  <c r="AR135" i="17"/>
  <c r="R196" i="17"/>
  <c r="AQ196" i="17"/>
  <c r="Y196" i="17"/>
  <c r="AE135" i="17"/>
  <c r="AE196" i="17"/>
  <c r="AB135" i="17"/>
  <c r="U196" i="17"/>
  <c r="AX135" i="17"/>
  <c r="M196" i="17"/>
  <c r="AG135" i="17"/>
  <c r="AI135" i="17"/>
  <c r="Y135" i="17"/>
  <c r="AV135" i="17"/>
  <c r="AV196" i="17"/>
  <c r="AW135" i="17"/>
  <c r="AN135" i="17"/>
  <c r="AN196" i="17"/>
  <c r="AA135" i="17"/>
  <c r="AO196" i="17"/>
  <c r="AG196" i="17"/>
  <c r="L196" i="17"/>
  <c r="S196" i="17"/>
  <c r="AK135" i="17"/>
  <c r="AY196" i="17"/>
  <c r="AL196" i="17"/>
  <c r="AF196" i="17"/>
  <c r="Z196" i="17"/>
  <c r="AU135" i="17"/>
  <c r="AW196" i="17"/>
  <c r="Z135" i="17"/>
  <c r="W135" i="17"/>
  <c r="W196" i="17"/>
  <c r="AO135" i="17"/>
  <c r="AB196" i="17"/>
  <c r="AI196" i="17"/>
  <c r="AY135" i="17"/>
  <c r="AL135" i="17"/>
  <c r="AT135" i="17"/>
  <c r="AK196" i="17"/>
  <c r="AF135" i="17"/>
  <c r="N196" i="17"/>
  <c r="N139" i="17"/>
  <c r="Q139" i="17" s="1"/>
  <c r="T139" i="17" s="1"/>
  <c r="M139" i="17"/>
  <c r="P139" i="17" s="1"/>
  <c r="S139" i="17" s="1"/>
  <c r="L132" i="17"/>
  <c r="W132" i="17"/>
  <c r="AM193" i="17"/>
  <c r="AH132" i="17"/>
  <c r="Q193" i="17"/>
  <c r="AS132" i="17"/>
  <c r="T193" i="17"/>
  <c r="AU193" i="17"/>
  <c r="AU132" i="17"/>
  <c r="AT132" i="17"/>
  <c r="AP132" i="17"/>
  <c r="AE132" i="17"/>
  <c r="AO132" i="17"/>
  <c r="AO193" i="17"/>
  <c r="AD132" i="17"/>
  <c r="V193" i="17"/>
  <c r="W193" i="17"/>
  <c r="AX193" i="17"/>
  <c r="P193" i="17"/>
  <c r="M193" i="17"/>
  <c r="AR132" i="17"/>
  <c r="AP193" i="17"/>
  <c r="AC132" i="17"/>
  <c r="AC193" i="17"/>
  <c r="AM132" i="17"/>
  <c r="AA193" i="17"/>
  <c r="X132" i="17"/>
  <c r="AH193" i="17"/>
  <c r="AX132" i="17"/>
  <c r="AS193" i="17"/>
  <c r="R193" i="17"/>
  <c r="AQ132" i="17"/>
  <c r="AJ193" i="17"/>
  <c r="Y132" i="17"/>
  <c r="O193" i="17"/>
  <c r="AV132" i="17"/>
  <c r="S193" i="17"/>
  <c r="AI132" i="17"/>
  <c r="AI193" i="17"/>
  <c r="AD193" i="17"/>
  <c r="AJ132" i="17"/>
  <c r="AB132" i="17"/>
  <c r="AN193" i="17"/>
  <c r="X193" i="17"/>
  <c r="AT193" i="17"/>
  <c r="AE193" i="17"/>
  <c r="AG132" i="17"/>
  <c r="AB193" i="17"/>
  <c r="L193" i="17"/>
  <c r="AW193" i="17"/>
  <c r="Y193" i="17"/>
  <c r="AK193" i="17"/>
  <c r="AK132" i="17"/>
  <c r="AL193" i="17"/>
  <c r="Z193" i="17"/>
  <c r="U193" i="17"/>
  <c r="AW132" i="17"/>
  <c r="AN132" i="17"/>
  <c r="AY193" i="17"/>
  <c r="AF193" i="17"/>
  <c r="V132" i="17"/>
  <c r="AR193" i="17"/>
  <c r="AQ193" i="17"/>
  <c r="U132" i="17"/>
  <c r="AV193" i="17"/>
  <c r="AL132" i="17"/>
  <c r="N193" i="17"/>
  <c r="AA132" i="17"/>
  <c r="AG193" i="17"/>
  <c r="AY132" i="17"/>
  <c r="AF132" i="17"/>
  <c r="Z132" i="17"/>
  <c r="N141" i="17"/>
  <c r="Q141" i="17" s="1"/>
  <c r="T141" i="17" s="1"/>
  <c r="M141" i="17"/>
  <c r="P141" i="17" s="1"/>
  <c r="S141" i="17" s="1"/>
  <c r="L138" i="17"/>
  <c r="O138" i="17" s="1"/>
  <c r="R138" i="17" s="1"/>
  <c r="U138" i="17" s="1"/>
  <c r="X138" i="17"/>
  <c r="AX199" i="17"/>
  <c r="Q199" i="17"/>
  <c r="AP199" i="17"/>
  <c r="AJ199" i="17"/>
  <c r="Y138" i="17"/>
  <c r="AE138" i="17"/>
  <c r="V199" i="17"/>
  <c r="AM138" i="17"/>
  <c r="AA199" i="17"/>
  <c r="AH138" i="17"/>
  <c r="M199" i="17"/>
  <c r="AR199" i="17"/>
  <c r="AS199" i="17"/>
  <c r="AU138" i="17"/>
  <c r="R199" i="17"/>
  <c r="Y199" i="17"/>
  <c r="AD138" i="17"/>
  <c r="V138" i="17"/>
  <c r="W138" i="17"/>
  <c r="AC138" i="17"/>
  <c r="AM199" i="17"/>
  <c r="X199" i="17"/>
  <c r="O199" i="17"/>
  <c r="AS138" i="17"/>
  <c r="T199" i="17"/>
  <c r="AP138" i="17"/>
  <c r="AQ138" i="17"/>
  <c r="AQ199" i="17"/>
  <c r="AJ138" i="17"/>
  <c r="AG138" i="17"/>
  <c r="AG199" i="17"/>
  <c r="AB138" i="17"/>
  <c r="AB199" i="17"/>
  <c r="AD199" i="17"/>
  <c r="AU199" i="17"/>
  <c r="AT138" i="17"/>
  <c r="AE199" i="17"/>
  <c r="AO138" i="17"/>
  <c r="S199" i="17"/>
  <c r="AW138" i="17"/>
  <c r="AI199" i="17"/>
  <c r="W199" i="17"/>
  <c r="AA138" i="17"/>
  <c r="AN138" i="17"/>
  <c r="AC199" i="17"/>
  <c r="AH199" i="17"/>
  <c r="AX138" i="17"/>
  <c r="P199" i="17"/>
  <c r="AR138" i="17"/>
  <c r="AO199" i="17"/>
  <c r="U199" i="17"/>
  <c r="L199" i="17"/>
  <c r="AW199" i="17"/>
  <c r="AV199" i="17"/>
  <c r="AY199" i="17"/>
  <c r="AL138" i="17"/>
  <c r="AL199" i="17"/>
  <c r="AV138" i="17"/>
  <c r="AF199" i="17"/>
  <c r="AT199" i="17"/>
  <c r="AI138" i="17"/>
  <c r="AK199" i="17"/>
  <c r="AF138" i="17"/>
  <c r="N199" i="17"/>
  <c r="AN199" i="17"/>
  <c r="AK138" i="17"/>
  <c r="AY138" i="17"/>
  <c r="Z138" i="17"/>
  <c r="Z199" i="17"/>
  <c r="N135" i="17"/>
  <c r="Q135" i="17" s="1"/>
  <c r="T135" i="17" s="1"/>
  <c r="M135" i="17"/>
  <c r="P135" i="17" s="1"/>
  <c r="S135" i="17" s="1"/>
  <c r="L147" i="17"/>
  <c r="O147" i="17" s="1"/>
  <c r="R147" i="17" s="1"/>
  <c r="U147" i="17" s="1"/>
  <c r="AM147" i="17"/>
  <c r="AH147" i="17"/>
  <c r="Q208" i="17"/>
  <c r="AU147" i="17"/>
  <c r="R208" i="17"/>
  <c r="Y208" i="17"/>
  <c r="AE208" i="17"/>
  <c r="AC147" i="17"/>
  <c r="AA147" i="17"/>
  <c r="X147" i="17"/>
  <c r="M208" i="17"/>
  <c r="AU208" i="17"/>
  <c r="AT147" i="17"/>
  <c r="AQ208" i="17"/>
  <c r="Y147" i="17"/>
  <c r="AD147" i="17"/>
  <c r="AD208" i="17"/>
  <c r="V147" i="17"/>
  <c r="AC208" i="17"/>
  <c r="AM208" i="17"/>
  <c r="AA208" i="17"/>
  <c r="X208" i="17"/>
  <c r="AX147" i="17"/>
  <c r="P208" i="17"/>
  <c r="AR208" i="17"/>
  <c r="AS147" i="17"/>
  <c r="AS208" i="17"/>
  <c r="T208" i="17"/>
  <c r="AT208" i="17"/>
  <c r="AP147" i="17"/>
  <c r="AO208" i="17"/>
  <c r="AH208" i="17"/>
  <c r="AX208" i="17"/>
  <c r="AR147" i="17"/>
  <c r="AJ208" i="17"/>
  <c r="AE147" i="17"/>
  <c r="AG147" i="17"/>
  <c r="AB147" i="17"/>
  <c r="AB208" i="17"/>
  <c r="L208" i="17"/>
  <c r="S208" i="17"/>
  <c r="AN147" i="17"/>
  <c r="W147" i="17"/>
  <c r="W208" i="17"/>
  <c r="AO147" i="17"/>
  <c r="AG208" i="17"/>
  <c r="U208" i="17"/>
  <c r="AV147" i="17"/>
  <c r="AI147" i="17"/>
  <c r="AI208" i="17"/>
  <c r="V208" i="17"/>
  <c r="AQ147" i="17"/>
  <c r="AJ147" i="17"/>
  <c r="AW208" i="17"/>
  <c r="O208" i="17"/>
  <c r="AN208" i="17"/>
  <c r="AK208" i="17"/>
  <c r="N208" i="17"/>
  <c r="AP208" i="17"/>
  <c r="AV208" i="17"/>
  <c r="AY208" i="17"/>
  <c r="AL147" i="17"/>
  <c r="AL208" i="17"/>
  <c r="AF208" i="17"/>
  <c r="Z208" i="17"/>
  <c r="AW147" i="17"/>
  <c r="AK147" i="17"/>
  <c r="AF147" i="17"/>
  <c r="Z147" i="17"/>
  <c r="AY147" i="17"/>
  <c r="N140" i="17"/>
  <c r="Q140" i="17" s="1"/>
  <c r="T140" i="17" s="1"/>
  <c r="M140" i="17"/>
  <c r="P140" i="17" s="1"/>
  <c r="S140" i="17" s="1"/>
  <c r="L144" i="17"/>
  <c r="O144" i="17" s="1"/>
  <c r="R144" i="17" s="1"/>
  <c r="U144" i="17" s="1"/>
  <c r="W144" i="17"/>
  <c r="AC205" i="17"/>
  <c r="AA205" i="17"/>
  <c r="P205" i="17"/>
  <c r="AR144" i="17"/>
  <c r="AS205" i="17"/>
  <c r="AU144" i="17"/>
  <c r="AT144" i="17"/>
  <c r="AJ205" i="17"/>
  <c r="AD144" i="17"/>
  <c r="AA144" i="17"/>
  <c r="X144" i="17"/>
  <c r="O205" i="17"/>
  <c r="AX144" i="17"/>
  <c r="AX205" i="17"/>
  <c r="AR205" i="17"/>
  <c r="AQ144" i="17"/>
  <c r="AQ205" i="17"/>
  <c r="AJ144" i="17"/>
  <c r="AD205" i="17"/>
  <c r="W205" i="17"/>
  <c r="AM144" i="17"/>
  <c r="X205" i="17"/>
  <c r="AH205" i="17"/>
  <c r="M205" i="17"/>
  <c r="AS144" i="17"/>
  <c r="T205" i="17"/>
  <c r="AT205" i="17"/>
  <c r="Y144" i="17"/>
  <c r="AO144" i="17"/>
  <c r="AG144" i="17"/>
  <c r="AV144" i="17"/>
  <c r="V205" i="17"/>
  <c r="AC144" i="17"/>
  <c r="AH144" i="17"/>
  <c r="AG205" i="17"/>
  <c r="U205" i="17"/>
  <c r="AW205" i="17"/>
  <c r="V144" i="17"/>
  <c r="AM205" i="17"/>
  <c r="Q205" i="17"/>
  <c r="AP144" i="17"/>
  <c r="Y205" i="17"/>
  <c r="AB205" i="17"/>
  <c r="S205" i="17"/>
  <c r="AI144" i="17"/>
  <c r="AI205" i="17"/>
  <c r="AP205" i="17"/>
  <c r="R205" i="17"/>
  <c r="AE144" i="17"/>
  <c r="AB144" i="17"/>
  <c r="AV205" i="17"/>
  <c r="AW144" i="17"/>
  <c r="AO205" i="17"/>
  <c r="L205" i="17"/>
  <c r="AN205" i="17"/>
  <c r="AF144" i="17"/>
  <c r="Z205" i="17"/>
  <c r="AK205" i="17"/>
  <c r="Z144" i="17"/>
  <c r="AK144" i="17"/>
  <c r="AY144" i="17"/>
  <c r="AY205" i="17"/>
  <c r="AL144" i="17"/>
  <c r="AL205" i="17"/>
  <c r="AF205" i="17"/>
  <c r="N205" i="17"/>
  <c r="AU205" i="17"/>
  <c r="AE205" i="17"/>
  <c r="AN144" i="17"/>
  <c r="N137" i="17"/>
  <c r="Q137" i="17" s="1"/>
  <c r="T137" i="17" s="1"/>
  <c r="M137" i="17"/>
  <c r="P137" i="17" s="1"/>
  <c r="S137" i="17" s="1"/>
  <c r="L141" i="17"/>
  <c r="O141" i="17" s="1"/>
  <c r="R141" i="17" s="1"/>
  <c r="U141" i="17" s="1"/>
  <c r="AD141" i="17"/>
  <c r="V202" i="17"/>
  <c r="W141" i="17"/>
  <c r="AM202" i="17"/>
  <c r="AA202" i="17"/>
  <c r="X141" i="17"/>
  <c r="X202" i="17"/>
  <c r="AH202" i="17"/>
  <c r="T202" i="17"/>
  <c r="AT202" i="17"/>
  <c r="V141" i="17"/>
  <c r="AA141" i="17"/>
  <c r="O202" i="17"/>
  <c r="AX141" i="17"/>
  <c r="Q202" i="17"/>
  <c r="P202" i="17"/>
  <c r="AS141" i="17"/>
  <c r="AU202" i="17"/>
  <c r="AT141" i="17"/>
  <c r="AP202" i="17"/>
  <c r="AQ141" i="17"/>
  <c r="AQ202" i="17"/>
  <c r="AJ202" i="17"/>
  <c r="Y141" i="17"/>
  <c r="AD202" i="17"/>
  <c r="AC202" i="17"/>
  <c r="AM141" i="17"/>
  <c r="AH141" i="17"/>
  <c r="AX202" i="17"/>
  <c r="M202" i="17"/>
  <c r="AR202" i="17"/>
  <c r="AS202" i="17"/>
  <c r="AU141" i="17"/>
  <c r="AP141" i="17"/>
  <c r="R202" i="17"/>
  <c r="Y202" i="17"/>
  <c r="AB141" i="17"/>
  <c r="AB202" i="17"/>
  <c r="W202" i="17"/>
  <c r="AJ141" i="17"/>
  <c r="AG202" i="17"/>
  <c r="AV202" i="17"/>
  <c r="AO202" i="17"/>
  <c r="AG141" i="17"/>
  <c r="AI141" i="17"/>
  <c r="AC141" i="17"/>
  <c r="AR141" i="17"/>
  <c r="AE141" i="17"/>
  <c r="AE202" i="17"/>
  <c r="AO141" i="17"/>
  <c r="U202" i="17"/>
  <c r="AV141" i="17"/>
  <c r="L202" i="17"/>
  <c r="S202" i="17"/>
  <c r="AW141" i="17"/>
  <c r="AI202" i="17"/>
  <c r="AF202" i="17"/>
  <c r="AN202" i="17"/>
  <c r="AK202" i="17"/>
  <c r="N202" i="17"/>
  <c r="Z141" i="17"/>
  <c r="AN141" i="17"/>
  <c r="AL202" i="17"/>
  <c r="AF141" i="17"/>
  <c r="AW202" i="17"/>
  <c r="AK141" i="17"/>
  <c r="AY141" i="17"/>
  <c r="AY202" i="17"/>
  <c r="AL141" i="17"/>
  <c r="Z202" i="17"/>
  <c r="L134" i="17"/>
  <c r="O134" i="17" s="1"/>
  <c r="R134" i="17" s="1"/>
  <c r="U134" i="17" s="1"/>
  <c r="AD134" i="17"/>
  <c r="V134" i="17"/>
  <c r="W134" i="17"/>
  <c r="AC134" i="17"/>
  <c r="AM195" i="17"/>
  <c r="X134" i="17"/>
  <c r="O195" i="17"/>
  <c r="AS134" i="17"/>
  <c r="AP134" i="17"/>
  <c r="AQ134" i="17"/>
  <c r="AQ195" i="17"/>
  <c r="AJ134" i="17"/>
  <c r="AJ195" i="17"/>
  <c r="AO134" i="17"/>
  <c r="AD195" i="17"/>
  <c r="W195" i="17"/>
  <c r="AC195" i="17"/>
  <c r="AA134" i="17"/>
  <c r="AH195" i="17"/>
  <c r="AX134" i="17"/>
  <c r="AR134" i="17"/>
  <c r="AU195" i="17"/>
  <c r="AT134" i="17"/>
  <c r="AT195" i="17"/>
  <c r="V195" i="17"/>
  <c r="AM134" i="17"/>
  <c r="AA195" i="17"/>
  <c r="AH134" i="17"/>
  <c r="P195" i="17"/>
  <c r="M195" i="17"/>
  <c r="AR195" i="17"/>
  <c r="AS195" i="17"/>
  <c r="AU134" i="17"/>
  <c r="R195" i="17"/>
  <c r="Y134" i="17"/>
  <c r="Y195" i="17"/>
  <c r="AE195" i="17"/>
  <c r="AO195" i="17"/>
  <c r="U195" i="17"/>
  <c r="Q195" i="17"/>
  <c r="T195" i="17"/>
  <c r="AB134" i="17"/>
  <c r="AW195" i="17"/>
  <c r="AW134" i="17"/>
  <c r="AP195" i="17"/>
  <c r="AE134" i="17"/>
  <c r="AG134" i="17"/>
  <c r="AB195" i="17"/>
  <c r="AV195" i="17"/>
  <c r="S195" i="17"/>
  <c r="AI195" i="17"/>
  <c r="AX195" i="17"/>
  <c r="AG195" i="17"/>
  <c r="AV134" i="17"/>
  <c r="X195" i="17"/>
  <c r="AN134" i="17"/>
  <c r="AN195" i="17"/>
  <c r="AY134" i="17"/>
  <c r="Z134" i="17"/>
  <c r="Z195" i="17"/>
  <c r="L195" i="17"/>
  <c r="AY195" i="17"/>
  <c r="AL134" i="17"/>
  <c r="AL195" i="17"/>
  <c r="AF195" i="17"/>
  <c r="AI134" i="17"/>
  <c r="AK134" i="17"/>
  <c r="AK195" i="17"/>
  <c r="AF134" i="17"/>
  <c r="N195" i="17"/>
  <c r="N138" i="17"/>
  <c r="Q138" i="17" s="1"/>
  <c r="T138" i="17" s="1"/>
  <c r="M138" i="17"/>
  <c r="P138" i="17" s="1"/>
  <c r="S138" i="17" s="1"/>
  <c r="L143" i="17"/>
  <c r="O143" i="17" s="1"/>
  <c r="R143" i="17" s="1"/>
  <c r="U143" i="17" s="1"/>
  <c r="AD204" i="17"/>
  <c r="AC204" i="17"/>
  <c r="AM204" i="17"/>
  <c r="X204" i="17"/>
  <c r="O204" i="17"/>
  <c r="AX143" i="17"/>
  <c r="P204" i="17"/>
  <c r="AR204" i="17"/>
  <c r="AS143" i="17"/>
  <c r="AS204" i="17"/>
  <c r="T204" i="17"/>
  <c r="AT143" i="17"/>
  <c r="AT204" i="17"/>
  <c r="AJ143" i="17"/>
  <c r="AO204" i="17"/>
  <c r="V204" i="17"/>
  <c r="V143" i="17"/>
  <c r="W204" i="17"/>
  <c r="AC143" i="17"/>
  <c r="AM143" i="17"/>
  <c r="AH143" i="17"/>
  <c r="AH204" i="17"/>
  <c r="AX204" i="17"/>
  <c r="AP204" i="17"/>
  <c r="AQ143" i="17"/>
  <c r="AQ204" i="17"/>
  <c r="AJ204" i="17"/>
  <c r="AD143" i="17"/>
  <c r="W143" i="17"/>
  <c r="AA143" i="17"/>
  <c r="AA204" i="17"/>
  <c r="M204" i="17"/>
  <c r="AU143" i="17"/>
  <c r="AU204" i="17"/>
  <c r="Y143" i="17"/>
  <c r="AO143" i="17"/>
  <c r="AG143" i="17"/>
  <c r="AV143" i="17"/>
  <c r="X143" i="17"/>
  <c r="AR143" i="17"/>
  <c r="AP143" i="17"/>
  <c r="R204" i="17"/>
  <c r="Y204" i="17"/>
  <c r="AE204" i="17"/>
  <c r="AB143" i="17"/>
  <c r="AW204" i="17"/>
  <c r="AI204" i="17"/>
  <c r="AE143" i="17"/>
  <c r="AB204" i="17"/>
  <c r="L204" i="17"/>
  <c r="Q204" i="17"/>
  <c r="AV204" i="17"/>
  <c r="S204" i="17"/>
  <c r="AW143" i="17"/>
  <c r="AG204" i="17"/>
  <c r="AY143" i="17"/>
  <c r="Z143" i="17"/>
  <c r="AN143" i="17"/>
  <c r="AN204" i="17"/>
  <c r="AK204" i="17"/>
  <c r="AY204" i="17"/>
  <c r="AL143" i="17"/>
  <c r="AF143" i="17"/>
  <c r="N204" i="17"/>
  <c r="U204" i="17"/>
  <c r="AI143" i="17"/>
  <c r="AK143" i="17"/>
  <c r="AL204" i="17"/>
  <c r="AF204" i="17"/>
  <c r="Z204" i="17"/>
  <c r="N136" i="17"/>
  <c r="Q136" i="17" s="1"/>
  <c r="T136" i="17" s="1"/>
  <c r="M136" i="17"/>
  <c r="P136" i="17" s="1"/>
  <c r="S136" i="17" s="1"/>
  <c r="L140" i="17"/>
  <c r="O140" i="17" s="1"/>
  <c r="R140" i="17" s="1"/>
  <c r="U140" i="17" s="1"/>
  <c r="W201" i="17"/>
  <c r="AC140" i="17"/>
  <c r="X201" i="17"/>
  <c r="AH201" i="17"/>
  <c r="AX201" i="17"/>
  <c r="M201" i="17"/>
  <c r="AR140" i="17"/>
  <c r="T201" i="17"/>
  <c r="AT140" i="17"/>
  <c r="AG140" i="17"/>
  <c r="AD140" i="17"/>
  <c r="V140" i="17"/>
  <c r="W140" i="17"/>
  <c r="AM201" i="17"/>
  <c r="AA140" i="17"/>
  <c r="AH140" i="17"/>
  <c r="Q201" i="17"/>
  <c r="AU201" i="17"/>
  <c r="AU140" i="17"/>
  <c r="R201" i="17"/>
  <c r="Y140" i="17"/>
  <c r="AD201" i="17"/>
  <c r="O201" i="17"/>
  <c r="AX140" i="17"/>
  <c r="AR201" i="17"/>
  <c r="AP140" i="17"/>
  <c r="AP201" i="17"/>
  <c r="AQ140" i="17"/>
  <c r="AQ201" i="17"/>
  <c r="AJ140" i="17"/>
  <c r="Y201" i="17"/>
  <c r="AE201" i="17"/>
  <c r="AG201" i="17"/>
  <c r="AB201" i="17"/>
  <c r="AS201" i="17"/>
  <c r="AJ201" i="17"/>
  <c r="AE140" i="17"/>
  <c r="AB140" i="17"/>
  <c r="AV201" i="17"/>
  <c r="AW140" i="17"/>
  <c r="AC201" i="17"/>
  <c r="AA201" i="17"/>
  <c r="P201" i="17"/>
  <c r="AT201" i="17"/>
  <c r="U201" i="17"/>
  <c r="AW201" i="17"/>
  <c r="AN140" i="17"/>
  <c r="AI140" i="17"/>
  <c r="V201" i="17"/>
  <c r="AO140" i="17"/>
  <c r="AO201" i="17"/>
  <c r="L201" i="17"/>
  <c r="AV140" i="17"/>
  <c r="S201" i="17"/>
  <c r="N201" i="17"/>
  <c r="AS140" i="17"/>
  <c r="AN201" i="17"/>
  <c r="AY140" i="17"/>
  <c r="AF140" i="17"/>
  <c r="Z140" i="17"/>
  <c r="X140" i="17"/>
  <c r="AK201" i="17"/>
  <c r="AM140" i="17"/>
  <c r="AI201" i="17"/>
  <c r="AK140" i="17"/>
  <c r="AY201" i="17"/>
  <c r="AL140" i="17"/>
  <c r="AL201" i="17"/>
  <c r="AF201" i="17"/>
  <c r="Z201" i="17"/>
  <c r="N133" i="17"/>
  <c r="Q133" i="17" s="1"/>
  <c r="T133" i="17" s="1"/>
  <c r="M133" i="17"/>
  <c r="P133" i="17" s="1"/>
  <c r="S133" i="17" s="1"/>
  <c r="L137" i="17"/>
  <c r="O137" i="17" s="1"/>
  <c r="R137" i="17" s="1"/>
  <c r="U137" i="17" s="1"/>
  <c r="AD198" i="17"/>
  <c r="AM137" i="17"/>
  <c r="AH137" i="17"/>
  <c r="AX198" i="17"/>
  <c r="AR137" i="17"/>
  <c r="AR198" i="17"/>
  <c r="AU137" i="17"/>
  <c r="AP137" i="17"/>
  <c r="R198" i="17"/>
  <c r="AO198" i="17"/>
  <c r="W198" i="17"/>
  <c r="AC137" i="17"/>
  <c r="AC198" i="17"/>
  <c r="X137" i="17"/>
  <c r="V137" i="17"/>
  <c r="AA137" i="17"/>
  <c r="O198" i="17"/>
  <c r="AX137" i="17"/>
  <c r="P198" i="17"/>
  <c r="AS137" i="17"/>
  <c r="AS198" i="17"/>
  <c r="AU198" i="17"/>
  <c r="AT137" i="17"/>
  <c r="AP198" i="17"/>
  <c r="AQ137" i="17"/>
  <c r="AQ198" i="17"/>
  <c r="AJ137" i="17"/>
  <c r="AJ198" i="17"/>
  <c r="Y137" i="17"/>
  <c r="AO137" i="17"/>
  <c r="AG137" i="17"/>
  <c r="AG198" i="17"/>
  <c r="U198" i="17"/>
  <c r="Q198" i="17"/>
  <c r="T198" i="17"/>
  <c r="AE137" i="17"/>
  <c r="AE198" i="17"/>
  <c r="AB198" i="17"/>
  <c r="AV137" i="17"/>
  <c r="L198" i="17"/>
  <c r="S198" i="17"/>
  <c r="AW137" i="17"/>
  <c r="AW198" i="17"/>
  <c r="AN198" i="17"/>
  <c r="AI198" i="17"/>
  <c r="M198" i="17"/>
  <c r="AT198" i="17"/>
  <c r="Y198" i="17"/>
  <c r="AV198" i="17"/>
  <c r="W137" i="17"/>
  <c r="AM198" i="17"/>
  <c r="X198" i="17"/>
  <c r="AH198" i="17"/>
  <c r="AB137" i="17"/>
  <c r="AI137" i="17"/>
  <c r="AK137" i="17"/>
  <c r="AY137" i="17"/>
  <c r="AY198" i="17"/>
  <c r="AL137" i="17"/>
  <c r="Z198" i="17"/>
  <c r="V198" i="17"/>
  <c r="AF198" i="17"/>
  <c r="AD137" i="17"/>
  <c r="AA198" i="17"/>
  <c r="AN137" i="17"/>
  <c r="N198" i="17"/>
  <c r="Z137" i="17"/>
  <c r="AK198" i="17"/>
  <c r="AL198" i="17"/>
  <c r="AF137" i="17"/>
  <c r="N134" i="17"/>
  <c r="Q134" i="17" s="1"/>
  <c r="T134" i="17" s="1"/>
  <c r="M134" i="17"/>
  <c r="P134" i="17" s="1"/>
  <c r="S134" i="17" s="1"/>
  <c r="G256" i="7"/>
  <c r="G259" i="7"/>
  <c r="G261" i="7"/>
  <c r="G263" i="7"/>
  <c r="G258" i="7"/>
  <c r="G260" i="7"/>
  <c r="G262" i="7"/>
  <c r="G257" i="7"/>
  <c r="G255" i="7"/>
  <c r="F255" i="7"/>
  <c r="K256" i="7"/>
  <c r="K255" i="7"/>
  <c r="F260" i="7"/>
  <c r="K260" i="7"/>
  <c r="J259" i="7"/>
  <c r="F259" i="7"/>
  <c r="K259" i="7"/>
  <c r="J261" i="7"/>
  <c r="F261" i="7"/>
  <c r="K261" i="7"/>
  <c r="J263" i="7"/>
  <c r="F263" i="7"/>
  <c r="K263" i="7"/>
  <c r="J257" i="7"/>
  <c r="F257" i="7"/>
  <c r="K257" i="7"/>
  <c r="F258" i="7"/>
  <c r="K258" i="7"/>
  <c r="F262" i="7"/>
  <c r="K262" i="7"/>
  <c r="K264" i="7"/>
  <c r="J256" i="7"/>
  <c r="F256" i="7"/>
  <c r="J255" i="7"/>
  <c r="I264" i="7"/>
  <c r="I262" i="7"/>
  <c r="I260" i="7"/>
  <c r="I258" i="7"/>
  <c r="H258" i="7"/>
  <c r="H260" i="7"/>
  <c r="H262" i="7"/>
  <c r="H264" i="7"/>
  <c r="J258" i="7"/>
  <c r="J260" i="7"/>
  <c r="J262" i="7"/>
  <c r="J264" i="7"/>
  <c r="I263" i="7"/>
  <c r="I261" i="7"/>
  <c r="I259" i="7"/>
  <c r="I257" i="7"/>
  <c r="H257" i="7"/>
  <c r="H259" i="7"/>
  <c r="H261" i="7"/>
  <c r="H263" i="7"/>
  <c r="L242" i="17" l="1"/>
  <c r="S242" i="17"/>
  <c r="Q242" i="17"/>
  <c r="O132" i="17"/>
  <c r="L181" i="17"/>
  <c r="L182" i="17"/>
  <c r="Q132" i="17"/>
  <c r="N182" i="17"/>
  <c r="N181" i="17"/>
  <c r="M242" i="17"/>
  <c r="N242" i="17"/>
  <c r="O242" i="17"/>
  <c r="R242" i="17"/>
  <c r="P242" i="17"/>
  <c r="P132" i="17"/>
  <c r="M181" i="17"/>
  <c r="M182" i="17"/>
  <c r="G295" i="7"/>
  <c r="L15" i="14"/>
  <c r="M15" i="14" s="1"/>
  <c r="K15" i="14"/>
  <c r="L14" i="14"/>
  <c r="M14" i="14" s="1"/>
  <c r="L13" i="14"/>
  <c r="M13" i="14" s="1"/>
  <c r="K13" i="14"/>
  <c r="L12" i="14"/>
  <c r="M12" i="14" s="1"/>
  <c r="K12" i="14"/>
  <c r="R132" i="17" l="1"/>
  <c r="O181" i="17"/>
  <c r="O182" i="17"/>
  <c r="T132" i="17"/>
  <c r="Q182" i="17"/>
  <c r="Q181" i="17"/>
  <c r="S132" i="17"/>
  <c r="P181" i="17"/>
  <c r="P182" i="17"/>
  <c r="G186" i="17"/>
  <c r="M69" i="10"/>
  <c r="R182" i="17" l="1"/>
  <c r="R181" i="17"/>
  <c r="S181" i="17"/>
  <c r="S182" i="17"/>
  <c r="H263" i="8"/>
  <c r="H264" i="8"/>
  <c r="H265" i="8"/>
  <c r="H266" i="8"/>
  <c r="H267" i="8"/>
  <c r="H268" i="8"/>
  <c r="H269" i="8"/>
  <c r="H270" i="8"/>
  <c r="H271" i="8"/>
  <c r="H272" i="8"/>
  <c r="H273" i="8"/>
  <c r="H274" i="8"/>
  <c r="H275" i="8"/>
  <c r="H276" i="8"/>
  <c r="H277" i="8"/>
  <c r="H278" i="8"/>
  <c r="H279" i="8"/>
  <c r="H280" i="8"/>
  <c r="H262" i="8"/>
  <c r="AI245" i="8"/>
  <c r="AF247" i="8"/>
  <c r="AD184" i="8"/>
  <c r="L311" i="7" s="1"/>
  <c r="AA184" i="8"/>
  <c r="L310" i="7" s="1"/>
  <c r="X184" i="8"/>
  <c r="L309" i="7" s="1"/>
  <c r="U184" i="8"/>
  <c r="L308" i="7" s="1"/>
  <c r="R184" i="8"/>
  <c r="L307" i="7" s="1"/>
  <c r="O184" i="8"/>
  <c r="L306" i="7" s="1"/>
  <c r="K92" i="8"/>
  <c r="W92" i="8"/>
  <c r="E211" i="7"/>
  <c r="E210" i="7"/>
  <c r="E213" i="7"/>
  <c r="E212" i="7"/>
  <c r="E209" i="7"/>
  <c r="E217" i="7"/>
  <c r="N217" i="7" s="1"/>
  <c r="E216" i="7"/>
  <c r="N216" i="7" s="1"/>
  <c r="E215" i="7"/>
  <c r="E214" i="7"/>
  <c r="L129" i="17" l="1" a="1"/>
  <c r="AJ129" i="17" s="1"/>
  <c r="G181" i="17"/>
  <c r="G184" i="17"/>
  <c r="H215" i="7"/>
  <c r="M215" i="7"/>
  <c r="L215" i="7"/>
  <c r="H217" i="7"/>
  <c r="M217" i="7"/>
  <c r="L217" i="7"/>
  <c r="J217" i="7"/>
  <c r="H212" i="7"/>
  <c r="M212" i="7"/>
  <c r="L212" i="7"/>
  <c r="H210" i="7"/>
  <c r="M210" i="7"/>
  <c r="L210" i="7"/>
  <c r="J210" i="7"/>
  <c r="H214" i="7"/>
  <c r="M214" i="7"/>
  <c r="L214" i="7"/>
  <c r="J214" i="7"/>
  <c r="M216" i="7"/>
  <c r="L216" i="7"/>
  <c r="J216" i="7"/>
  <c r="H209" i="7"/>
  <c r="M209" i="7"/>
  <c r="L209" i="7"/>
  <c r="J209" i="7"/>
  <c r="H213" i="7"/>
  <c r="M213" i="7"/>
  <c r="L213" i="7"/>
  <c r="H211" i="7"/>
  <c r="M211" i="7"/>
  <c r="L211" i="7"/>
  <c r="H216" i="7"/>
  <c r="CE262" i="8"/>
  <c r="CR262" i="8"/>
  <c r="BV262" i="8"/>
  <c r="BP262" i="8"/>
  <c r="BR262" i="8"/>
  <c r="CG262" i="8"/>
  <c r="CT262" i="8"/>
  <c r="BT262" i="8"/>
  <c r="Z247" i="8"/>
  <c r="G214" i="7"/>
  <c r="G216" i="7"/>
  <c r="G218" i="7"/>
  <c r="G210" i="7"/>
  <c r="G215" i="7"/>
  <c r="G217" i="7"/>
  <c r="G209" i="7"/>
  <c r="G213" i="7"/>
  <c r="G211" i="7"/>
  <c r="G212" i="7"/>
  <c r="T247" i="8"/>
  <c r="N247" i="8"/>
  <c r="Q92" i="8"/>
  <c r="J212" i="7" s="1"/>
  <c r="AF244" i="8"/>
  <c r="AI244" i="8"/>
  <c r="K247" i="8"/>
  <c r="H256" i="7" s="1"/>
  <c r="Q247" i="8"/>
  <c r="W247" i="8"/>
  <c r="AC247" i="8"/>
  <c r="AI247" i="8"/>
  <c r="N92" i="8"/>
  <c r="J211" i="7" s="1"/>
  <c r="T92" i="8"/>
  <c r="J213" i="7" s="1"/>
  <c r="AF245" i="8"/>
  <c r="F212" i="7"/>
  <c r="F210" i="7"/>
  <c r="F214" i="7"/>
  <c r="F216" i="7"/>
  <c r="F218" i="7"/>
  <c r="F209" i="7"/>
  <c r="F213" i="7"/>
  <c r="F211" i="7"/>
  <c r="F215" i="7"/>
  <c r="F217" i="7"/>
  <c r="AI92" i="8"/>
  <c r="AF92" i="8"/>
  <c r="AC92" i="8"/>
  <c r="Z92" i="8"/>
  <c r="J215" i="7" s="1"/>
  <c r="J23" i="14" l="1"/>
  <c r="J22" i="14"/>
  <c r="J21" i="14"/>
  <c r="AV129" i="17"/>
  <c r="AI129" i="17"/>
  <c r="T129" i="17"/>
  <c r="AT129" i="17"/>
  <c r="AK129" i="17"/>
  <c r="AL129" i="17"/>
  <c r="Q129" i="17"/>
  <c r="Q183" i="17" s="1"/>
  <c r="S129" i="17"/>
  <c r="S183" i="17" s="1"/>
  <c r="L129" i="17"/>
  <c r="L183" i="17" s="1"/>
  <c r="AS129" i="17"/>
  <c r="O129" i="17"/>
  <c r="O183" i="17" s="1"/>
  <c r="AO129" i="17"/>
  <c r="P129" i="17"/>
  <c r="P183" i="17" s="1"/>
  <c r="AX129" i="17"/>
  <c r="AR129" i="17"/>
  <c r="V129" i="17"/>
  <c r="AW129" i="17"/>
  <c r="X129" i="17"/>
  <c r="AA129" i="17"/>
  <c r="M129" i="17"/>
  <c r="M183" i="17" s="1"/>
  <c r="W129" i="17"/>
  <c r="Z129" i="17"/>
  <c r="AF129" i="17"/>
  <c r="AQ129" i="17"/>
  <c r="U129" i="17"/>
  <c r="AU129" i="17"/>
  <c r="AP129" i="17"/>
  <c r="AN129" i="17"/>
  <c r="N129" i="17"/>
  <c r="N183" i="17" s="1"/>
  <c r="AC129" i="17"/>
  <c r="AY129" i="17"/>
  <c r="Y129" i="17"/>
  <c r="AM129" i="17"/>
  <c r="R129" i="17"/>
  <c r="R183" i="17" s="1"/>
  <c r="AB129" i="17"/>
  <c r="AD129" i="17"/>
  <c r="AG129" i="17"/>
  <c r="AE129" i="17"/>
  <c r="AH129" i="17"/>
  <c r="J249" i="7"/>
  <c r="I256" i="7"/>
  <c r="G183" i="17" l="1"/>
  <c r="G185" i="17"/>
  <c r="J20" i="14" s="1"/>
  <c r="H255" i="7"/>
  <c r="H295" i="7" s="1"/>
  <c r="I255" i="7" l="1"/>
  <c r="I295" i="7" s="1"/>
  <c r="F111" i="8"/>
  <c r="AJ205" i="8" l="1"/>
  <c r="AK205" i="8" s="1"/>
  <c r="AJ204" i="8"/>
  <c r="AK204" i="8" s="1"/>
  <c r="AJ203" i="8"/>
  <c r="AK203" i="8" s="1"/>
  <c r="AJ202" i="8"/>
  <c r="AK202" i="8" s="1"/>
  <c r="AJ201" i="8"/>
  <c r="AK201" i="8" s="1"/>
  <c r="AJ200" i="8"/>
  <c r="AK200" i="8" s="1"/>
  <c r="AJ199" i="8"/>
  <c r="AK199" i="8" s="1"/>
  <c r="AJ198" i="8"/>
  <c r="AK198" i="8" s="1"/>
  <c r="AJ197" i="8"/>
  <c r="AK197" i="8" s="1"/>
  <c r="AJ196" i="8"/>
  <c r="AJ195" i="8"/>
  <c r="AJ194" i="8"/>
  <c r="AG205" i="8"/>
  <c r="AH205" i="8" s="1"/>
  <c r="AG204" i="8"/>
  <c r="AH204" i="8" s="1"/>
  <c r="AG203" i="8"/>
  <c r="AH203" i="8" s="1"/>
  <c r="AG202" i="8"/>
  <c r="AH202" i="8" s="1"/>
  <c r="AG201" i="8"/>
  <c r="AH201" i="8" s="1"/>
  <c r="AG200" i="8"/>
  <c r="AH200" i="8" s="1"/>
  <c r="AG199" i="8"/>
  <c r="AH199" i="8" s="1"/>
  <c r="AG198" i="8"/>
  <c r="AH198" i="8" s="1"/>
  <c r="AG197" i="8"/>
  <c r="AH197" i="8" s="1"/>
  <c r="AG196" i="8"/>
  <c r="AG195" i="8"/>
  <c r="AG194" i="8"/>
  <c r="AD205" i="8"/>
  <c r="AE205" i="8" s="1"/>
  <c r="AD204" i="8"/>
  <c r="AE204" i="8" s="1"/>
  <c r="AD203" i="8"/>
  <c r="AE203" i="8" s="1"/>
  <c r="AD202" i="8"/>
  <c r="AE202" i="8" s="1"/>
  <c r="AD201" i="8"/>
  <c r="AE201" i="8" s="1"/>
  <c r="AD200" i="8"/>
  <c r="AE200" i="8" s="1"/>
  <c r="AD199" i="8"/>
  <c r="AE199" i="8" s="1"/>
  <c r="AD198" i="8"/>
  <c r="AE198" i="8" s="1"/>
  <c r="AD197" i="8"/>
  <c r="AE197" i="8" s="1"/>
  <c r="AD196" i="8"/>
  <c r="AD195" i="8"/>
  <c r="AD194" i="8"/>
  <c r="AA205" i="8"/>
  <c r="AB205" i="8" s="1"/>
  <c r="AA204" i="8"/>
  <c r="AB204" i="8" s="1"/>
  <c r="AA203" i="8"/>
  <c r="AB203" i="8" s="1"/>
  <c r="AA202" i="8"/>
  <c r="AB202" i="8" s="1"/>
  <c r="AA201" i="8"/>
  <c r="AB201" i="8" s="1"/>
  <c r="AA200" i="8"/>
  <c r="AB200" i="8" s="1"/>
  <c r="AA199" i="8"/>
  <c r="AB199" i="8" s="1"/>
  <c r="AA198" i="8"/>
  <c r="AB198" i="8" s="1"/>
  <c r="AA197" i="8"/>
  <c r="AB197" i="8" s="1"/>
  <c r="AA196" i="8"/>
  <c r="AA195" i="8"/>
  <c r="AA194" i="8"/>
  <c r="X205" i="8"/>
  <c r="Y205" i="8" s="1"/>
  <c r="X204" i="8"/>
  <c r="Y204" i="8" s="1"/>
  <c r="X203" i="8"/>
  <c r="Y203" i="8" s="1"/>
  <c r="X202" i="8"/>
  <c r="Y202" i="8" s="1"/>
  <c r="X201" i="8"/>
  <c r="Y201" i="8" s="1"/>
  <c r="X200" i="8"/>
  <c r="Y200" i="8" s="1"/>
  <c r="X199" i="8"/>
  <c r="Y199" i="8" s="1"/>
  <c r="X198" i="8"/>
  <c r="Y198" i="8" s="1"/>
  <c r="X197" i="8"/>
  <c r="Y197" i="8" s="1"/>
  <c r="X196" i="8"/>
  <c r="X195" i="8"/>
  <c r="X194" i="8"/>
  <c r="U205" i="8"/>
  <c r="V205" i="8" s="1"/>
  <c r="U204" i="8"/>
  <c r="V204" i="8" s="1"/>
  <c r="U203" i="8"/>
  <c r="V203" i="8" s="1"/>
  <c r="U202" i="8"/>
  <c r="V202" i="8" s="1"/>
  <c r="U201" i="8"/>
  <c r="V201" i="8" s="1"/>
  <c r="U200" i="8"/>
  <c r="V200" i="8" s="1"/>
  <c r="U199" i="8"/>
  <c r="V199" i="8" s="1"/>
  <c r="U198" i="8"/>
  <c r="V198" i="8" s="1"/>
  <c r="U197" i="8"/>
  <c r="V197" i="8" s="1"/>
  <c r="U196" i="8"/>
  <c r="U195" i="8"/>
  <c r="U194" i="8"/>
  <c r="R205" i="8"/>
  <c r="S205" i="8" s="1"/>
  <c r="R204" i="8"/>
  <c r="S204" i="8" s="1"/>
  <c r="R203" i="8"/>
  <c r="S203" i="8" s="1"/>
  <c r="R202" i="8"/>
  <c r="S202" i="8" s="1"/>
  <c r="R201" i="8"/>
  <c r="S201" i="8" s="1"/>
  <c r="R200" i="8"/>
  <c r="S200" i="8" s="1"/>
  <c r="R199" i="8"/>
  <c r="S199" i="8" s="1"/>
  <c r="R198" i="8"/>
  <c r="S198" i="8" s="1"/>
  <c r="R197" i="8"/>
  <c r="S197" i="8" s="1"/>
  <c r="R196" i="8"/>
  <c r="R195" i="8"/>
  <c r="R194" i="8"/>
  <c r="O205" i="8"/>
  <c r="P205" i="8" s="1"/>
  <c r="O204" i="8"/>
  <c r="P204" i="8" s="1"/>
  <c r="O203" i="8"/>
  <c r="P203" i="8" s="1"/>
  <c r="O202" i="8"/>
  <c r="P202" i="8" s="1"/>
  <c r="O201" i="8"/>
  <c r="P201" i="8" s="1"/>
  <c r="O200" i="8"/>
  <c r="P200" i="8" s="1"/>
  <c r="O199" i="8"/>
  <c r="P199" i="8" s="1"/>
  <c r="O198" i="8"/>
  <c r="P198" i="8" s="1"/>
  <c r="O197" i="8"/>
  <c r="P197" i="8" s="1"/>
  <c r="O196" i="8"/>
  <c r="O195" i="8"/>
  <c r="O194" i="8"/>
  <c r="L205" i="8"/>
  <c r="M205" i="8" s="1"/>
  <c r="L204" i="8"/>
  <c r="M204" i="8" s="1"/>
  <c r="L203" i="8"/>
  <c r="M203" i="8" s="1"/>
  <c r="L202" i="8"/>
  <c r="M202" i="8" s="1"/>
  <c r="L201" i="8"/>
  <c r="M201" i="8" s="1"/>
  <c r="L200" i="8"/>
  <c r="M200" i="8" s="1"/>
  <c r="L199" i="8"/>
  <c r="M199" i="8" s="1"/>
  <c r="L198" i="8"/>
  <c r="M198" i="8" s="1"/>
  <c r="L197" i="8"/>
  <c r="M197" i="8" s="1"/>
  <c r="L196" i="8"/>
  <c r="L195" i="8"/>
  <c r="L194" i="8"/>
  <c r="I194" i="8"/>
  <c r="I195" i="8"/>
  <c r="I196" i="8"/>
  <c r="I197" i="8"/>
  <c r="J197" i="8" s="1"/>
  <c r="I198" i="8"/>
  <c r="J198" i="8" s="1"/>
  <c r="I199" i="8"/>
  <c r="J199" i="8" s="1"/>
  <c r="I200" i="8"/>
  <c r="J200" i="8" s="1"/>
  <c r="I201" i="8"/>
  <c r="J201" i="8" s="1"/>
  <c r="I202" i="8"/>
  <c r="J202" i="8" s="1"/>
  <c r="I203" i="8"/>
  <c r="J203" i="8" s="1"/>
  <c r="I204" i="8"/>
  <c r="J204" i="8" s="1"/>
  <c r="I205" i="8"/>
  <c r="J205" i="8" s="1"/>
  <c r="E186" i="8"/>
  <c r="AJ51" i="8"/>
  <c r="AK51" i="8" s="1"/>
  <c r="AJ50" i="8"/>
  <c r="AK50" i="8" s="1"/>
  <c r="AJ49" i="8"/>
  <c r="AK49" i="8" s="1"/>
  <c r="AJ48" i="8"/>
  <c r="AK48" i="8" s="1"/>
  <c r="AJ47" i="8"/>
  <c r="AK47" i="8" s="1"/>
  <c r="AJ46" i="8"/>
  <c r="AJ45" i="8"/>
  <c r="AJ44" i="8"/>
  <c r="AK44" i="8" s="1"/>
  <c r="AJ43" i="8"/>
  <c r="AK43" i="8" s="1"/>
  <c r="AJ42" i="8"/>
  <c r="AJ41" i="8"/>
  <c r="AJ40" i="8"/>
  <c r="AG51" i="8"/>
  <c r="AH51" i="8" s="1"/>
  <c r="AG50" i="8"/>
  <c r="AH50" i="8" s="1"/>
  <c r="AG49" i="8"/>
  <c r="AH49" i="8" s="1"/>
  <c r="AG48" i="8"/>
  <c r="AH48" i="8" s="1"/>
  <c r="AG47" i="8"/>
  <c r="AH47" i="8" s="1"/>
  <c r="AG46" i="8"/>
  <c r="AG45" i="8"/>
  <c r="AG44" i="8"/>
  <c r="AH44" i="8" s="1"/>
  <c r="AG43" i="8"/>
  <c r="AH43" i="8" s="1"/>
  <c r="AG42" i="8"/>
  <c r="AG41" i="8"/>
  <c r="AG40" i="8"/>
  <c r="AD51" i="8"/>
  <c r="AE51" i="8" s="1"/>
  <c r="AD50" i="8"/>
  <c r="AE50" i="8" s="1"/>
  <c r="AD49" i="8"/>
  <c r="AE49" i="8" s="1"/>
  <c r="AD48" i="8"/>
  <c r="AE48" i="8" s="1"/>
  <c r="AD47" i="8"/>
  <c r="AE47" i="8" s="1"/>
  <c r="AD46" i="8"/>
  <c r="AD45" i="8"/>
  <c r="AD44" i="8"/>
  <c r="AE44" i="8" s="1"/>
  <c r="AD43" i="8"/>
  <c r="AE43" i="8" s="1"/>
  <c r="AD42" i="8"/>
  <c r="AD41" i="8"/>
  <c r="AD40" i="8"/>
  <c r="AA51" i="8"/>
  <c r="AB51" i="8" s="1"/>
  <c r="AA50" i="8"/>
  <c r="AB50" i="8" s="1"/>
  <c r="AA49" i="8"/>
  <c r="AB49" i="8" s="1"/>
  <c r="AA48" i="8"/>
  <c r="AB48" i="8" s="1"/>
  <c r="AA47" i="8"/>
  <c r="AB47" i="8" s="1"/>
  <c r="AA46" i="8"/>
  <c r="AA45" i="8"/>
  <c r="AA44" i="8"/>
  <c r="AB44" i="8" s="1"/>
  <c r="AA43" i="8"/>
  <c r="AB43" i="8" s="1"/>
  <c r="AA42" i="8"/>
  <c r="AA41" i="8"/>
  <c r="AA40" i="8"/>
  <c r="X51" i="8"/>
  <c r="Y51" i="8" s="1"/>
  <c r="X50" i="8"/>
  <c r="Y50" i="8" s="1"/>
  <c r="X49" i="8"/>
  <c r="Y49" i="8" s="1"/>
  <c r="X48" i="8"/>
  <c r="Y48" i="8" s="1"/>
  <c r="X47" i="8"/>
  <c r="Y47" i="8" s="1"/>
  <c r="X46" i="8"/>
  <c r="X45" i="8"/>
  <c r="X44" i="8"/>
  <c r="Y44" i="8" s="1"/>
  <c r="X43" i="8"/>
  <c r="Y43" i="8" s="1"/>
  <c r="X42" i="8"/>
  <c r="X41" i="8"/>
  <c r="X40" i="8"/>
  <c r="I211" i="7"/>
  <c r="O51" i="8"/>
  <c r="P51" i="8" s="1"/>
  <c r="O50" i="8"/>
  <c r="P50" i="8" s="1"/>
  <c r="O49" i="8"/>
  <c r="P49" i="8" s="1"/>
  <c r="O48" i="8"/>
  <c r="P48" i="8" s="1"/>
  <c r="O47" i="8"/>
  <c r="P47" i="8" s="1"/>
  <c r="O46" i="8"/>
  <c r="O45" i="8"/>
  <c r="O44" i="8"/>
  <c r="P44" i="8" s="1"/>
  <c r="O43" i="8"/>
  <c r="P43" i="8" s="1"/>
  <c r="O42" i="8"/>
  <c r="O41" i="8"/>
  <c r="O40" i="8"/>
  <c r="I210" i="7"/>
  <c r="L51" i="8"/>
  <c r="M51" i="8" s="1"/>
  <c r="L50" i="8"/>
  <c r="M50" i="8" s="1"/>
  <c r="L49" i="8"/>
  <c r="M49" i="8" s="1"/>
  <c r="L48" i="8"/>
  <c r="M48" i="8" s="1"/>
  <c r="L47" i="8"/>
  <c r="M47" i="8" s="1"/>
  <c r="L46" i="8"/>
  <c r="L45" i="8"/>
  <c r="L44" i="8"/>
  <c r="M44" i="8" s="1"/>
  <c r="L43" i="8"/>
  <c r="M43" i="8" s="1"/>
  <c r="L42" i="8"/>
  <c r="L41" i="8"/>
  <c r="L40" i="8"/>
  <c r="U40" i="8"/>
  <c r="U41" i="8"/>
  <c r="U42" i="8"/>
  <c r="U43" i="8"/>
  <c r="V43" i="8" s="1"/>
  <c r="U44" i="8"/>
  <c r="V44" i="8" s="1"/>
  <c r="U45" i="8"/>
  <c r="U46" i="8"/>
  <c r="U47" i="8"/>
  <c r="V47" i="8" s="1"/>
  <c r="U48" i="8"/>
  <c r="V48" i="8" s="1"/>
  <c r="U49" i="8"/>
  <c r="V49" i="8" s="1"/>
  <c r="U50" i="8"/>
  <c r="V50" i="8" s="1"/>
  <c r="U51" i="8"/>
  <c r="V51" i="8" s="1"/>
  <c r="R40" i="8"/>
  <c r="R41" i="8"/>
  <c r="R42" i="8"/>
  <c r="R43" i="8"/>
  <c r="S43" i="8" s="1"/>
  <c r="R44" i="8"/>
  <c r="S44" i="8" s="1"/>
  <c r="R45" i="8"/>
  <c r="S45" i="8" s="1"/>
  <c r="R46" i="8"/>
  <c r="S46" i="8" s="1"/>
  <c r="R47" i="8"/>
  <c r="S47" i="8" s="1"/>
  <c r="R48" i="8"/>
  <c r="S48" i="8" s="1"/>
  <c r="R49" i="8"/>
  <c r="S49" i="8" s="1"/>
  <c r="R50" i="8"/>
  <c r="S50" i="8" s="1"/>
  <c r="R51" i="8"/>
  <c r="S51" i="8" s="1"/>
  <c r="I213" i="7"/>
  <c r="I40" i="8"/>
  <c r="I41" i="8"/>
  <c r="I42" i="8"/>
  <c r="I43" i="8"/>
  <c r="J43" i="8" s="1"/>
  <c r="I44" i="8"/>
  <c r="J44" i="8" s="1"/>
  <c r="I45" i="8"/>
  <c r="J45" i="8" s="1"/>
  <c r="I46" i="8"/>
  <c r="J46" i="8" s="1"/>
  <c r="I47" i="8"/>
  <c r="I48" i="8"/>
  <c r="J48" i="8" s="1"/>
  <c r="I49" i="8"/>
  <c r="J49" i="8" s="1"/>
  <c r="I50" i="8"/>
  <c r="J50" i="8" s="1"/>
  <c r="I51" i="8"/>
  <c r="J51" i="8" s="1"/>
  <c r="F187" i="8"/>
  <c r="F188" i="8"/>
  <c r="F189" i="8"/>
  <c r="F190" i="8"/>
  <c r="F191" i="8"/>
  <c r="F192" i="8"/>
  <c r="F193" i="8"/>
  <c r="F19" i="7"/>
  <c r="G19" i="7"/>
  <c r="H19" i="7"/>
  <c r="E19" i="7"/>
  <c r="N270" i="8" l="1"/>
  <c r="N272" i="8"/>
  <c r="O271" i="8"/>
  <c r="N271" i="8"/>
  <c r="O272" i="8"/>
  <c r="O270" i="8"/>
  <c r="G193" i="7"/>
  <c r="I209" i="7"/>
  <c r="J47" i="8"/>
  <c r="I212" i="7"/>
  <c r="F201" i="7"/>
  <c r="I215" i="7"/>
  <c r="I216" i="7"/>
  <c r="I217" i="7"/>
  <c r="I218" i="7"/>
  <c r="V46" i="8"/>
  <c r="M45" i="8"/>
  <c r="P45" i="8"/>
  <c r="Y45" i="8"/>
  <c r="AB45" i="8"/>
  <c r="AE45" i="8"/>
  <c r="AH45" i="8"/>
  <c r="AK45" i="8"/>
  <c r="V45" i="8"/>
  <c r="M46" i="8"/>
  <c r="P46" i="8"/>
  <c r="Y46" i="8"/>
  <c r="AB46" i="8"/>
  <c r="AE46" i="8"/>
  <c r="AH46" i="8"/>
  <c r="AK46" i="8"/>
  <c r="E201" i="7"/>
  <c r="K209" i="7"/>
  <c r="K212" i="7"/>
  <c r="K213" i="7"/>
  <c r="K210" i="7"/>
  <c r="K211" i="7"/>
  <c r="K215" i="7"/>
  <c r="K216" i="7"/>
  <c r="K217" i="7"/>
  <c r="K218" i="7"/>
  <c r="K24" i="14" l="1"/>
  <c r="L11" i="14"/>
  <c r="G201" i="7"/>
  <c r="L24" i="14" l="1"/>
  <c r="M24" i="14" s="1"/>
  <c r="K11" i="14"/>
  <c r="M11" i="14"/>
  <c r="M10" i="14"/>
  <c r="AG186" i="8" l="1"/>
  <c r="AA186" i="8"/>
  <c r="U186" i="8"/>
  <c r="O186" i="8"/>
  <c r="L186" i="8"/>
  <c r="AJ186" i="8"/>
  <c r="AD186" i="8"/>
  <c r="X186" i="8"/>
  <c r="R186" i="8"/>
  <c r="I186" i="8"/>
  <c r="AJ32" i="8"/>
  <c r="AG32" i="8"/>
  <c r="AA32" i="8"/>
  <c r="X32" i="8"/>
  <c r="O32" i="8"/>
  <c r="L32" i="8"/>
  <c r="U32" i="8"/>
  <c r="R32" i="8"/>
  <c r="I32" i="8"/>
  <c r="N262" i="8" l="1"/>
  <c r="O262" i="8"/>
  <c r="F250" i="10" l="1"/>
  <c r="F272" i="10"/>
  <c r="F255" i="10"/>
  <c r="F265" i="10"/>
  <c r="F229" i="10"/>
  <c r="F261" i="10"/>
  <c r="F343" i="10"/>
  <c r="F319" i="10"/>
  <c r="F283" i="10"/>
  <c r="F308" i="10"/>
  <c r="F300" i="10"/>
  <c r="F334" i="10"/>
  <c r="F244" i="10"/>
  <c r="F243" i="10"/>
  <c r="F325" i="10"/>
  <c r="F235" i="10"/>
  <c r="F248" i="10"/>
  <c r="F309" i="10"/>
  <c r="F297" i="10"/>
  <c r="F344" i="10"/>
  <c r="F314" i="10"/>
  <c r="F290" i="10"/>
  <c r="F320" i="10"/>
  <c r="F310" i="10"/>
  <c r="F234" i="10"/>
  <c r="M225" i="10" s="1"/>
  <c r="F328" i="10"/>
  <c r="F299" i="10"/>
  <c r="F318" i="10"/>
  <c r="F258" i="10"/>
  <c r="F304" i="10"/>
  <c r="F227" i="10"/>
  <c r="F228" i="10"/>
  <c r="F341" i="10"/>
  <c r="F336" i="10"/>
  <c r="F242" i="10"/>
  <c r="F313" i="10"/>
  <c r="F241" i="10"/>
  <c r="F286" i="10"/>
  <c r="F327" i="10"/>
  <c r="F238" i="10"/>
  <c r="F233" i="10"/>
  <c r="F232" i="10"/>
  <c r="F333" i="10"/>
  <c r="F231" i="10"/>
  <c r="F284" i="10"/>
  <c r="F278" i="10"/>
  <c r="F270" i="10"/>
  <c r="F345" i="10"/>
  <c r="F230" i="10"/>
  <c r="F268" i="10"/>
  <c r="F237" i="10"/>
  <c r="F256" i="10"/>
  <c r="F282" i="10"/>
  <c r="F274" i="10"/>
  <c r="F287" i="10"/>
  <c r="F281" i="10"/>
  <c r="F321" i="10"/>
  <c r="F224" i="10"/>
  <c r="F271" i="10"/>
  <c r="F245" i="10"/>
  <c r="F291" i="10"/>
  <c r="F311" i="10"/>
  <c r="F296" i="10"/>
  <c r="F289" i="10"/>
  <c r="F332" i="10"/>
  <c r="F342" i="10"/>
  <c r="F285" i="10"/>
  <c r="F303" i="10"/>
  <c r="F273" i="10"/>
  <c r="F312" i="10"/>
  <c r="F316" i="10"/>
  <c r="F251" i="10"/>
  <c r="F249" i="10"/>
  <c r="F301" i="10"/>
  <c r="F264" i="10"/>
  <c r="F254" i="10"/>
  <c r="F260" i="10"/>
  <c r="F247" i="10"/>
  <c r="F326" i="10"/>
  <c r="F279" i="10"/>
  <c r="F298" i="10"/>
  <c r="F293" i="10"/>
  <c r="F225" i="10"/>
  <c r="F305" i="10"/>
  <c r="F288" i="10"/>
  <c r="F337" i="10"/>
  <c r="F335" i="10"/>
  <c r="F331" i="10"/>
  <c r="F246" i="10"/>
  <c r="F338" i="10"/>
  <c r="F267" i="10"/>
  <c r="F322" i="10"/>
  <c r="F329" i="10"/>
  <c r="F340" i="10"/>
  <c r="F330" i="10"/>
  <c r="F323" i="10"/>
  <c r="F275" i="10"/>
  <c r="F257" i="10"/>
  <c r="F306" i="10"/>
  <c r="F317" i="10"/>
  <c r="F269" i="10"/>
  <c r="F277" i="10"/>
  <c r="F226" i="10"/>
  <c r="F280" i="10"/>
  <c r="F307" i="10"/>
  <c r="F266" i="10"/>
  <c r="F302" i="10"/>
  <c r="F324" i="10"/>
  <c r="F276" i="10"/>
  <c r="F339" i="10"/>
  <c r="F315" i="10"/>
  <c r="F240" i="10"/>
  <c r="F295" i="10"/>
  <c r="F292" i="10"/>
  <c r="F294" i="10"/>
  <c r="F253" i="10"/>
  <c r="F263" i="10"/>
  <c r="F259" i="10"/>
  <c r="F239" i="10"/>
  <c r="F262" i="10"/>
  <c r="F252" i="10"/>
  <c r="F236" i="10"/>
  <c r="F368" i="10"/>
  <c r="F369" i="10"/>
  <c r="F370" i="10"/>
  <c r="F371" i="10"/>
  <c r="F372" i="10"/>
  <c r="F361" i="10"/>
  <c r="F362" i="10"/>
  <c r="F363" i="10"/>
  <c r="F364" i="10"/>
  <c r="M362" i="10" s="1"/>
  <c r="F365" i="10"/>
  <c r="F366" i="10"/>
  <c r="F373" i="10"/>
  <c r="F374" i="10"/>
  <c r="F367" i="10"/>
  <c r="M199" i="10"/>
  <c r="M181" i="10"/>
  <c r="F46" i="14" l="1"/>
  <c r="J46" i="14" s="1"/>
  <c r="J16" i="14" s="1"/>
  <c r="L16" i="14" l="1"/>
  <c r="M16" i="14" s="1"/>
  <c r="F133" i="14"/>
  <c r="K16" i="14"/>
  <c r="C33" i="8"/>
  <c r="F135" i="14" l="1"/>
  <c r="F137" i="14" s="1"/>
  <c r="F139" i="14"/>
  <c r="F112" i="8"/>
  <c r="AJ187" i="8"/>
  <c r="AD187" i="8"/>
  <c r="X187" i="8"/>
  <c r="R187" i="8"/>
  <c r="L187" i="8"/>
  <c r="AG187" i="8"/>
  <c r="AA187" i="8"/>
  <c r="U187" i="8"/>
  <c r="O187" i="8"/>
  <c r="AJ33" i="8"/>
  <c r="AG33" i="8"/>
  <c r="AD33" i="8"/>
  <c r="AA33" i="8"/>
  <c r="O33" i="8"/>
  <c r="L33" i="8"/>
  <c r="U33" i="8"/>
  <c r="R33" i="8"/>
  <c r="I187" i="8"/>
  <c r="X33" i="8"/>
  <c r="F263" i="8"/>
  <c r="J193" i="17" s="1"/>
  <c r="E187" i="8"/>
  <c r="I33" i="8"/>
  <c r="C34" i="8"/>
  <c r="H64" i="17" l="1"/>
  <c r="H132" i="17"/>
  <c r="L6" i="17"/>
  <c r="M6" i="17" s="1"/>
  <c r="N6" i="17" s="1"/>
  <c r="O6" i="17" s="1"/>
  <c r="Q6" i="17" s="1"/>
  <c r="D359" i="7"/>
  <c r="W263" i="8"/>
  <c r="N263" i="8"/>
  <c r="O263" i="8"/>
  <c r="CG263" i="8"/>
  <c r="BV263" i="8"/>
  <c r="BP263" i="8"/>
  <c r="BR263" i="8"/>
  <c r="CR263" i="8"/>
  <c r="CE263" i="8"/>
  <c r="BT263" i="8"/>
  <c r="CT263" i="8"/>
  <c r="CC263" i="8"/>
  <c r="AU263" i="8"/>
  <c r="AS263" i="8"/>
  <c r="AQ263" i="8"/>
  <c r="CP263" i="8"/>
  <c r="BZ263" i="8"/>
  <c r="BX263" i="8"/>
  <c r="F113" i="8"/>
  <c r="AG188" i="8"/>
  <c r="AA188" i="8"/>
  <c r="U188" i="8"/>
  <c r="O188" i="8"/>
  <c r="I188" i="8"/>
  <c r="AD188" i="8"/>
  <c r="X188" i="8"/>
  <c r="R188" i="8"/>
  <c r="L188" i="8"/>
  <c r="X34" i="8"/>
  <c r="AJ34" i="8"/>
  <c r="AG34" i="8"/>
  <c r="AD34" i="8"/>
  <c r="AA34" i="8"/>
  <c r="O34" i="8"/>
  <c r="L34" i="8"/>
  <c r="U34" i="8"/>
  <c r="R34" i="8"/>
  <c r="F264" i="8"/>
  <c r="J194" i="17" s="1"/>
  <c r="E188" i="8"/>
  <c r="I34" i="8"/>
  <c r="C35" i="8"/>
  <c r="H65" i="17" l="1"/>
  <c r="H133" i="17"/>
  <c r="J64" i="17"/>
  <c r="L7" i="17"/>
  <c r="M7" i="17" s="1"/>
  <c r="N7" i="17" s="1"/>
  <c r="Q7" i="17" s="1"/>
  <c r="J65" i="17" s="1"/>
  <c r="R6" i="17"/>
  <c r="D360" i="7"/>
  <c r="W264" i="8"/>
  <c r="N264" i="8"/>
  <c r="O264" i="8"/>
  <c r="CE264" i="8"/>
  <c r="BR264" i="8"/>
  <c r="BP264" i="8"/>
  <c r="CG264" i="8"/>
  <c r="BV264" i="8"/>
  <c r="CT264" i="8"/>
  <c r="CR264" i="8"/>
  <c r="BT264" i="8"/>
  <c r="CC264" i="8"/>
  <c r="AU264" i="8"/>
  <c r="AS264" i="8"/>
  <c r="AQ264" i="8"/>
  <c r="CP264" i="8"/>
  <c r="BZ264" i="8"/>
  <c r="BX264" i="8"/>
  <c r="F114" i="8"/>
  <c r="AJ189" i="8"/>
  <c r="AD189" i="8"/>
  <c r="X189" i="8"/>
  <c r="R189" i="8"/>
  <c r="L189" i="8"/>
  <c r="AG189" i="8"/>
  <c r="AA189" i="8"/>
  <c r="U189" i="8"/>
  <c r="O189" i="8"/>
  <c r="I189" i="8"/>
  <c r="AJ35" i="8"/>
  <c r="AG35" i="8"/>
  <c r="AD35" i="8"/>
  <c r="AA35" i="8"/>
  <c r="O35" i="8"/>
  <c r="L35" i="8"/>
  <c r="U35" i="8"/>
  <c r="R35" i="8"/>
  <c r="X35" i="8"/>
  <c r="F265" i="8"/>
  <c r="J195" i="17" s="1"/>
  <c r="E189" i="8"/>
  <c r="I35" i="8"/>
  <c r="C36" i="8"/>
  <c r="F115" i="8" s="1"/>
  <c r="H66" i="17" l="1"/>
  <c r="H134" i="17"/>
  <c r="O65" i="17"/>
  <c r="P65" i="17" s="1"/>
  <c r="Q65" i="17" s="1"/>
  <c r="N65" i="17"/>
  <c r="L65" i="17"/>
  <c r="M65" i="17" s="1"/>
  <c r="L8" i="17"/>
  <c r="M8" i="17" s="1"/>
  <c r="N8" i="17" s="1"/>
  <c r="O7" i="17"/>
  <c r="L64" i="17"/>
  <c r="O64" i="17"/>
  <c r="N64" i="17"/>
  <c r="R7" i="17"/>
  <c r="D361" i="7"/>
  <c r="W265" i="8"/>
  <c r="N265" i="8"/>
  <c r="O265" i="8"/>
  <c r="CG265" i="8"/>
  <c r="BV265" i="8"/>
  <c r="CE265" i="8"/>
  <c r="BP265" i="8"/>
  <c r="BR265" i="8"/>
  <c r="BT265" i="8"/>
  <c r="CT265" i="8"/>
  <c r="CR265" i="8"/>
  <c r="CC265" i="8"/>
  <c r="AS265" i="8"/>
  <c r="AQ265" i="8"/>
  <c r="AU265" i="8"/>
  <c r="CP265" i="8"/>
  <c r="BZ265" i="8"/>
  <c r="BX265" i="8"/>
  <c r="AG190" i="8"/>
  <c r="AA190" i="8"/>
  <c r="U190" i="8"/>
  <c r="O190" i="8"/>
  <c r="I190" i="8"/>
  <c r="AJ190" i="8"/>
  <c r="AD190" i="8"/>
  <c r="X190" i="8"/>
  <c r="R190" i="8"/>
  <c r="L190" i="8"/>
  <c r="X36" i="8"/>
  <c r="AJ36" i="8"/>
  <c r="AG36" i="8"/>
  <c r="AD36" i="8"/>
  <c r="AA36" i="8"/>
  <c r="O36" i="8"/>
  <c r="L36" i="8"/>
  <c r="U36" i="8"/>
  <c r="R36" i="8"/>
  <c r="F266" i="8"/>
  <c r="J196" i="17" s="1"/>
  <c r="E190" i="8"/>
  <c r="I36" i="8"/>
  <c r="C37" i="8"/>
  <c r="H67" i="17" l="1"/>
  <c r="H135" i="17"/>
  <c r="Q8" i="17"/>
  <c r="O8" i="17"/>
  <c r="L9" i="17"/>
  <c r="N9" i="17" s="1"/>
  <c r="O9" i="17" s="1"/>
  <c r="Q9" i="17" s="1"/>
  <c r="J67" i="17" s="1"/>
  <c r="P64" i="17"/>
  <c r="M64" i="17"/>
  <c r="R8" i="17"/>
  <c r="D362" i="7"/>
  <c r="W266" i="8"/>
  <c r="N266" i="8"/>
  <c r="O266" i="8"/>
  <c r="CE266" i="8"/>
  <c r="BR266" i="8"/>
  <c r="BP266" i="8"/>
  <c r="BV266" i="8"/>
  <c r="CG266" i="8"/>
  <c r="CT266" i="8"/>
  <c r="CR266" i="8"/>
  <c r="BT266" i="8"/>
  <c r="CC266" i="8"/>
  <c r="AU266" i="8"/>
  <c r="AS266" i="8"/>
  <c r="AQ266" i="8"/>
  <c r="CP266" i="8"/>
  <c r="BZ266" i="8"/>
  <c r="BX266" i="8"/>
  <c r="F116" i="8"/>
  <c r="AJ191" i="8"/>
  <c r="AD191" i="8"/>
  <c r="X191" i="8"/>
  <c r="R191" i="8"/>
  <c r="L191" i="8"/>
  <c r="AG191" i="8"/>
  <c r="AA191" i="8"/>
  <c r="U191" i="8"/>
  <c r="O191" i="8"/>
  <c r="AJ37" i="8"/>
  <c r="AG37" i="8"/>
  <c r="AD37" i="8"/>
  <c r="AA37" i="8"/>
  <c r="O37" i="8"/>
  <c r="L37" i="8"/>
  <c r="U37" i="8"/>
  <c r="R37" i="8"/>
  <c r="I191" i="8"/>
  <c r="X37" i="8"/>
  <c r="F267" i="8"/>
  <c r="J197" i="17" s="1"/>
  <c r="E191" i="8"/>
  <c r="I37" i="8"/>
  <c r="C38" i="8"/>
  <c r="H68" i="17" l="1"/>
  <c r="H136" i="17"/>
  <c r="N67" i="17"/>
  <c r="L67" i="17"/>
  <c r="M67" i="17" s="1"/>
  <c r="O67" i="17"/>
  <c r="P67" i="17" s="1"/>
  <c r="Q64" i="17"/>
  <c r="L10" i="17"/>
  <c r="M10" i="17" s="1"/>
  <c r="N10" i="17" s="1"/>
  <c r="O10" i="17" s="1"/>
  <c r="Q10" i="17" s="1"/>
  <c r="M9" i="17"/>
  <c r="J66" i="17"/>
  <c r="R9" i="17"/>
  <c r="D363" i="7"/>
  <c r="W267" i="8"/>
  <c r="N267" i="8"/>
  <c r="O267" i="8"/>
  <c r="CG267" i="8"/>
  <c r="BV267" i="8"/>
  <c r="BR267" i="8"/>
  <c r="CE267" i="8"/>
  <c r="BP267" i="8"/>
  <c r="BT267" i="8"/>
  <c r="CT267" i="8"/>
  <c r="CR267" i="8"/>
  <c r="CC267" i="8"/>
  <c r="AQ267" i="8"/>
  <c r="AU267" i="8"/>
  <c r="AS267" i="8"/>
  <c r="CP267" i="8"/>
  <c r="BZ267" i="8"/>
  <c r="BX267" i="8"/>
  <c r="F117" i="8"/>
  <c r="AG192" i="8"/>
  <c r="AA192" i="8"/>
  <c r="U192" i="8"/>
  <c r="O192" i="8"/>
  <c r="I192" i="8"/>
  <c r="AJ192" i="8"/>
  <c r="AD192" i="8"/>
  <c r="X192" i="8"/>
  <c r="R192" i="8"/>
  <c r="L192" i="8"/>
  <c r="X38" i="8"/>
  <c r="AJ38" i="8"/>
  <c r="AG38" i="8"/>
  <c r="AD38" i="8"/>
  <c r="AA38" i="8"/>
  <c r="O38" i="8"/>
  <c r="L38" i="8"/>
  <c r="U38" i="8"/>
  <c r="R38" i="8"/>
  <c r="F268" i="8"/>
  <c r="J198" i="17" s="1"/>
  <c r="E192" i="8"/>
  <c r="C39" i="8"/>
  <c r="H69" i="17" l="1"/>
  <c r="H137" i="17"/>
  <c r="Q67" i="17"/>
  <c r="J68" i="17"/>
  <c r="L11" i="17"/>
  <c r="M11" i="17" s="1"/>
  <c r="N11" i="17" s="1"/>
  <c r="Q11" i="17" s="1"/>
  <c r="J69" i="17" s="1"/>
  <c r="O66" i="17"/>
  <c r="N66" i="17"/>
  <c r="L66" i="17"/>
  <c r="R10" i="17"/>
  <c r="D364" i="7"/>
  <c r="W268" i="8"/>
  <c r="N268" i="8"/>
  <c r="O268" i="8"/>
  <c r="CE268" i="8"/>
  <c r="BR268" i="8"/>
  <c r="BP268" i="8"/>
  <c r="CG268" i="8"/>
  <c r="BV268" i="8"/>
  <c r="CT268" i="8"/>
  <c r="CR268" i="8"/>
  <c r="BT268" i="8"/>
  <c r="CC268" i="8"/>
  <c r="AU268" i="8"/>
  <c r="AS268" i="8"/>
  <c r="AQ268" i="8"/>
  <c r="CP268" i="8"/>
  <c r="BZ268" i="8"/>
  <c r="BX268" i="8"/>
  <c r="E193" i="8"/>
  <c r="F118" i="8"/>
  <c r="AJ193" i="8"/>
  <c r="AJ236" i="8" s="1"/>
  <c r="AD193" i="8"/>
  <c r="AD236" i="8" s="1"/>
  <c r="X193" i="8"/>
  <c r="X236" i="8" s="1"/>
  <c r="R193" i="8"/>
  <c r="R236" i="8" s="1"/>
  <c r="L193" i="8"/>
  <c r="L236" i="8" s="1"/>
  <c r="AG193" i="8"/>
  <c r="AG236" i="8" s="1"/>
  <c r="AA193" i="8"/>
  <c r="AA236" i="8" s="1"/>
  <c r="U193" i="8"/>
  <c r="U236" i="8" s="1"/>
  <c r="O193" i="8"/>
  <c r="O236" i="8" s="1"/>
  <c r="I193" i="8"/>
  <c r="AJ39" i="8"/>
  <c r="AJ82" i="8" s="1"/>
  <c r="AG39" i="8"/>
  <c r="AG82" i="8" s="1"/>
  <c r="AD39" i="8"/>
  <c r="AD82" i="8" s="1"/>
  <c r="AA39" i="8"/>
  <c r="AA82" i="8" s="1"/>
  <c r="O39" i="8"/>
  <c r="O82" i="8" s="1"/>
  <c r="L39" i="8"/>
  <c r="L82" i="8" s="1"/>
  <c r="U39" i="8"/>
  <c r="U82" i="8" s="1"/>
  <c r="R39" i="8"/>
  <c r="R82" i="8" s="1"/>
  <c r="X39" i="8"/>
  <c r="X82" i="8" s="1"/>
  <c r="I39" i="8"/>
  <c r="C40" i="8"/>
  <c r="F269" i="8"/>
  <c r="J199" i="17" s="1"/>
  <c r="H70" i="17" l="1"/>
  <c r="H138" i="17"/>
  <c r="O11" i="17"/>
  <c r="L12" i="17"/>
  <c r="M12" i="17" s="1"/>
  <c r="N12" i="17" s="1"/>
  <c r="Q12" i="17" s="1"/>
  <c r="J70" i="17" s="1"/>
  <c r="N68" i="17"/>
  <c r="O68" i="17"/>
  <c r="P68" i="17" s="1"/>
  <c r="Q68" i="17" s="1"/>
  <c r="L68" i="17"/>
  <c r="M68" i="17" s="1"/>
  <c r="P66" i="17"/>
  <c r="M66" i="17"/>
  <c r="N69" i="17"/>
  <c r="O69" i="17"/>
  <c r="P69" i="17" s="1"/>
  <c r="Q69" i="17" s="1"/>
  <c r="L69" i="17"/>
  <c r="M69" i="17" s="1"/>
  <c r="R11" i="17"/>
  <c r="D365" i="7"/>
  <c r="W269" i="8"/>
  <c r="I82" i="8"/>
  <c r="H89" i="8" s="1"/>
  <c r="H90" i="8" s="1"/>
  <c r="N209" i="7" s="1"/>
  <c r="N269" i="8"/>
  <c r="O269" i="8"/>
  <c r="I236" i="8"/>
  <c r="H244" i="8" s="1"/>
  <c r="H245" i="8" s="1"/>
  <c r="Q304" i="7" s="1"/>
  <c r="CG269" i="8"/>
  <c r="BV269" i="8"/>
  <c r="CE269" i="8"/>
  <c r="BP269" i="8"/>
  <c r="BR269" i="8"/>
  <c r="BT269" i="8"/>
  <c r="CT269" i="8"/>
  <c r="CR269" i="8"/>
  <c r="CC269" i="8"/>
  <c r="AU269" i="8"/>
  <c r="AS269" i="8"/>
  <c r="AQ269" i="8"/>
  <c r="CP269" i="8"/>
  <c r="BZ269" i="8"/>
  <c r="BX269" i="8"/>
  <c r="E194" i="8"/>
  <c r="F119" i="8"/>
  <c r="AH196" i="8"/>
  <c r="V42" i="8"/>
  <c r="P42" i="8"/>
  <c r="AE42" i="8"/>
  <c r="AK42" i="8"/>
  <c r="P196" i="8"/>
  <c r="Z244" i="8"/>
  <c r="M196" i="8"/>
  <c r="Y196" i="8"/>
  <c r="C41" i="8"/>
  <c r="F270" i="8"/>
  <c r="J200" i="17" s="1"/>
  <c r="H71" i="17" l="1"/>
  <c r="H139" i="17"/>
  <c r="O12" i="17"/>
  <c r="L13" i="17"/>
  <c r="M13" i="17" s="1"/>
  <c r="N13" i="17" s="1"/>
  <c r="Q13" i="17" s="1"/>
  <c r="J71" i="17" s="1"/>
  <c r="L70" i="17"/>
  <c r="M70" i="17" s="1"/>
  <c r="O70" i="17"/>
  <c r="P70" i="17" s="1"/>
  <c r="Q70" i="17" s="1"/>
  <c r="N70" i="17"/>
  <c r="Q66" i="17"/>
  <c r="R12" i="17"/>
  <c r="J42" i="8"/>
  <c r="D366" i="7"/>
  <c r="W270" i="8"/>
  <c r="CG270" i="8"/>
  <c r="BV270" i="8"/>
  <c r="CE270" i="8"/>
  <c r="BR270" i="8"/>
  <c r="BP270" i="8"/>
  <c r="CT270" i="8"/>
  <c r="CR270" i="8"/>
  <c r="BT270" i="8"/>
  <c r="CC270" i="8"/>
  <c r="AU270" i="8"/>
  <c r="AS270" i="8"/>
  <c r="AQ270" i="8"/>
  <c r="Z245" i="8"/>
  <c r="Q310" i="7" s="1"/>
  <c r="AE196" i="8"/>
  <c r="AC244" i="8"/>
  <c r="AC245" i="8" s="1"/>
  <c r="Q311" i="7" s="1"/>
  <c r="AK195" i="8"/>
  <c r="AK196" i="8"/>
  <c r="J195" i="8"/>
  <c r="J196" i="8"/>
  <c r="AB41" i="8"/>
  <c r="AB42" i="8"/>
  <c r="AB195" i="8"/>
  <c r="AB196" i="8"/>
  <c r="Y41" i="8"/>
  <c r="Y42" i="8"/>
  <c r="S195" i="8"/>
  <c r="S196" i="8"/>
  <c r="V195" i="8"/>
  <c r="V196" i="8"/>
  <c r="AH41" i="8"/>
  <c r="AH42" i="8"/>
  <c r="M41" i="8"/>
  <c r="M42" i="8"/>
  <c r="S41" i="8"/>
  <c r="S42" i="8"/>
  <c r="P194" i="8"/>
  <c r="P195" i="8"/>
  <c r="V40" i="8"/>
  <c r="V41" i="8"/>
  <c r="Y194" i="8"/>
  <c r="Y195" i="8"/>
  <c r="AK40" i="8"/>
  <c r="AK41" i="8"/>
  <c r="P40" i="8"/>
  <c r="P41" i="8"/>
  <c r="J40" i="8"/>
  <c r="J41" i="8"/>
  <c r="M194" i="8"/>
  <c r="M195" i="8"/>
  <c r="AE40" i="8"/>
  <c r="AE41" i="8"/>
  <c r="AE194" i="8"/>
  <c r="AE195" i="8"/>
  <c r="AH194" i="8"/>
  <c r="AH195" i="8"/>
  <c r="AB193" i="8"/>
  <c r="AB194" i="8"/>
  <c r="Y39" i="8"/>
  <c r="Y40" i="8"/>
  <c r="Q244" i="8"/>
  <c r="Q245" i="8" s="1"/>
  <c r="Q307" i="7" s="1"/>
  <c r="S194" i="8"/>
  <c r="T244" i="8"/>
  <c r="T245" i="8" s="1"/>
  <c r="Q308" i="7" s="1"/>
  <c r="V194" i="8"/>
  <c r="AF89" i="8"/>
  <c r="AF90" i="8" s="1"/>
  <c r="AH40" i="8"/>
  <c r="K89" i="8"/>
  <c r="K90" i="8" s="1"/>
  <c r="N210" i="7" s="1"/>
  <c r="M40" i="8"/>
  <c r="AK193" i="8"/>
  <c r="AK194" i="8"/>
  <c r="J194" i="8"/>
  <c r="Z89" i="8"/>
  <c r="Z90" i="8" s="1"/>
  <c r="N215" i="7" s="1"/>
  <c r="AB40" i="8"/>
  <c r="Q89" i="8"/>
  <c r="Q90" i="8" s="1"/>
  <c r="N212" i="7" s="1"/>
  <c r="S40" i="8"/>
  <c r="CP270" i="8"/>
  <c r="BZ270" i="8"/>
  <c r="BX270" i="8"/>
  <c r="M193" i="8"/>
  <c r="K244" i="8"/>
  <c r="K245" i="8" s="1"/>
  <c r="Q305" i="7" s="1"/>
  <c r="P193" i="8"/>
  <c r="N244" i="8"/>
  <c r="N245" i="8" s="1"/>
  <c r="Q306" i="7" s="1"/>
  <c r="AE39" i="8"/>
  <c r="AC89" i="8"/>
  <c r="AC90" i="8" s="1"/>
  <c r="V39" i="8"/>
  <c r="T89" i="8"/>
  <c r="T90" i="8" s="1"/>
  <c r="N213" i="7" s="1"/>
  <c r="J39" i="8"/>
  <c r="Y193" i="8"/>
  <c r="W244" i="8"/>
  <c r="W245" i="8" s="1"/>
  <c r="Q309" i="7" s="1"/>
  <c r="AK39" i="8"/>
  <c r="AI89" i="8"/>
  <c r="AI90" i="8" s="1"/>
  <c r="P39" i="8"/>
  <c r="N89" i="8"/>
  <c r="N90" i="8" s="1"/>
  <c r="N211" i="7" s="1"/>
  <c r="E195" i="8"/>
  <c r="F120" i="8"/>
  <c r="AE186" i="8"/>
  <c r="AE187" i="8"/>
  <c r="AE188" i="8"/>
  <c r="AE189" i="8"/>
  <c r="AE190" i="8"/>
  <c r="AE191" i="8"/>
  <c r="AE192" i="8"/>
  <c r="S186" i="8"/>
  <c r="S187" i="8"/>
  <c r="S188" i="8"/>
  <c r="S189" i="8"/>
  <c r="S190" i="8"/>
  <c r="S191" i="8"/>
  <c r="S192" i="8"/>
  <c r="AH186" i="8"/>
  <c r="AH187" i="8"/>
  <c r="AH188" i="8"/>
  <c r="AH189" i="8"/>
  <c r="AH190" i="8"/>
  <c r="AH191" i="8"/>
  <c r="AH192" i="8"/>
  <c r="V186" i="8"/>
  <c r="V187" i="8"/>
  <c r="V188" i="8"/>
  <c r="V189" i="8"/>
  <c r="V190" i="8"/>
  <c r="V191" i="8"/>
  <c r="V192" i="8"/>
  <c r="J186" i="8"/>
  <c r="J187" i="8"/>
  <c r="J188" i="8"/>
  <c r="J189" i="8"/>
  <c r="J190" i="8"/>
  <c r="J191" i="8"/>
  <c r="J192" i="8"/>
  <c r="AH32" i="8"/>
  <c r="AH33" i="8"/>
  <c r="AH34" i="8"/>
  <c r="AH35" i="8"/>
  <c r="AH36" i="8"/>
  <c r="AH37" i="8"/>
  <c r="AH38" i="8"/>
  <c r="AB32" i="8"/>
  <c r="AB33" i="8"/>
  <c r="AB34" i="8"/>
  <c r="AB35" i="8"/>
  <c r="AB36" i="8"/>
  <c r="AB37" i="8"/>
  <c r="AB38" i="8"/>
  <c r="M32" i="8"/>
  <c r="M33" i="8"/>
  <c r="M34" i="8"/>
  <c r="M35" i="8"/>
  <c r="M36" i="8"/>
  <c r="M37" i="8"/>
  <c r="M38" i="8"/>
  <c r="S32" i="8"/>
  <c r="S33" i="8"/>
  <c r="S34" i="8"/>
  <c r="S35" i="8"/>
  <c r="S36" i="8"/>
  <c r="S37" i="8"/>
  <c r="S38" i="8"/>
  <c r="J32" i="8"/>
  <c r="J33" i="8"/>
  <c r="J34" i="8"/>
  <c r="J35" i="8"/>
  <c r="J36" i="8"/>
  <c r="J37" i="8"/>
  <c r="J38" i="8"/>
  <c r="AK186" i="8"/>
  <c r="AK187" i="8"/>
  <c r="AK188" i="8"/>
  <c r="AK189" i="8"/>
  <c r="AK190" i="8"/>
  <c r="AK191" i="8"/>
  <c r="AK192" i="8"/>
  <c r="Y186" i="8"/>
  <c r="Y187" i="8"/>
  <c r="Y188" i="8"/>
  <c r="Y189" i="8"/>
  <c r="Y190" i="8"/>
  <c r="Y191" i="8"/>
  <c r="Y192" i="8"/>
  <c r="M186" i="8"/>
  <c r="M187" i="8"/>
  <c r="M188" i="8"/>
  <c r="M189" i="8"/>
  <c r="M190" i="8"/>
  <c r="M191" i="8"/>
  <c r="M192" i="8"/>
  <c r="AB186" i="8"/>
  <c r="AB187" i="8"/>
  <c r="AB188" i="8"/>
  <c r="AB189" i="8"/>
  <c r="AB190" i="8"/>
  <c r="AB191" i="8"/>
  <c r="AB192" i="8"/>
  <c r="P186" i="8"/>
  <c r="P187" i="8"/>
  <c r="P188" i="8"/>
  <c r="P189" i="8"/>
  <c r="P190" i="8"/>
  <c r="P191" i="8"/>
  <c r="P192" i="8"/>
  <c r="AK32" i="8"/>
  <c r="AK33" i="8"/>
  <c r="AK34" i="8"/>
  <c r="AK35" i="8"/>
  <c r="AK36" i="8"/>
  <c r="AK37" i="8"/>
  <c r="AK38" i="8"/>
  <c r="AE32" i="8"/>
  <c r="AE33" i="8"/>
  <c r="AE34" i="8"/>
  <c r="AE35" i="8"/>
  <c r="AE36" i="8"/>
  <c r="AE37" i="8"/>
  <c r="AE38" i="8"/>
  <c r="P32" i="8"/>
  <c r="P33" i="8"/>
  <c r="P34" i="8"/>
  <c r="P35" i="8"/>
  <c r="P36" i="8"/>
  <c r="P37" i="8"/>
  <c r="P38" i="8"/>
  <c r="V32" i="8"/>
  <c r="V33" i="8"/>
  <c r="V34" i="8"/>
  <c r="V35" i="8"/>
  <c r="V36" i="8"/>
  <c r="V37" i="8"/>
  <c r="V38" i="8"/>
  <c r="W89" i="8"/>
  <c r="W90" i="8" s="1"/>
  <c r="N214" i="7" s="1"/>
  <c r="Y32" i="8"/>
  <c r="Y33" i="8"/>
  <c r="Y34" i="8"/>
  <c r="Y35" i="8"/>
  <c r="Y36" i="8"/>
  <c r="Y37" i="8"/>
  <c r="Y38" i="8"/>
  <c r="AE193" i="8"/>
  <c r="S193" i="8"/>
  <c r="AH193" i="8"/>
  <c r="V193" i="8"/>
  <c r="J193" i="8"/>
  <c r="AH39" i="8"/>
  <c r="AB39" i="8"/>
  <c r="M39" i="8"/>
  <c r="S39" i="8"/>
  <c r="C42" i="8"/>
  <c r="F271" i="8"/>
  <c r="J201" i="17" s="1"/>
  <c r="H72" i="17" l="1"/>
  <c r="H140" i="17"/>
  <c r="O13" i="17"/>
  <c r="L14" i="17"/>
  <c r="M14" i="17" s="1"/>
  <c r="O71" i="17"/>
  <c r="P71" i="17" s="1"/>
  <c r="N71" i="17"/>
  <c r="L71" i="17"/>
  <c r="M71" i="17" s="1"/>
  <c r="R13" i="17"/>
  <c r="D367" i="7"/>
  <c r="W271" i="8"/>
  <c r="AK236" i="8"/>
  <c r="AH236" i="8"/>
  <c r="AE236" i="8"/>
  <c r="AB236" i="8"/>
  <c r="Y236" i="8"/>
  <c r="V236" i="8"/>
  <c r="S236" i="8"/>
  <c r="P236" i="8"/>
  <c r="M236" i="8"/>
  <c r="J236" i="8"/>
  <c r="AK82" i="8"/>
  <c r="AH82" i="8"/>
  <c r="AE82" i="8"/>
  <c r="AB82" i="8"/>
  <c r="Y82" i="8"/>
  <c r="V82" i="8"/>
  <c r="S82" i="8"/>
  <c r="P82" i="8"/>
  <c r="M82" i="8"/>
  <c r="J82" i="8"/>
  <c r="CE271" i="8"/>
  <c r="BR271" i="8"/>
  <c r="BP271" i="8"/>
  <c r="CG271" i="8"/>
  <c r="BV271" i="8"/>
  <c r="BT271" i="8"/>
  <c r="CT271" i="8"/>
  <c r="CR271" i="8"/>
  <c r="CC271" i="8"/>
  <c r="AU271" i="8"/>
  <c r="AQ271" i="8"/>
  <c r="AS271" i="8"/>
  <c r="CP271" i="8"/>
  <c r="BZ271" i="8"/>
  <c r="BX271" i="8"/>
  <c r="E196" i="8"/>
  <c r="F121" i="8"/>
  <c r="C43" i="8"/>
  <c r="F272" i="8"/>
  <c r="J202" i="17" s="1"/>
  <c r="H73" i="17" l="1"/>
  <c r="H141" i="17"/>
  <c r="N14" i="17"/>
  <c r="O14" i="17" s="1"/>
  <c r="Q14" i="17" s="1"/>
  <c r="J72" i="17" s="1"/>
  <c r="N72" i="17" s="1"/>
  <c r="Q71" i="17"/>
  <c r="L15" i="17"/>
  <c r="M15" i="17" s="1"/>
  <c r="R14" i="17"/>
  <c r="D368" i="7"/>
  <c r="W272" i="8"/>
  <c r="CG272" i="8"/>
  <c r="BV272" i="8"/>
  <c r="CE272" i="8"/>
  <c r="BR272" i="8"/>
  <c r="BP272" i="8"/>
  <c r="CT272" i="8"/>
  <c r="CR272" i="8"/>
  <c r="BT272" i="8"/>
  <c r="CC272" i="8"/>
  <c r="AU272" i="8"/>
  <c r="AS272" i="8"/>
  <c r="AQ272" i="8"/>
  <c r="CP272" i="8"/>
  <c r="BZ272" i="8"/>
  <c r="BX272" i="8"/>
  <c r="E197" i="8"/>
  <c r="F122" i="8"/>
  <c r="C44" i="8"/>
  <c r="F273" i="8"/>
  <c r="J203" i="17" s="1"/>
  <c r="H74" i="17" l="1"/>
  <c r="H142" i="17"/>
  <c r="O72" i="17"/>
  <c r="P72" i="17" s="1"/>
  <c r="Q72" i="17" s="1"/>
  <c r="L72" i="17"/>
  <c r="M72" i="17" s="1"/>
  <c r="M16" i="17"/>
  <c r="L16" i="17"/>
  <c r="N16" i="17"/>
  <c r="O16" i="17"/>
  <c r="N15" i="17"/>
  <c r="O15" i="17" s="1"/>
  <c r="R15" i="17"/>
  <c r="R55" i="17" s="1"/>
  <c r="D369" i="7"/>
  <c r="W273" i="8"/>
  <c r="CE273" i="8"/>
  <c r="BR273" i="8"/>
  <c r="BP273" i="8"/>
  <c r="CG273" i="8"/>
  <c r="BV273" i="8"/>
  <c r="BT273" i="8"/>
  <c r="CT273" i="8"/>
  <c r="CR273" i="8"/>
  <c r="CC273" i="8"/>
  <c r="AU273" i="8"/>
  <c r="AS273" i="8"/>
  <c r="AQ273" i="8"/>
  <c r="CP273" i="8"/>
  <c r="BZ273" i="8"/>
  <c r="BX273" i="8"/>
  <c r="E198" i="8"/>
  <c r="F123" i="8"/>
  <c r="C45" i="8"/>
  <c r="F274" i="8"/>
  <c r="J204" i="17" s="1"/>
  <c r="H75" i="17" l="1"/>
  <c r="H143" i="17"/>
  <c r="M17" i="17"/>
  <c r="L17" i="17"/>
  <c r="O17" i="17"/>
  <c r="N17" i="17"/>
  <c r="Q15" i="17"/>
  <c r="D370" i="7"/>
  <c r="W274" i="8"/>
  <c r="CG274" i="8"/>
  <c r="BV274" i="8"/>
  <c r="CE274" i="8"/>
  <c r="BR274" i="8"/>
  <c r="BP274" i="8"/>
  <c r="CT274" i="8"/>
  <c r="CR274" i="8"/>
  <c r="BT274" i="8"/>
  <c r="CC274" i="8"/>
  <c r="AU274" i="8"/>
  <c r="AS274" i="8"/>
  <c r="AQ274" i="8"/>
  <c r="CP274" i="8"/>
  <c r="BZ274" i="8"/>
  <c r="BX274" i="8"/>
  <c r="E199" i="8"/>
  <c r="F124" i="8"/>
  <c r="C46" i="8"/>
  <c r="F275" i="8"/>
  <c r="J205" i="17" s="1"/>
  <c r="H76" i="17" l="1"/>
  <c r="H144" i="17"/>
  <c r="L18" i="17"/>
  <c r="O18" i="17"/>
  <c r="N18" i="17"/>
  <c r="M18" i="17"/>
  <c r="J73" i="17"/>
  <c r="Q55" i="17"/>
  <c r="D371" i="7"/>
  <c r="W275" i="8"/>
  <c r="K23" i="14"/>
  <c r="L21" i="14"/>
  <c r="M21" i="14" s="1"/>
  <c r="L22" i="14"/>
  <c r="M22" i="14" s="1"/>
  <c r="CE275" i="8"/>
  <c r="BR275" i="8"/>
  <c r="BP275" i="8"/>
  <c r="CG275" i="8"/>
  <c r="BV275" i="8"/>
  <c r="BT275" i="8"/>
  <c r="CT275" i="8"/>
  <c r="CR275" i="8"/>
  <c r="CC275" i="8"/>
  <c r="AS275" i="8"/>
  <c r="AU275" i="8"/>
  <c r="AQ275" i="8"/>
  <c r="CP275" i="8"/>
  <c r="BZ275" i="8"/>
  <c r="BX275" i="8"/>
  <c r="E200" i="8"/>
  <c r="F125" i="8"/>
  <c r="C47" i="8"/>
  <c r="F276" i="8"/>
  <c r="J206" i="17" s="1"/>
  <c r="H77" i="17" l="1"/>
  <c r="H145" i="17"/>
  <c r="N19" i="17"/>
  <c r="O19" i="17"/>
  <c r="M19" i="17"/>
  <c r="L19" i="17"/>
  <c r="O73" i="17"/>
  <c r="O113" i="17" s="1"/>
  <c r="L73" i="17"/>
  <c r="N73" i="17"/>
  <c r="N113" i="17" s="1"/>
  <c r="D372" i="7"/>
  <c r="W276" i="8"/>
  <c r="K21" i="14"/>
  <c r="K20" i="14"/>
  <c r="L20" i="14"/>
  <c r="M20" i="14" s="1"/>
  <c r="CG276" i="8"/>
  <c r="BV276" i="8"/>
  <c r="CE276" i="8"/>
  <c r="BR276" i="8"/>
  <c r="BP276" i="8"/>
  <c r="L18" i="14"/>
  <c r="M18" i="14" s="1"/>
  <c r="L23" i="14"/>
  <c r="M23" i="14" s="1"/>
  <c r="K22" i="14"/>
  <c r="K18" i="14"/>
  <c r="CT276" i="8"/>
  <c r="CR276" i="8"/>
  <c r="BT276" i="8"/>
  <c r="CC276" i="8"/>
  <c r="AU276" i="8"/>
  <c r="AS276" i="8"/>
  <c r="AQ276" i="8"/>
  <c r="CP276" i="8"/>
  <c r="BZ276" i="8"/>
  <c r="BX276" i="8"/>
  <c r="E201" i="8"/>
  <c r="F126" i="8"/>
  <c r="C48" i="8"/>
  <c r="F277" i="8"/>
  <c r="J207" i="17" s="1"/>
  <c r="H78" i="17" l="1"/>
  <c r="H146" i="17"/>
  <c r="N20" i="17"/>
  <c r="L20" i="17"/>
  <c r="M20" i="17"/>
  <c r="O20" i="17"/>
  <c r="M73" i="17"/>
  <c r="M113" i="17" s="1"/>
  <c r="L113" i="17"/>
  <c r="P73" i="17"/>
  <c r="D373" i="7"/>
  <c r="W277" i="8"/>
  <c r="CE277" i="8"/>
  <c r="BR277" i="8"/>
  <c r="BP277" i="8"/>
  <c r="CG277" i="8"/>
  <c r="BV277" i="8"/>
  <c r="BT277" i="8"/>
  <c r="CT277" i="8"/>
  <c r="CR277" i="8"/>
  <c r="CC277" i="8"/>
  <c r="AU277" i="8"/>
  <c r="AS277" i="8"/>
  <c r="AQ277" i="8"/>
  <c r="CP277" i="8"/>
  <c r="BZ277" i="8"/>
  <c r="BX277" i="8"/>
  <c r="E202" i="8"/>
  <c r="F127" i="8"/>
  <c r="C49" i="8"/>
  <c r="F278" i="8"/>
  <c r="J208" i="17" s="1"/>
  <c r="H79" i="17" l="1"/>
  <c r="H147" i="17"/>
  <c r="O21" i="17"/>
  <c r="L21" i="17"/>
  <c r="M21" i="17"/>
  <c r="N21" i="17"/>
  <c r="Q73" i="17"/>
  <c r="Q113" i="17" s="1"/>
  <c r="P113" i="17"/>
  <c r="D374" i="7"/>
  <c r="W278" i="8"/>
  <c r="CG278" i="8"/>
  <c r="BV278" i="8"/>
  <c r="CE278" i="8"/>
  <c r="BR278" i="8"/>
  <c r="BP278" i="8"/>
  <c r="CT278" i="8"/>
  <c r="CR278" i="8"/>
  <c r="BT278" i="8"/>
  <c r="CC278" i="8"/>
  <c r="AU278" i="8"/>
  <c r="AS278" i="8"/>
  <c r="AQ278" i="8"/>
  <c r="CP278" i="8"/>
  <c r="BZ278" i="8"/>
  <c r="BX278" i="8"/>
  <c r="E203" i="8"/>
  <c r="F128" i="8"/>
  <c r="C50" i="8"/>
  <c r="F279" i="8"/>
  <c r="J209" i="17" s="1"/>
  <c r="J19" i="14" l="1"/>
  <c r="J17" i="14" s="1"/>
  <c r="H80" i="17"/>
  <c r="H148" i="17"/>
  <c r="N22" i="17"/>
  <c r="L22" i="17"/>
  <c r="O22" i="17"/>
  <c r="M22" i="17"/>
  <c r="D375" i="7"/>
  <c r="W279" i="8"/>
  <c r="CE279" i="8"/>
  <c r="BR279" i="8"/>
  <c r="BP279" i="8"/>
  <c r="CG279" i="8"/>
  <c r="BV279" i="8"/>
  <c r="BT279" i="8"/>
  <c r="CT279" i="8"/>
  <c r="CR279" i="8"/>
  <c r="CC279" i="8"/>
  <c r="AU279" i="8"/>
  <c r="AQ279" i="8"/>
  <c r="AS279" i="8"/>
  <c r="CP279" i="8"/>
  <c r="BZ279" i="8"/>
  <c r="BX279" i="8"/>
  <c r="E204" i="8"/>
  <c r="F129" i="8"/>
  <c r="C51" i="8"/>
  <c r="F281" i="8" s="1"/>
  <c r="J211" i="17" s="1"/>
  <c r="F280" i="8"/>
  <c r="J210" i="17" s="1"/>
  <c r="H81" i="17" l="1"/>
  <c r="H149" i="17"/>
  <c r="H82" i="17"/>
  <c r="H150" i="17"/>
  <c r="M23" i="17"/>
  <c r="O23" i="17"/>
  <c r="N23" i="17"/>
  <c r="L23" i="17"/>
  <c r="M24" i="17"/>
  <c r="L24" i="17"/>
  <c r="N24" i="17"/>
  <c r="O24" i="17"/>
  <c r="D377" i="7"/>
  <c r="W281" i="8"/>
  <c r="D376" i="7"/>
  <c r="W280" i="8"/>
  <c r="AQ280" i="8"/>
  <c r="K17" i="14"/>
  <c r="BR281" i="8"/>
  <c r="BV281" i="8"/>
  <c r="BZ281" i="8"/>
  <c r="CE281" i="8"/>
  <c r="CP281" i="8"/>
  <c r="CT281" i="8"/>
  <c r="AS281" i="8"/>
  <c r="BP281" i="8"/>
  <c r="BT281" i="8"/>
  <c r="BX281" i="8"/>
  <c r="CC281" i="8"/>
  <c r="CG281" i="8"/>
  <c r="CR281" i="8"/>
  <c r="AQ281" i="8"/>
  <c r="AU281" i="8"/>
  <c r="CG280" i="8"/>
  <c r="BV280" i="8"/>
  <c r="CE280" i="8"/>
  <c r="BR280" i="8"/>
  <c r="BP280" i="8"/>
  <c r="F130" i="8"/>
  <c r="C52" i="8"/>
  <c r="CT280" i="8"/>
  <c r="CR280" i="8"/>
  <c r="BT280" i="8"/>
  <c r="CC280" i="8"/>
  <c r="AU280" i="8"/>
  <c r="AS280" i="8"/>
  <c r="CP280" i="8"/>
  <c r="BZ280" i="8"/>
  <c r="BX280" i="8"/>
  <c r="E205" i="8"/>
  <c r="L17" i="14" l="1"/>
  <c r="M17" i="14" s="1"/>
  <c r="K19" i="14"/>
  <c r="L19" i="14"/>
  <c r="M19" i="14" s="1"/>
  <c r="F282" i="8"/>
  <c r="J212" i="17" s="1"/>
  <c r="E206" i="8"/>
  <c r="C53" i="8"/>
  <c r="F131" i="8"/>
  <c r="H83" i="17" l="1"/>
  <c r="H151" i="17"/>
  <c r="M25" i="17"/>
  <c r="O25" i="17"/>
  <c r="L25" i="17"/>
  <c r="N25" i="17"/>
  <c r="D378" i="7"/>
  <c r="W282" i="8"/>
  <c r="F283" i="8"/>
  <c r="J213" i="17" s="1"/>
  <c r="E207" i="8"/>
  <c r="BR282" i="8"/>
  <c r="BV282" i="8"/>
  <c r="BZ282" i="8"/>
  <c r="CE282" i="8"/>
  <c r="CP282" i="8"/>
  <c r="CT282" i="8"/>
  <c r="AQ282" i="8"/>
  <c r="AU282" i="8"/>
  <c r="BP282" i="8"/>
  <c r="BT282" i="8"/>
  <c r="BX282" i="8"/>
  <c r="CC282" i="8"/>
  <c r="CG282" i="8"/>
  <c r="CR282" i="8"/>
  <c r="AS282" i="8"/>
  <c r="C54" i="8"/>
  <c r="F132" i="8"/>
  <c r="H84" i="17" l="1"/>
  <c r="H152" i="17"/>
  <c r="O26" i="17"/>
  <c r="L26" i="17"/>
  <c r="N26" i="17"/>
  <c r="M26" i="17"/>
  <c r="D379" i="7"/>
  <c r="W283" i="8"/>
  <c r="F284" i="8"/>
  <c r="J214" i="17" s="1"/>
  <c r="E208" i="8"/>
  <c r="BR283" i="8"/>
  <c r="BV283" i="8"/>
  <c r="BZ283" i="8"/>
  <c r="CE283" i="8"/>
  <c r="CP283" i="8"/>
  <c r="CT283" i="8"/>
  <c r="AS283" i="8"/>
  <c r="BP283" i="8"/>
  <c r="BT283" i="8"/>
  <c r="BX283" i="8"/>
  <c r="CC283" i="8"/>
  <c r="CG283" i="8"/>
  <c r="CR283" i="8"/>
  <c r="AQ283" i="8"/>
  <c r="AU283" i="8"/>
  <c r="C55" i="8"/>
  <c r="F133" i="8"/>
  <c r="H85" i="17" l="1"/>
  <c r="H153" i="17"/>
  <c r="N27" i="17"/>
  <c r="M27" i="17"/>
  <c r="O27" i="17"/>
  <c r="L27" i="17"/>
  <c r="D380" i="7"/>
  <c r="W284" i="8"/>
  <c r="BR284" i="8"/>
  <c r="BV284" i="8"/>
  <c r="BZ284" i="8"/>
  <c r="CE284" i="8"/>
  <c r="CP284" i="8"/>
  <c r="CT284" i="8"/>
  <c r="AQ284" i="8"/>
  <c r="AU284" i="8"/>
  <c r="BP284" i="8"/>
  <c r="BT284" i="8"/>
  <c r="BX284" i="8"/>
  <c r="CC284" i="8"/>
  <c r="CG284" i="8"/>
  <c r="CR284" i="8"/>
  <c r="AS284" i="8"/>
  <c r="F285" i="8"/>
  <c r="J215" i="17" s="1"/>
  <c r="E209" i="8"/>
  <c r="C56" i="8"/>
  <c r="F134" i="8"/>
  <c r="H86" i="17" l="1"/>
  <c r="H154" i="17"/>
  <c r="L28" i="17"/>
  <c r="N28" i="17"/>
  <c r="M28" i="17"/>
  <c r="O28" i="17"/>
  <c r="D381" i="7"/>
  <c r="W285" i="8"/>
  <c r="F286" i="8"/>
  <c r="J216" i="17" s="1"/>
  <c r="E210" i="8"/>
  <c r="BR285" i="8"/>
  <c r="BV285" i="8"/>
  <c r="BZ285" i="8"/>
  <c r="CE285" i="8"/>
  <c r="CP285" i="8"/>
  <c r="CT285" i="8"/>
  <c r="AS285" i="8"/>
  <c r="BP285" i="8"/>
  <c r="BT285" i="8"/>
  <c r="BX285" i="8"/>
  <c r="CC285" i="8"/>
  <c r="CG285" i="8"/>
  <c r="CR285" i="8"/>
  <c r="AQ285" i="8"/>
  <c r="AU285" i="8"/>
  <c r="C57" i="8"/>
  <c r="F135" i="8"/>
  <c r="H87" i="17" l="1"/>
  <c r="H155" i="17"/>
  <c r="L29" i="17"/>
  <c r="O29" i="17"/>
  <c r="M29" i="17"/>
  <c r="N29" i="17"/>
  <c r="D382" i="7"/>
  <c r="E355" i="7" s="1"/>
  <c r="W286" i="8"/>
  <c r="BR286" i="8"/>
  <c r="BV286" i="8"/>
  <c r="BZ286" i="8"/>
  <c r="CE286" i="8"/>
  <c r="CP286" i="8"/>
  <c r="CT286" i="8"/>
  <c r="AQ286" i="8"/>
  <c r="AU286" i="8"/>
  <c r="BP286" i="8"/>
  <c r="BT286" i="8"/>
  <c r="BX286" i="8"/>
  <c r="CC286" i="8"/>
  <c r="CG286" i="8"/>
  <c r="CR286" i="8"/>
  <c r="AS286" i="8"/>
  <c r="F287" i="8"/>
  <c r="J217" i="17" s="1"/>
  <c r="E211" i="8"/>
  <c r="C58" i="8"/>
  <c r="F136" i="8"/>
  <c r="H88" i="17" l="1"/>
  <c r="H156" i="17"/>
  <c r="N30" i="17"/>
  <c r="O30" i="17"/>
  <c r="L30" i="17"/>
  <c r="M30" i="17"/>
  <c r="D383" i="7"/>
  <c r="W287" i="8"/>
  <c r="F288" i="8"/>
  <c r="J218" i="17" s="1"/>
  <c r="E212" i="8"/>
  <c r="BR287" i="8"/>
  <c r="BV287" i="8"/>
  <c r="BZ287" i="8"/>
  <c r="CE287" i="8"/>
  <c r="CP287" i="8"/>
  <c r="CT287" i="8"/>
  <c r="AS287" i="8"/>
  <c r="AQ287" i="8"/>
  <c r="AU287" i="8"/>
  <c r="BP287" i="8"/>
  <c r="BT287" i="8"/>
  <c r="BX287" i="8"/>
  <c r="CC287" i="8"/>
  <c r="CG287" i="8"/>
  <c r="CR287" i="8"/>
  <c r="H249" i="7"/>
  <c r="C59" i="8"/>
  <c r="F137" i="8"/>
  <c r="I214" i="7"/>
  <c r="I249" i="7" s="1"/>
  <c r="K214" i="7"/>
  <c r="K249" i="7" s="1"/>
  <c r="H89" i="17" l="1"/>
  <c r="H157" i="17"/>
  <c r="O31" i="17"/>
  <c r="M31" i="17"/>
  <c r="N31" i="17"/>
  <c r="L31" i="17"/>
  <c r="D384" i="7"/>
  <c r="W288" i="8"/>
  <c r="F289" i="8"/>
  <c r="J219" i="17" s="1"/>
  <c r="E213" i="8"/>
  <c r="BR288" i="8"/>
  <c r="BV288" i="8"/>
  <c r="BZ288" i="8"/>
  <c r="CE288" i="8"/>
  <c r="CP288" i="8"/>
  <c r="CT288" i="8"/>
  <c r="AQ288" i="8"/>
  <c r="AU288" i="8"/>
  <c r="AS288" i="8"/>
  <c r="BP288" i="8"/>
  <c r="BT288" i="8"/>
  <c r="BX288" i="8"/>
  <c r="CC288" i="8"/>
  <c r="CG288" i="8"/>
  <c r="CR288" i="8"/>
  <c r="C60" i="8"/>
  <c r="F138" i="8"/>
  <c r="H90" i="17" l="1"/>
  <c r="H158" i="17"/>
  <c r="M32" i="17"/>
  <c r="L32" i="17"/>
  <c r="N32" i="17"/>
  <c r="O32" i="17"/>
  <c r="D385" i="7"/>
  <c r="W289" i="8"/>
  <c r="F290" i="8"/>
  <c r="J220" i="17" s="1"/>
  <c r="E214" i="8"/>
  <c r="BR289" i="8"/>
  <c r="BV289" i="8"/>
  <c r="BZ289" i="8"/>
  <c r="CE289" i="8"/>
  <c r="CP289" i="8"/>
  <c r="CT289" i="8"/>
  <c r="AS289" i="8"/>
  <c r="AQ289" i="8"/>
  <c r="AU289" i="8"/>
  <c r="BP289" i="8"/>
  <c r="BT289" i="8"/>
  <c r="BX289" i="8"/>
  <c r="CC289" i="8"/>
  <c r="CG289" i="8"/>
  <c r="CR289" i="8"/>
  <c r="C61" i="8"/>
  <c r="F139" i="8"/>
  <c r="H91" i="17" l="1"/>
  <c r="H159" i="17"/>
  <c r="M33" i="17"/>
  <c r="L33" i="17"/>
  <c r="O33" i="17"/>
  <c r="N33" i="17"/>
  <c r="D386" i="7"/>
  <c r="W290" i="8"/>
  <c r="F291" i="8"/>
  <c r="J221" i="17" s="1"/>
  <c r="E215" i="8"/>
  <c r="BR290" i="8"/>
  <c r="BV290" i="8"/>
  <c r="BZ290" i="8"/>
  <c r="CE290" i="8"/>
  <c r="CP290" i="8"/>
  <c r="CT290" i="8"/>
  <c r="AQ290" i="8"/>
  <c r="AU290" i="8"/>
  <c r="AS290" i="8"/>
  <c r="BP290" i="8"/>
  <c r="BT290" i="8"/>
  <c r="BX290" i="8"/>
  <c r="CC290" i="8"/>
  <c r="CG290" i="8"/>
  <c r="CR290" i="8"/>
  <c r="C62" i="8"/>
  <c r="F140" i="8"/>
  <c r="H92" i="17" l="1"/>
  <c r="H160" i="17"/>
  <c r="L34" i="17"/>
  <c r="N34" i="17"/>
  <c r="O34" i="17"/>
  <c r="M34" i="17"/>
  <c r="D387" i="7"/>
  <c r="W291" i="8"/>
  <c r="F292" i="8"/>
  <c r="J222" i="17" s="1"/>
  <c r="E216" i="8"/>
  <c r="BR291" i="8"/>
  <c r="BV291" i="8"/>
  <c r="BZ291" i="8"/>
  <c r="CE291" i="8"/>
  <c r="CP291" i="8"/>
  <c r="CT291" i="8"/>
  <c r="AS291" i="8"/>
  <c r="AQ291" i="8"/>
  <c r="AU291" i="8"/>
  <c r="BP291" i="8"/>
  <c r="BT291" i="8"/>
  <c r="BX291" i="8"/>
  <c r="CC291" i="8"/>
  <c r="CG291" i="8"/>
  <c r="CR291" i="8"/>
  <c r="C63" i="8"/>
  <c r="F141" i="8"/>
  <c r="H93" i="17" l="1"/>
  <c r="H161" i="17"/>
  <c r="N35" i="17"/>
  <c r="O35" i="17"/>
  <c r="M35" i="17"/>
  <c r="L35" i="17"/>
  <c r="D388" i="7"/>
  <c r="W292" i="8"/>
  <c r="F293" i="8"/>
  <c r="J223" i="17" s="1"/>
  <c r="E217" i="8"/>
  <c r="BR292" i="8"/>
  <c r="BV292" i="8"/>
  <c r="BZ292" i="8"/>
  <c r="CE292" i="8"/>
  <c r="CP292" i="8"/>
  <c r="CT292" i="8"/>
  <c r="AQ292" i="8"/>
  <c r="AU292" i="8"/>
  <c r="AS292" i="8"/>
  <c r="BP292" i="8"/>
  <c r="BT292" i="8"/>
  <c r="BX292" i="8"/>
  <c r="CC292" i="8"/>
  <c r="CG292" i="8"/>
  <c r="CR292" i="8"/>
  <c r="C64" i="8"/>
  <c r="F142" i="8"/>
  <c r="H94" i="17" l="1"/>
  <c r="H162" i="17"/>
  <c r="N36" i="17"/>
  <c r="L36" i="17"/>
  <c r="M36" i="17"/>
  <c r="O36" i="17"/>
  <c r="D389" i="7"/>
  <c r="W293" i="8"/>
  <c r="F294" i="8"/>
  <c r="J224" i="17" s="1"/>
  <c r="E218" i="8"/>
  <c r="BR293" i="8"/>
  <c r="BV293" i="8"/>
  <c r="BZ293" i="8"/>
  <c r="CE293" i="8"/>
  <c r="CP293" i="8"/>
  <c r="CT293" i="8"/>
  <c r="AS293" i="8"/>
  <c r="AQ293" i="8"/>
  <c r="AU293" i="8"/>
  <c r="BP293" i="8"/>
  <c r="BT293" i="8"/>
  <c r="BX293" i="8"/>
  <c r="CC293" i="8"/>
  <c r="CG293" i="8"/>
  <c r="CR293" i="8"/>
  <c r="C65" i="8"/>
  <c r="F143" i="8"/>
  <c r="H95" i="17" l="1"/>
  <c r="H163" i="17"/>
  <c r="O37" i="17"/>
  <c r="L37" i="17"/>
  <c r="M37" i="17"/>
  <c r="N37" i="17"/>
  <c r="D390" i="7"/>
  <c r="W294" i="8"/>
  <c r="F295" i="8"/>
  <c r="J225" i="17" s="1"/>
  <c r="E219" i="8"/>
  <c r="BR294" i="8"/>
  <c r="BV294" i="8"/>
  <c r="BZ294" i="8"/>
  <c r="CE294" i="8"/>
  <c r="CP294" i="8"/>
  <c r="CT294" i="8"/>
  <c r="AQ294" i="8"/>
  <c r="AU294" i="8"/>
  <c r="AS294" i="8"/>
  <c r="BP294" i="8"/>
  <c r="BT294" i="8"/>
  <c r="BX294" i="8"/>
  <c r="CC294" i="8"/>
  <c r="CG294" i="8"/>
  <c r="CR294" i="8"/>
  <c r="C66" i="8"/>
  <c r="F144" i="8"/>
  <c r="H96" i="17" l="1"/>
  <c r="H164" i="17"/>
  <c r="N38" i="17"/>
  <c r="O38" i="17"/>
  <c r="L38" i="17"/>
  <c r="M38" i="17"/>
  <c r="D391" i="7"/>
  <c r="W295" i="8"/>
  <c r="F296" i="8"/>
  <c r="J226" i="17" s="1"/>
  <c r="E220" i="8"/>
  <c r="BR295" i="8"/>
  <c r="BV295" i="8"/>
  <c r="BZ295" i="8"/>
  <c r="CE295" i="8"/>
  <c r="CP295" i="8"/>
  <c r="CT295" i="8"/>
  <c r="AS295" i="8"/>
  <c r="AQ295" i="8"/>
  <c r="AU295" i="8"/>
  <c r="BP295" i="8"/>
  <c r="BT295" i="8"/>
  <c r="BX295" i="8"/>
  <c r="CC295" i="8"/>
  <c r="CG295" i="8"/>
  <c r="CR295" i="8"/>
  <c r="C67" i="8"/>
  <c r="F145" i="8"/>
  <c r="H97" i="17" l="1"/>
  <c r="H165" i="17"/>
  <c r="N39" i="17"/>
  <c r="M39" i="17"/>
  <c r="O39" i="17"/>
  <c r="L39" i="17"/>
  <c r="D392" i="7"/>
  <c r="W296" i="8"/>
  <c r="F297" i="8"/>
  <c r="J227" i="17" s="1"/>
  <c r="E221" i="8"/>
  <c r="BR296" i="8"/>
  <c r="BV296" i="8"/>
  <c r="BZ296" i="8"/>
  <c r="CE296" i="8"/>
  <c r="CP296" i="8"/>
  <c r="CT296" i="8"/>
  <c r="AQ296" i="8"/>
  <c r="AU296" i="8"/>
  <c r="AS296" i="8"/>
  <c r="BP296" i="8"/>
  <c r="BT296" i="8"/>
  <c r="BX296" i="8"/>
  <c r="CC296" i="8"/>
  <c r="CG296" i="8"/>
  <c r="CR296" i="8"/>
  <c r="C68" i="8"/>
  <c r="F146" i="8"/>
  <c r="H98" i="17" l="1"/>
  <c r="H166" i="17"/>
  <c r="L40" i="17"/>
  <c r="M40" i="17"/>
  <c r="N40" i="17"/>
  <c r="O40" i="17"/>
  <c r="D393" i="7"/>
  <c r="W297" i="8"/>
  <c r="F298" i="8"/>
  <c r="J228" i="17" s="1"/>
  <c r="E222" i="8"/>
  <c r="BR297" i="8"/>
  <c r="BV297" i="8"/>
  <c r="BZ297" i="8"/>
  <c r="CE297" i="8"/>
  <c r="CP297" i="8"/>
  <c r="CT297" i="8"/>
  <c r="AS297" i="8"/>
  <c r="AQ297" i="8"/>
  <c r="AU297" i="8"/>
  <c r="BP297" i="8"/>
  <c r="BT297" i="8"/>
  <c r="BX297" i="8"/>
  <c r="CC297" i="8"/>
  <c r="CG297" i="8"/>
  <c r="CR297" i="8"/>
  <c r="C69" i="8"/>
  <c r="F147" i="8"/>
  <c r="H99" i="17" l="1"/>
  <c r="H167" i="17"/>
  <c r="L41" i="17"/>
  <c r="M41" i="17"/>
  <c r="O41" i="17"/>
  <c r="N41" i="17"/>
  <c r="D394" i="7"/>
  <c r="W298" i="8"/>
  <c r="F299" i="8"/>
  <c r="J229" i="17" s="1"/>
  <c r="E223" i="8"/>
  <c r="BR298" i="8"/>
  <c r="BV298" i="8"/>
  <c r="BZ298" i="8"/>
  <c r="CE298" i="8"/>
  <c r="CP298" i="8"/>
  <c r="CT298" i="8"/>
  <c r="AQ298" i="8"/>
  <c r="AU298" i="8"/>
  <c r="AS298" i="8"/>
  <c r="BP298" i="8"/>
  <c r="BT298" i="8"/>
  <c r="BX298" i="8"/>
  <c r="CC298" i="8"/>
  <c r="CG298" i="8"/>
  <c r="CR298" i="8"/>
  <c r="C70" i="8"/>
  <c r="F148" i="8"/>
  <c r="H100" i="17" l="1"/>
  <c r="H168" i="17"/>
  <c r="O42" i="17"/>
  <c r="L42" i="17"/>
  <c r="N42" i="17"/>
  <c r="M42" i="17"/>
  <c r="D395" i="7"/>
  <c r="W299" i="8"/>
  <c r="F300" i="8"/>
  <c r="J230" i="17" s="1"/>
  <c r="E224" i="8"/>
  <c r="BR299" i="8"/>
  <c r="BV299" i="8"/>
  <c r="BZ299" i="8"/>
  <c r="CE299" i="8"/>
  <c r="CP299" i="8"/>
  <c r="CT299" i="8"/>
  <c r="AS299" i="8"/>
  <c r="AQ299" i="8"/>
  <c r="AU299" i="8"/>
  <c r="BP299" i="8"/>
  <c r="BT299" i="8"/>
  <c r="BX299" i="8"/>
  <c r="CC299" i="8"/>
  <c r="CG299" i="8"/>
  <c r="CR299" i="8"/>
  <c r="C71" i="8"/>
  <c r="F149" i="8"/>
  <c r="H101" i="17" l="1"/>
  <c r="H169" i="17"/>
  <c r="M43" i="17"/>
  <c r="O43" i="17"/>
  <c r="N43" i="17"/>
  <c r="L43" i="17"/>
  <c r="D396" i="7"/>
  <c r="W300" i="8"/>
  <c r="F301" i="8"/>
  <c r="J231" i="17" s="1"/>
  <c r="E225" i="8"/>
  <c r="BR300" i="8"/>
  <c r="BV300" i="8"/>
  <c r="BZ300" i="8"/>
  <c r="CE300" i="8"/>
  <c r="CP300" i="8"/>
  <c r="CT300" i="8"/>
  <c r="AQ300" i="8"/>
  <c r="AU300" i="8"/>
  <c r="AS300" i="8"/>
  <c r="BP300" i="8"/>
  <c r="BT300" i="8"/>
  <c r="BX300" i="8"/>
  <c r="CC300" i="8"/>
  <c r="CG300" i="8"/>
  <c r="CR300" i="8"/>
  <c r="C72" i="8"/>
  <c r="F150" i="8"/>
  <c r="H102" i="17" l="1"/>
  <c r="H170" i="17"/>
  <c r="N44" i="17"/>
  <c r="M44" i="17"/>
  <c r="L44" i="17"/>
  <c r="O44" i="17"/>
  <c r="D397" i="7"/>
  <c r="W301" i="8"/>
  <c r="F302" i="8"/>
  <c r="J232" i="17" s="1"/>
  <c r="E226" i="8"/>
  <c r="BR301" i="8"/>
  <c r="BV301" i="8"/>
  <c r="BZ301" i="8"/>
  <c r="CE301" i="8"/>
  <c r="CP301" i="8"/>
  <c r="CT301" i="8"/>
  <c r="AS301" i="8"/>
  <c r="AQ301" i="8"/>
  <c r="AU301" i="8"/>
  <c r="BP301" i="8"/>
  <c r="BT301" i="8"/>
  <c r="BX301" i="8"/>
  <c r="CC301" i="8"/>
  <c r="CG301" i="8"/>
  <c r="CR301" i="8"/>
  <c r="C73" i="8"/>
  <c r="F151" i="8"/>
  <c r="H103" i="17" l="1"/>
  <c r="H171" i="17"/>
  <c r="O45" i="17"/>
  <c r="M45" i="17"/>
  <c r="L45" i="17"/>
  <c r="N45" i="17"/>
  <c r="D398" i="7"/>
  <c r="W302" i="8"/>
  <c r="F303" i="8"/>
  <c r="J233" i="17" s="1"/>
  <c r="E227" i="8"/>
  <c r="BR302" i="8"/>
  <c r="BV302" i="8"/>
  <c r="BZ302" i="8"/>
  <c r="CE302" i="8"/>
  <c r="CP302" i="8"/>
  <c r="CT302" i="8"/>
  <c r="AQ302" i="8"/>
  <c r="AU302" i="8"/>
  <c r="AS302" i="8"/>
  <c r="BP302" i="8"/>
  <c r="BT302" i="8"/>
  <c r="BX302" i="8"/>
  <c r="CC302" i="8"/>
  <c r="CG302" i="8"/>
  <c r="CR302" i="8"/>
  <c r="C74" i="8"/>
  <c r="F152" i="8"/>
  <c r="H104" i="17" l="1"/>
  <c r="H172" i="17"/>
  <c r="O46" i="17"/>
  <c r="L46" i="17"/>
  <c r="N46" i="17"/>
  <c r="M46" i="17"/>
  <c r="D399" i="7"/>
  <c r="W303" i="8"/>
  <c r="F304" i="8"/>
  <c r="J234" i="17" s="1"/>
  <c r="E228" i="8"/>
  <c r="BR303" i="8"/>
  <c r="BV303" i="8"/>
  <c r="BZ303" i="8"/>
  <c r="CE303" i="8"/>
  <c r="CP303" i="8"/>
  <c r="CT303" i="8"/>
  <c r="AS303" i="8"/>
  <c r="AQ303" i="8"/>
  <c r="AU303" i="8"/>
  <c r="BP303" i="8"/>
  <c r="BT303" i="8"/>
  <c r="BX303" i="8"/>
  <c r="CC303" i="8"/>
  <c r="CG303" i="8"/>
  <c r="CR303" i="8"/>
  <c r="C75" i="8"/>
  <c r="F153" i="8"/>
  <c r="H105" i="17" l="1"/>
  <c r="H173" i="17"/>
  <c r="M47" i="17"/>
  <c r="N47" i="17"/>
  <c r="O47" i="17"/>
  <c r="L47" i="17"/>
  <c r="D400" i="7"/>
  <c r="W304" i="8"/>
  <c r="F305" i="8"/>
  <c r="J235" i="17" s="1"/>
  <c r="E229" i="8"/>
  <c r="BR304" i="8"/>
  <c r="BV304" i="8"/>
  <c r="BZ304" i="8"/>
  <c r="CE304" i="8"/>
  <c r="CP304" i="8"/>
  <c r="CT304" i="8"/>
  <c r="AQ304" i="8"/>
  <c r="AU304" i="8"/>
  <c r="AS304" i="8"/>
  <c r="BP304" i="8"/>
  <c r="BT304" i="8"/>
  <c r="BX304" i="8"/>
  <c r="CC304" i="8"/>
  <c r="CG304" i="8"/>
  <c r="CR304" i="8"/>
  <c r="C76" i="8"/>
  <c r="F154" i="8"/>
  <c r="H106" i="17" l="1"/>
  <c r="H174" i="17"/>
  <c r="M48" i="17"/>
  <c r="L48" i="17"/>
  <c r="N48" i="17"/>
  <c r="O48" i="17"/>
  <c r="D401" i="7"/>
  <c r="W305" i="8"/>
  <c r="F306" i="8"/>
  <c r="J236" i="17" s="1"/>
  <c r="E230" i="8"/>
  <c r="BR305" i="8"/>
  <c r="BV305" i="8"/>
  <c r="BZ305" i="8"/>
  <c r="CE305" i="8"/>
  <c r="CP305" i="8"/>
  <c r="CT305" i="8"/>
  <c r="AS305" i="8"/>
  <c r="AQ305" i="8"/>
  <c r="AU305" i="8"/>
  <c r="BP305" i="8"/>
  <c r="BT305" i="8"/>
  <c r="BX305" i="8"/>
  <c r="CC305" i="8"/>
  <c r="CG305" i="8"/>
  <c r="CR305" i="8"/>
  <c r="C77" i="8"/>
  <c r="F155" i="8"/>
  <c r="H107" i="17" l="1"/>
  <c r="H175" i="17"/>
  <c r="M49" i="17"/>
  <c r="L49" i="17"/>
  <c r="O49" i="17"/>
  <c r="N49" i="17"/>
  <c r="D402" i="7"/>
  <c r="W306" i="8"/>
  <c r="F307" i="8"/>
  <c r="J237" i="17" s="1"/>
  <c r="E231" i="8"/>
  <c r="BR306" i="8"/>
  <c r="BV306" i="8"/>
  <c r="BZ306" i="8"/>
  <c r="CE306" i="8"/>
  <c r="CP306" i="8"/>
  <c r="CT306" i="8"/>
  <c r="AQ306" i="8"/>
  <c r="AU306" i="8"/>
  <c r="AS306" i="8"/>
  <c r="BP306" i="8"/>
  <c r="BT306" i="8"/>
  <c r="BX306" i="8"/>
  <c r="CC306" i="8"/>
  <c r="CG306" i="8"/>
  <c r="CR306" i="8"/>
  <c r="C78" i="8"/>
  <c r="F156" i="8"/>
  <c r="H108" i="17" l="1"/>
  <c r="H176" i="17"/>
  <c r="L50" i="17"/>
  <c r="O50" i="17"/>
  <c r="N50" i="17"/>
  <c r="M50" i="17"/>
  <c r="D403" i="7"/>
  <c r="W307" i="8"/>
  <c r="F308" i="8"/>
  <c r="J238" i="17" s="1"/>
  <c r="E232" i="8"/>
  <c r="BR307" i="8"/>
  <c r="BV307" i="8"/>
  <c r="BZ307" i="8"/>
  <c r="CE307" i="8"/>
  <c r="CP307" i="8"/>
  <c r="CT307" i="8"/>
  <c r="AS307" i="8"/>
  <c r="AQ307" i="8"/>
  <c r="AU307" i="8"/>
  <c r="BP307" i="8"/>
  <c r="BT307" i="8"/>
  <c r="BX307" i="8"/>
  <c r="CC307" i="8"/>
  <c r="CG307" i="8"/>
  <c r="CR307" i="8"/>
  <c r="C79" i="8"/>
  <c r="F157" i="8"/>
  <c r="H109" i="17" l="1"/>
  <c r="H177" i="17"/>
  <c r="N51" i="17"/>
  <c r="O51" i="17"/>
  <c r="M51" i="17"/>
  <c r="L51" i="17"/>
  <c r="D404" i="7"/>
  <c r="W308" i="8"/>
  <c r="F309" i="8"/>
  <c r="J239" i="17" s="1"/>
  <c r="E233" i="8"/>
  <c r="BR308" i="8"/>
  <c r="BV308" i="8"/>
  <c r="BZ308" i="8"/>
  <c r="CE308" i="8"/>
  <c r="CP308" i="8"/>
  <c r="CT308" i="8"/>
  <c r="AQ308" i="8"/>
  <c r="AU308" i="8"/>
  <c r="AS308" i="8"/>
  <c r="BP308" i="8"/>
  <c r="BT308" i="8"/>
  <c r="BX308" i="8"/>
  <c r="CC308" i="8"/>
  <c r="CG308" i="8"/>
  <c r="CR308" i="8"/>
  <c r="C80" i="8"/>
  <c r="F158" i="8"/>
  <c r="H110" i="17" l="1"/>
  <c r="H178" i="17"/>
  <c r="N52" i="17"/>
  <c r="L52" i="17"/>
  <c r="M52" i="17"/>
  <c r="O52" i="17"/>
  <c r="D405" i="7"/>
  <c r="W309" i="8"/>
  <c r="F310" i="8"/>
  <c r="J240" i="17" s="1"/>
  <c r="E234" i="8"/>
  <c r="BR309" i="8"/>
  <c r="BV309" i="8"/>
  <c r="BZ309" i="8"/>
  <c r="CE309" i="8"/>
  <c r="CP309" i="8"/>
  <c r="CT309" i="8"/>
  <c r="AS309" i="8"/>
  <c r="AQ309" i="8"/>
  <c r="AU309" i="8"/>
  <c r="BP309" i="8"/>
  <c r="BT309" i="8"/>
  <c r="BX309" i="8"/>
  <c r="CC309" i="8"/>
  <c r="CG309" i="8"/>
  <c r="CR309" i="8"/>
  <c r="C81" i="8"/>
  <c r="F159" i="8"/>
  <c r="H111" i="17" l="1"/>
  <c r="H179" i="17"/>
  <c r="N53" i="17"/>
  <c r="L53" i="17"/>
  <c r="O53" i="17"/>
  <c r="M53" i="17"/>
  <c r="D406" i="7"/>
  <c r="W310" i="8"/>
  <c r="F160" i="8"/>
  <c r="F311" i="8"/>
  <c r="J241" i="17" s="1"/>
  <c r="E235" i="8"/>
  <c r="BR310" i="8"/>
  <c r="BV310" i="8"/>
  <c r="BZ310" i="8"/>
  <c r="CE310" i="8"/>
  <c r="CP310" i="8"/>
  <c r="CT310" i="8"/>
  <c r="AQ310" i="8"/>
  <c r="AU310" i="8"/>
  <c r="AS310" i="8"/>
  <c r="BP310" i="8"/>
  <c r="BT310" i="8"/>
  <c r="BX310" i="8"/>
  <c r="CC310" i="8"/>
  <c r="CG310" i="8"/>
  <c r="CR310" i="8"/>
  <c r="H112" i="17" l="1"/>
  <c r="H180" i="17"/>
  <c r="N54" i="17"/>
  <c r="O54" i="17"/>
  <c r="M54" i="17"/>
  <c r="L54" i="17"/>
  <c r="D407" i="7"/>
  <c r="W311" i="8"/>
  <c r="BR311" i="8"/>
  <c r="BV311" i="8"/>
  <c r="BZ311" i="8"/>
  <c r="CE311" i="8"/>
  <c r="CP311" i="8"/>
  <c r="CT311" i="8"/>
  <c r="AS311" i="8"/>
  <c r="AQ311" i="8"/>
  <c r="AU311" i="8"/>
  <c r="BP311" i="8"/>
  <c r="BT311" i="8"/>
  <c r="BX311" i="8"/>
  <c r="CC311" i="8"/>
  <c r="CG311" i="8"/>
  <c r="CR311" i="8"/>
</calcChain>
</file>

<file path=xl/comments1.xml><?xml version="1.0" encoding="utf-8"?>
<comments xmlns="http://schemas.openxmlformats.org/spreadsheetml/2006/main">
  <authors>
    <author>ctsuser</author>
  </authors>
  <commentList>
    <comment ref="E19" authorId="0" shape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shapeId="0">
      <text>
        <r>
          <rPr>
            <sz val="12"/>
            <color indexed="81"/>
            <rFont val="Tahoma"/>
            <family val="2"/>
          </rPr>
          <t>Li et al., I&amp;EC research 
2011, 50, (5), 2981-2993.
$0.83*0.7</t>
        </r>
      </text>
    </comment>
    <comment ref="K91" authorId="0" shapeId="0">
      <text>
        <r>
          <rPr>
            <sz val="10"/>
            <color indexed="81"/>
            <rFont val="Tahoma"/>
            <family val="2"/>
          </rPr>
          <t xml:space="preserve">http://www.methanex.com/products/methanolprice.html
</t>
        </r>
      </text>
    </comment>
    <comment ref="N91" authorId="0" shapeId="0">
      <text>
        <r>
          <rPr>
            <sz val="12"/>
            <color indexed="81"/>
            <rFont val="Tahoma"/>
            <family val="2"/>
          </rPr>
          <t xml:space="preserve">ICIS pricing report October 2011
</t>
        </r>
      </text>
    </comment>
    <comment ref="Q91" authorId="0" shapeId="0">
      <text>
        <r>
          <rPr>
            <sz val="10"/>
            <color indexed="81"/>
            <rFont val="Tahoma"/>
            <family val="2"/>
          </rPr>
          <t xml:space="preserve">High-purity water for process use, Table 8.3 in Turton et al. 2008
</t>
        </r>
      </text>
    </comment>
    <comment ref="T91" authorId="0" shapeId="0">
      <text>
        <r>
          <rPr>
            <sz val="10"/>
            <color indexed="81"/>
            <rFont val="Tahoma"/>
            <family val="2"/>
          </rPr>
          <t>http://www.alibaba.com/products/industrial_grade_phosphoric_acid.html</t>
        </r>
        <r>
          <rPr>
            <sz val="8"/>
            <color indexed="81"/>
            <rFont val="Tahoma"/>
            <family val="2"/>
          </rPr>
          <t xml:space="preserve">
</t>
        </r>
      </text>
    </comment>
    <comment ref="W91" authorId="0" shapeId="0">
      <text>
        <r>
          <rPr>
            <sz val="12"/>
            <color indexed="81"/>
            <rFont val="Tahoma"/>
            <family val="2"/>
          </rPr>
          <t>http://www.icis.com/chemicals/channel-info-chemicals-a-z/</t>
        </r>
      </text>
    </comment>
    <comment ref="Z91" authorId="0" shapeId="0">
      <text>
        <r>
          <rPr>
            <sz val="12"/>
            <color indexed="81"/>
            <rFont val="Tahoma"/>
            <family val="2"/>
          </rPr>
          <t>http://www.icispricing.com/il_shared/Samples/SubPage170.asp
$0.4*2.2</t>
        </r>
      </text>
    </comment>
    <comment ref="F109" authorId="0" shapeId="0">
      <text>
        <r>
          <rPr>
            <sz val="12"/>
            <color indexed="81"/>
            <rFont val="Tahoma"/>
            <family val="2"/>
          </rPr>
          <t>This can be calculated automatically.</t>
        </r>
      </text>
    </comment>
    <comment ref="I179" authorId="0" shapeId="0">
      <text>
        <r>
          <rPr>
            <sz val="11"/>
            <color indexed="81"/>
            <rFont val="Tahoma"/>
            <family val="2"/>
          </rPr>
          <t>If this is a product stream, type 1. Otherwise zero for waste.</t>
        </r>
      </text>
    </comment>
    <comment ref="L179" authorId="0" shapeId="0">
      <text>
        <r>
          <rPr>
            <sz val="11"/>
            <color indexed="81"/>
            <rFont val="Tahoma"/>
            <family val="2"/>
          </rPr>
          <t>If this is a product stream, type 1. Otherwise zero for waste.</t>
        </r>
      </text>
    </comment>
    <comment ref="O179" authorId="0" shapeId="0">
      <text>
        <r>
          <rPr>
            <sz val="11"/>
            <color indexed="81"/>
            <rFont val="Tahoma"/>
            <family val="2"/>
          </rPr>
          <t>If this is a product stream, type 1. Otherwise zero for waste.</t>
        </r>
      </text>
    </comment>
    <comment ref="R179" authorId="0" shapeId="0">
      <text>
        <r>
          <rPr>
            <sz val="11"/>
            <color indexed="81"/>
            <rFont val="Tahoma"/>
            <family val="2"/>
          </rPr>
          <t>If this is a product stream, type 1. Otherwise zero for waste.</t>
        </r>
      </text>
    </comment>
    <comment ref="U179" authorId="0" shapeId="0">
      <text>
        <r>
          <rPr>
            <sz val="11"/>
            <color indexed="81"/>
            <rFont val="Tahoma"/>
            <family val="2"/>
          </rPr>
          <t>If this is a product stream, type 1. Otherwise zero for waste.</t>
        </r>
      </text>
    </comment>
    <comment ref="X179" authorId="0" shapeId="0">
      <text>
        <r>
          <rPr>
            <sz val="11"/>
            <color indexed="81"/>
            <rFont val="Tahoma"/>
            <family val="2"/>
          </rPr>
          <t>If this is a product stream, type 1. Otherwise zero for waste.</t>
        </r>
      </text>
    </comment>
    <comment ref="AA179" authorId="0" shapeId="0">
      <text>
        <r>
          <rPr>
            <sz val="11"/>
            <color indexed="81"/>
            <rFont val="Tahoma"/>
            <family val="2"/>
          </rPr>
          <t>If this is a product stream, type 1. Otherwise zero for waste.</t>
        </r>
      </text>
    </comment>
    <comment ref="AD179" authorId="0" shapeId="0">
      <text>
        <r>
          <rPr>
            <sz val="11"/>
            <color indexed="81"/>
            <rFont val="Tahoma"/>
            <family val="2"/>
          </rPr>
          <t>If this is a product stream, type 1. Otherwise zero for waste.</t>
        </r>
      </text>
    </comment>
    <comment ref="AG179" authorId="0" shapeId="0">
      <text>
        <r>
          <rPr>
            <sz val="11"/>
            <color indexed="81"/>
            <rFont val="Tahoma"/>
            <family val="2"/>
          </rPr>
          <t>If this is a product stream, type 1. Otherwise zero for waste.</t>
        </r>
      </text>
    </comment>
    <comment ref="AJ179" authorId="0" shapeId="0">
      <text>
        <r>
          <rPr>
            <sz val="11"/>
            <color indexed="81"/>
            <rFont val="Tahoma"/>
            <family val="2"/>
          </rPr>
          <t>If this is a product stream, type 1. Otherwise zero for waste.</t>
        </r>
      </text>
    </comment>
    <comment ref="AM179" authorId="0" shapeId="0">
      <text>
        <r>
          <rPr>
            <sz val="11"/>
            <color indexed="81"/>
            <rFont val="Tahoma"/>
            <family val="2"/>
          </rPr>
          <t>If this is a product stream, type 1. Otherwise zero for waste.</t>
        </r>
      </text>
    </comment>
    <comment ref="AP179" authorId="0" shapeId="0">
      <text>
        <r>
          <rPr>
            <sz val="11"/>
            <color indexed="81"/>
            <rFont val="Tahoma"/>
            <family val="2"/>
          </rPr>
          <t>If this is a product stream, type 1. Otherwise zero for waste.</t>
        </r>
      </text>
    </comment>
    <comment ref="AS179" authorId="0" shapeId="0">
      <text>
        <r>
          <rPr>
            <sz val="11"/>
            <color indexed="81"/>
            <rFont val="Tahoma"/>
            <family val="2"/>
          </rPr>
          <t>If this is a product stream, type 1. Otherwise zero for waste.</t>
        </r>
      </text>
    </comment>
    <comment ref="AV179" authorId="0" shapeId="0">
      <text>
        <r>
          <rPr>
            <sz val="11"/>
            <color indexed="81"/>
            <rFont val="Tahoma"/>
            <family val="2"/>
          </rPr>
          <t>If this is a product stream, type 1. Otherwise zero for waste.</t>
        </r>
      </text>
    </comment>
    <comment ref="AY179" authorId="0" shapeId="0">
      <text>
        <r>
          <rPr>
            <sz val="11"/>
            <color indexed="81"/>
            <rFont val="Tahoma"/>
            <family val="2"/>
          </rPr>
          <t>If this is a product stream, type 1. Otherwise zero for waste.</t>
        </r>
      </text>
    </comment>
    <comment ref="BB179" authorId="0" shapeId="0">
      <text>
        <r>
          <rPr>
            <sz val="11"/>
            <color indexed="81"/>
            <rFont val="Tahoma"/>
            <family val="2"/>
          </rPr>
          <t>If this is a product stream, type 1. Otherwise zero for waste.</t>
        </r>
      </text>
    </comment>
    <comment ref="BE179" authorId="0" shapeId="0">
      <text>
        <r>
          <rPr>
            <sz val="11"/>
            <color indexed="81"/>
            <rFont val="Tahoma"/>
            <family val="2"/>
          </rPr>
          <t>If this is a product stream, type 1. Otherwise zero for waste.</t>
        </r>
      </text>
    </comment>
    <comment ref="BH179" authorId="0" shapeId="0">
      <text>
        <r>
          <rPr>
            <sz val="11"/>
            <color indexed="81"/>
            <rFont val="Tahoma"/>
            <family val="2"/>
          </rPr>
          <t>If this is a product stream, type 1. Otherwise zero for waste.</t>
        </r>
      </text>
    </comment>
    <comment ref="BK179" authorId="0" shapeId="0">
      <text>
        <r>
          <rPr>
            <sz val="11"/>
            <color indexed="81"/>
            <rFont val="Tahoma"/>
            <family val="2"/>
          </rPr>
          <t>If this is a product stream, type 1. Otherwise zero for waste.</t>
        </r>
      </text>
    </comment>
    <comment ref="BN179" authorId="0" shapeId="0">
      <text>
        <r>
          <rPr>
            <sz val="11"/>
            <color indexed="81"/>
            <rFont val="Tahoma"/>
            <family val="2"/>
          </rPr>
          <t>If this is a product stream, type 1. Otherwise zero for waste.</t>
        </r>
      </text>
    </comment>
    <comment ref="BQ179" authorId="0" shapeId="0">
      <text>
        <r>
          <rPr>
            <sz val="11"/>
            <color indexed="81"/>
            <rFont val="Tahoma"/>
            <family val="2"/>
          </rPr>
          <t>If this is a product stream, type 1. Otherwise zero for waste.</t>
        </r>
      </text>
    </comment>
    <comment ref="BT179" authorId="0" shapeId="0">
      <text>
        <r>
          <rPr>
            <sz val="11"/>
            <color indexed="81"/>
            <rFont val="Tahoma"/>
            <family val="2"/>
          </rPr>
          <t>If this is a product stream, type 1. Otherwise zero for waste.</t>
        </r>
      </text>
    </comment>
    <comment ref="BW179" authorId="0" shapeId="0">
      <text>
        <r>
          <rPr>
            <sz val="11"/>
            <color indexed="81"/>
            <rFont val="Tahoma"/>
            <family val="2"/>
          </rPr>
          <t>If this is a product stream, type 1. Otherwise zero for waste.</t>
        </r>
      </text>
    </comment>
    <comment ref="BZ179" authorId="0" shapeId="0">
      <text>
        <r>
          <rPr>
            <sz val="11"/>
            <color indexed="81"/>
            <rFont val="Tahoma"/>
            <family val="2"/>
          </rPr>
          <t>If this is a product stream, type 1. Otherwise zero for waste.</t>
        </r>
      </text>
    </comment>
    <comment ref="CC179" authorId="0" shapeId="0">
      <text>
        <r>
          <rPr>
            <sz val="11"/>
            <color indexed="81"/>
            <rFont val="Tahoma"/>
            <family val="2"/>
          </rPr>
          <t>If this is a product stream, type 1. Otherwise zero for waste.</t>
        </r>
      </text>
    </comment>
    <comment ref="CF179" authorId="0" shapeId="0">
      <text>
        <r>
          <rPr>
            <sz val="11"/>
            <color indexed="81"/>
            <rFont val="Tahoma"/>
            <family val="2"/>
          </rPr>
          <t>If this is a product stream, type 1. Otherwise zero for waste.</t>
        </r>
      </text>
    </comment>
    <comment ref="CI179" authorId="0" shapeId="0">
      <text>
        <r>
          <rPr>
            <sz val="11"/>
            <color indexed="81"/>
            <rFont val="Tahoma"/>
            <family val="2"/>
          </rPr>
          <t>If this is a product stream, type 1. Otherwise zero for waste.</t>
        </r>
      </text>
    </comment>
    <comment ref="CL179" authorId="0" shapeId="0">
      <text>
        <r>
          <rPr>
            <sz val="11"/>
            <color indexed="81"/>
            <rFont val="Tahoma"/>
            <family val="2"/>
          </rPr>
          <t>If this is a product stream, type 1. Otherwise zero for waste.</t>
        </r>
      </text>
    </comment>
    <comment ref="CO179" authorId="0" shapeId="0">
      <text>
        <r>
          <rPr>
            <sz val="11"/>
            <color indexed="81"/>
            <rFont val="Tahoma"/>
            <family val="2"/>
          </rPr>
          <t>If this is a product stream, type 1. Otherwise zero for waste.</t>
        </r>
      </text>
    </comment>
    <comment ref="CR179" authorId="0" shapeId="0">
      <text>
        <r>
          <rPr>
            <sz val="11"/>
            <color indexed="81"/>
            <rFont val="Tahoma"/>
            <family val="2"/>
          </rPr>
          <t>If this is a product stream, type 1. Otherwise zero for waste.</t>
        </r>
      </text>
    </comment>
    <comment ref="CU179" authorId="0" shapeId="0">
      <text>
        <r>
          <rPr>
            <sz val="11"/>
            <color indexed="81"/>
            <rFont val="Tahoma"/>
            <family val="2"/>
          </rPr>
          <t>If this is a product stream, type 1. Otherwise zero for waste.</t>
        </r>
      </text>
    </comment>
    <comment ref="CX179" authorId="0" shapeId="0">
      <text>
        <r>
          <rPr>
            <sz val="11"/>
            <color indexed="81"/>
            <rFont val="Tahoma"/>
            <family val="2"/>
          </rPr>
          <t>If this is a product stream, type 1. Otherwise zero for waste.</t>
        </r>
      </text>
    </comment>
    <comment ref="DA179" authorId="0" shapeId="0">
      <text>
        <r>
          <rPr>
            <sz val="11"/>
            <color indexed="81"/>
            <rFont val="Tahoma"/>
            <family val="2"/>
          </rPr>
          <t>If this is a product stream, type 1. Otherwise zero for waste.</t>
        </r>
      </text>
    </comment>
    <comment ref="DD179" authorId="0" shapeId="0">
      <text>
        <r>
          <rPr>
            <sz val="11"/>
            <color indexed="81"/>
            <rFont val="Tahoma"/>
            <family val="2"/>
          </rPr>
          <t>If this is a product stream, type 1. Otherwise zero for waste.</t>
        </r>
      </text>
    </comment>
    <comment ref="DG179" authorId="0" shapeId="0">
      <text>
        <r>
          <rPr>
            <sz val="11"/>
            <color indexed="81"/>
            <rFont val="Tahoma"/>
            <family val="2"/>
          </rPr>
          <t>If this is a product stream, type 1. Otherwise zero for waste.</t>
        </r>
      </text>
    </comment>
    <comment ref="DJ179" authorId="0" shapeId="0">
      <text>
        <r>
          <rPr>
            <sz val="11"/>
            <color indexed="81"/>
            <rFont val="Tahoma"/>
            <family val="2"/>
          </rPr>
          <t>If this is a product stream, type 1. Otherwise zero for waste.</t>
        </r>
      </text>
    </comment>
    <comment ref="DM179" authorId="0" shapeId="0">
      <text>
        <r>
          <rPr>
            <sz val="11"/>
            <color indexed="81"/>
            <rFont val="Tahoma"/>
            <family val="2"/>
          </rPr>
          <t>If this is a product stream, type 1. Otherwise zero for waste.</t>
        </r>
      </text>
    </comment>
    <comment ref="DP179" authorId="0" shapeId="0">
      <text>
        <r>
          <rPr>
            <sz val="11"/>
            <color indexed="81"/>
            <rFont val="Tahoma"/>
            <family val="2"/>
          </rPr>
          <t>If this is a product stream, type 1. Otherwise zero for waste.</t>
        </r>
      </text>
    </comment>
    <comment ref="DS179" authorId="0" shapeId="0">
      <text>
        <r>
          <rPr>
            <sz val="11"/>
            <color indexed="81"/>
            <rFont val="Tahoma"/>
            <family val="2"/>
          </rPr>
          <t>If this is a product stream, type 1. Otherwise zero for waste.</t>
        </r>
      </text>
    </comment>
    <comment ref="DV179" authorId="0" shapeId="0">
      <text>
        <r>
          <rPr>
            <sz val="11"/>
            <color indexed="81"/>
            <rFont val="Tahoma"/>
            <family val="2"/>
          </rPr>
          <t>If this is a product stream, type 1. Otherwise zero for waste.</t>
        </r>
      </text>
    </comment>
    <comment ref="H182" authorId="0" shapeId="0">
      <text>
        <r>
          <rPr>
            <sz val="11"/>
            <color indexed="81"/>
            <rFont val="Tahoma"/>
            <family val="2"/>
          </rPr>
          <t xml:space="preserve">Just for waste streams.
</t>
        </r>
      </text>
    </comment>
    <comment ref="K182" authorId="0" shapeId="0">
      <text>
        <r>
          <rPr>
            <sz val="11"/>
            <color indexed="81"/>
            <rFont val="Tahoma"/>
            <family val="2"/>
          </rPr>
          <t xml:space="preserve">Just for waste streams.
</t>
        </r>
      </text>
    </comment>
    <comment ref="N182" authorId="0" shapeId="0">
      <text>
        <r>
          <rPr>
            <sz val="11"/>
            <color indexed="81"/>
            <rFont val="Tahoma"/>
            <family val="2"/>
          </rPr>
          <t xml:space="preserve">Just for waste streams.
</t>
        </r>
      </text>
    </comment>
    <comment ref="Q182" authorId="0" shapeId="0">
      <text>
        <r>
          <rPr>
            <sz val="11"/>
            <color indexed="81"/>
            <rFont val="Tahoma"/>
            <family val="2"/>
          </rPr>
          <t xml:space="preserve">Just for waste streams.
</t>
        </r>
      </text>
    </comment>
    <comment ref="T182" authorId="0" shapeId="0">
      <text>
        <r>
          <rPr>
            <sz val="11"/>
            <color indexed="81"/>
            <rFont val="Tahoma"/>
            <family val="2"/>
          </rPr>
          <t xml:space="preserve">Just for waste streams.
</t>
        </r>
      </text>
    </comment>
    <comment ref="W182" authorId="0" shapeId="0">
      <text>
        <r>
          <rPr>
            <sz val="11"/>
            <color indexed="81"/>
            <rFont val="Tahoma"/>
            <family val="2"/>
          </rPr>
          <t xml:space="preserve">Just for waste streams.
</t>
        </r>
      </text>
    </comment>
    <comment ref="Z182" authorId="0" shapeId="0">
      <text>
        <r>
          <rPr>
            <sz val="11"/>
            <color indexed="81"/>
            <rFont val="Tahoma"/>
            <family val="2"/>
          </rPr>
          <t xml:space="preserve">Just for waste streams.
</t>
        </r>
      </text>
    </comment>
    <comment ref="AC182" authorId="0" shapeId="0">
      <text>
        <r>
          <rPr>
            <sz val="12"/>
            <color indexed="81"/>
            <rFont val="Tahoma"/>
            <family val="2"/>
          </rPr>
          <t xml:space="preserve">Just for waste streams.
</t>
        </r>
      </text>
    </comment>
    <comment ref="AF182" authorId="0" shapeId="0">
      <text>
        <r>
          <rPr>
            <sz val="11"/>
            <color indexed="81"/>
            <rFont val="Tahoma"/>
            <family val="2"/>
          </rPr>
          <t xml:space="preserve">Just for waste streams.
</t>
        </r>
      </text>
    </comment>
    <comment ref="AI182" authorId="0" shapeId="0">
      <text>
        <r>
          <rPr>
            <sz val="11"/>
            <color indexed="81"/>
            <rFont val="Tahoma"/>
            <family val="2"/>
          </rPr>
          <t xml:space="preserve">Just for waste streams.
</t>
        </r>
      </text>
    </comment>
    <comment ref="AL182" authorId="0" shapeId="0">
      <text>
        <r>
          <rPr>
            <sz val="11"/>
            <color indexed="81"/>
            <rFont val="Tahoma"/>
            <family val="2"/>
          </rPr>
          <t xml:space="preserve">Just for waste streams.
</t>
        </r>
      </text>
    </comment>
    <comment ref="AO182" authorId="0" shapeId="0">
      <text>
        <r>
          <rPr>
            <sz val="11"/>
            <color indexed="81"/>
            <rFont val="Tahoma"/>
            <family val="2"/>
          </rPr>
          <t xml:space="preserve">Just for waste streams.
</t>
        </r>
      </text>
    </comment>
    <comment ref="AR182" authorId="0" shapeId="0">
      <text>
        <r>
          <rPr>
            <sz val="11"/>
            <color indexed="81"/>
            <rFont val="Tahoma"/>
            <family val="2"/>
          </rPr>
          <t xml:space="preserve">Just for waste streams.
</t>
        </r>
      </text>
    </comment>
    <comment ref="AU182" authorId="0" shapeId="0">
      <text>
        <r>
          <rPr>
            <sz val="11"/>
            <color indexed="81"/>
            <rFont val="Tahoma"/>
            <family val="2"/>
          </rPr>
          <t xml:space="preserve">Just for waste streams.
</t>
        </r>
      </text>
    </comment>
    <comment ref="AX182" authorId="0" shapeId="0">
      <text>
        <r>
          <rPr>
            <sz val="11"/>
            <color indexed="81"/>
            <rFont val="Tahoma"/>
            <family val="2"/>
          </rPr>
          <t xml:space="preserve">Just for waste streams.
</t>
        </r>
      </text>
    </comment>
    <comment ref="BA182" authorId="0" shapeId="0">
      <text>
        <r>
          <rPr>
            <sz val="11"/>
            <color indexed="81"/>
            <rFont val="Tahoma"/>
            <family val="2"/>
          </rPr>
          <t xml:space="preserve">Just for waste streams.
</t>
        </r>
      </text>
    </comment>
    <comment ref="BD182" authorId="0" shapeId="0">
      <text>
        <r>
          <rPr>
            <sz val="11"/>
            <color indexed="81"/>
            <rFont val="Tahoma"/>
            <family val="2"/>
          </rPr>
          <t xml:space="preserve">Just for waste streams.
</t>
        </r>
      </text>
    </comment>
    <comment ref="BG182" authorId="0" shapeId="0">
      <text>
        <r>
          <rPr>
            <sz val="11"/>
            <color indexed="81"/>
            <rFont val="Tahoma"/>
            <family val="2"/>
          </rPr>
          <t xml:space="preserve">Just for waste streams.
</t>
        </r>
      </text>
    </comment>
    <comment ref="BJ182" authorId="0" shapeId="0">
      <text>
        <r>
          <rPr>
            <sz val="11"/>
            <color indexed="81"/>
            <rFont val="Tahoma"/>
            <family val="2"/>
          </rPr>
          <t xml:space="preserve">Just for waste streams.
</t>
        </r>
      </text>
    </comment>
    <comment ref="BM182" authorId="0" shapeId="0">
      <text>
        <r>
          <rPr>
            <sz val="11"/>
            <color indexed="81"/>
            <rFont val="Tahoma"/>
            <family val="2"/>
          </rPr>
          <t xml:space="preserve">Just for waste streams.
</t>
        </r>
      </text>
    </comment>
    <comment ref="BP182" authorId="0" shapeId="0">
      <text>
        <r>
          <rPr>
            <sz val="11"/>
            <color indexed="81"/>
            <rFont val="Tahoma"/>
            <family val="2"/>
          </rPr>
          <t xml:space="preserve">Just for waste streams.
</t>
        </r>
      </text>
    </comment>
    <comment ref="BS182" authorId="0" shapeId="0">
      <text>
        <r>
          <rPr>
            <sz val="11"/>
            <color indexed="81"/>
            <rFont val="Tahoma"/>
            <family val="2"/>
          </rPr>
          <t xml:space="preserve">Just for waste streams.
</t>
        </r>
      </text>
    </comment>
    <comment ref="BV182" authorId="0" shapeId="0">
      <text>
        <r>
          <rPr>
            <sz val="11"/>
            <color indexed="81"/>
            <rFont val="Tahoma"/>
            <family val="2"/>
          </rPr>
          <t xml:space="preserve">Just for waste streams.
</t>
        </r>
      </text>
    </comment>
    <comment ref="BY182" authorId="0" shapeId="0">
      <text>
        <r>
          <rPr>
            <sz val="11"/>
            <color indexed="81"/>
            <rFont val="Tahoma"/>
            <family val="2"/>
          </rPr>
          <t xml:space="preserve">Just for waste streams.
</t>
        </r>
      </text>
    </comment>
    <comment ref="CB182" authorId="0" shapeId="0">
      <text>
        <r>
          <rPr>
            <sz val="11"/>
            <color indexed="81"/>
            <rFont val="Tahoma"/>
            <family val="2"/>
          </rPr>
          <t xml:space="preserve">Just for waste streams.
</t>
        </r>
      </text>
    </comment>
    <comment ref="CE182" authorId="0" shapeId="0">
      <text>
        <r>
          <rPr>
            <sz val="11"/>
            <color indexed="81"/>
            <rFont val="Tahoma"/>
            <family val="2"/>
          </rPr>
          <t xml:space="preserve">Just for waste streams.
</t>
        </r>
      </text>
    </comment>
    <comment ref="CH182" authorId="0" shapeId="0">
      <text>
        <r>
          <rPr>
            <sz val="11"/>
            <color indexed="81"/>
            <rFont val="Tahoma"/>
            <family val="2"/>
          </rPr>
          <t xml:space="preserve">Just for waste streams.
</t>
        </r>
      </text>
    </comment>
    <comment ref="CK182" authorId="0" shapeId="0">
      <text>
        <r>
          <rPr>
            <sz val="11"/>
            <color indexed="81"/>
            <rFont val="Tahoma"/>
            <family val="2"/>
          </rPr>
          <t xml:space="preserve">Just for waste streams.
</t>
        </r>
      </text>
    </comment>
    <comment ref="CN182" authorId="0" shapeId="0">
      <text>
        <r>
          <rPr>
            <sz val="11"/>
            <color indexed="81"/>
            <rFont val="Tahoma"/>
            <family val="2"/>
          </rPr>
          <t xml:space="preserve">Just for waste streams.
</t>
        </r>
      </text>
    </comment>
    <comment ref="CQ182" authorId="0" shapeId="0">
      <text>
        <r>
          <rPr>
            <sz val="11"/>
            <color indexed="81"/>
            <rFont val="Tahoma"/>
            <family val="2"/>
          </rPr>
          <t xml:space="preserve">Just for waste streams.
</t>
        </r>
      </text>
    </comment>
    <comment ref="CT182" authorId="0" shapeId="0">
      <text>
        <r>
          <rPr>
            <sz val="11"/>
            <color indexed="81"/>
            <rFont val="Tahoma"/>
            <family val="2"/>
          </rPr>
          <t xml:space="preserve">Just for waste streams.
</t>
        </r>
      </text>
    </comment>
    <comment ref="CW182" authorId="0" shapeId="0">
      <text>
        <r>
          <rPr>
            <sz val="11"/>
            <color indexed="81"/>
            <rFont val="Tahoma"/>
            <family val="2"/>
          </rPr>
          <t xml:space="preserve">Just for waste streams.
</t>
        </r>
      </text>
    </comment>
    <comment ref="CZ182" authorId="0" shapeId="0">
      <text>
        <r>
          <rPr>
            <sz val="11"/>
            <color indexed="81"/>
            <rFont val="Tahoma"/>
            <family val="2"/>
          </rPr>
          <t xml:space="preserve">Just for waste streams.
</t>
        </r>
      </text>
    </comment>
    <comment ref="DC182" authorId="0" shapeId="0">
      <text>
        <r>
          <rPr>
            <sz val="11"/>
            <color indexed="81"/>
            <rFont val="Tahoma"/>
            <family val="2"/>
          </rPr>
          <t xml:space="preserve">Just for waste streams.
</t>
        </r>
      </text>
    </comment>
    <comment ref="DF182" authorId="0" shapeId="0">
      <text>
        <r>
          <rPr>
            <sz val="11"/>
            <color indexed="81"/>
            <rFont val="Tahoma"/>
            <family val="2"/>
          </rPr>
          <t xml:space="preserve">Just for waste streams.
</t>
        </r>
      </text>
    </comment>
    <comment ref="DI182" authorId="0" shapeId="0">
      <text>
        <r>
          <rPr>
            <sz val="11"/>
            <color indexed="81"/>
            <rFont val="Tahoma"/>
            <family val="2"/>
          </rPr>
          <t xml:space="preserve">Just for waste streams.
</t>
        </r>
      </text>
    </comment>
    <comment ref="DL182" authorId="0" shapeId="0">
      <text>
        <r>
          <rPr>
            <sz val="11"/>
            <color indexed="81"/>
            <rFont val="Tahoma"/>
            <family val="2"/>
          </rPr>
          <t xml:space="preserve">Just for waste streams.
</t>
        </r>
      </text>
    </comment>
    <comment ref="DO182" authorId="0" shapeId="0">
      <text>
        <r>
          <rPr>
            <sz val="11"/>
            <color indexed="81"/>
            <rFont val="Tahoma"/>
            <family val="2"/>
          </rPr>
          <t xml:space="preserve">Just for waste streams.
</t>
        </r>
      </text>
    </comment>
    <comment ref="DR182" authorId="0" shapeId="0">
      <text>
        <r>
          <rPr>
            <sz val="11"/>
            <color indexed="81"/>
            <rFont val="Tahoma"/>
            <family val="2"/>
          </rPr>
          <t xml:space="preserve">Just for waste streams.
</t>
        </r>
      </text>
    </comment>
    <comment ref="DU182" authorId="0" shapeId="0">
      <text>
        <r>
          <rPr>
            <sz val="11"/>
            <color indexed="81"/>
            <rFont val="Tahoma"/>
            <family val="2"/>
          </rPr>
          <t xml:space="preserve">Just for waste streams.
</t>
        </r>
      </text>
    </comment>
    <comment ref="H183" authorId="0" shapeId="0">
      <text>
        <r>
          <rPr>
            <sz val="11"/>
            <color indexed="81"/>
            <rFont val="Tahoma"/>
            <family val="2"/>
          </rPr>
          <t xml:space="preserve">Just for product streams.
</t>
        </r>
      </text>
    </comment>
    <comment ref="K183" authorId="0" shapeId="0">
      <text>
        <r>
          <rPr>
            <sz val="11"/>
            <color indexed="81"/>
            <rFont val="Tahoma"/>
            <family val="2"/>
          </rPr>
          <t xml:space="preserve">Just for product streams.
</t>
        </r>
      </text>
    </comment>
    <comment ref="N183" authorId="0" shapeId="0">
      <text>
        <r>
          <rPr>
            <sz val="11"/>
            <color indexed="81"/>
            <rFont val="Tahoma"/>
            <family val="2"/>
          </rPr>
          <t xml:space="preserve">Just for product streams.
</t>
        </r>
      </text>
    </comment>
    <comment ref="Q183" authorId="0" shapeId="0">
      <text>
        <r>
          <rPr>
            <sz val="11"/>
            <color indexed="81"/>
            <rFont val="Tahoma"/>
            <family val="2"/>
          </rPr>
          <t xml:space="preserve">Just for product streams.
</t>
        </r>
      </text>
    </comment>
    <comment ref="T183" authorId="0" shapeId="0">
      <text>
        <r>
          <rPr>
            <sz val="11"/>
            <color indexed="81"/>
            <rFont val="Tahoma"/>
            <family val="2"/>
          </rPr>
          <t xml:space="preserve">Just for product streams.
</t>
        </r>
      </text>
    </comment>
    <comment ref="W183" authorId="0" shapeId="0">
      <text>
        <r>
          <rPr>
            <sz val="11"/>
            <color indexed="81"/>
            <rFont val="Tahoma"/>
            <family val="2"/>
          </rPr>
          <t xml:space="preserve">Just for product streams.
</t>
        </r>
      </text>
    </comment>
    <comment ref="Z183" authorId="0" shapeId="0">
      <text>
        <r>
          <rPr>
            <sz val="11"/>
            <color indexed="81"/>
            <rFont val="Tahoma"/>
            <family val="2"/>
          </rPr>
          <t xml:space="preserve">Just for product streams.
</t>
        </r>
      </text>
    </comment>
    <comment ref="AC183" authorId="0" shapeId="0">
      <text>
        <r>
          <rPr>
            <sz val="11"/>
            <color indexed="81"/>
            <rFont val="Tahoma"/>
            <family val="2"/>
          </rPr>
          <t xml:space="preserve">Just for product streams.
</t>
        </r>
      </text>
    </comment>
    <comment ref="AF183" authorId="0" shapeId="0">
      <text>
        <r>
          <rPr>
            <sz val="11"/>
            <color indexed="81"/>
            <rFont val="Tahoma"/>
            <family val="2"/>
          </rPr>
          <t xml:space="preserve">Just for product streams.
</t>
        </r>
      </text>
    </comment>
    <comment ref="AI183" authorId="0" shapeId="0">
      <text>
        <r>
          <rPr>
            <sz val="11"/>
            <color indexed="81"/>
            <rFont val="Tahoma"/>
            <family val="2"/>
          </rPr>
          <t xml:space="preserve">Just for product streams.
</t>
        </r>
      </text>
    </comment>
    <comment ref="AL183" authorId="0" shapeId="0">
      <text>
        <r>
          <rPr>
            <sz val="11"/>
            <color indexed="81"/>
            <rFont val="Tahoma"/>
            <family val="2"/>
          </rPr>
          <t xml:space="preserve">Just for product streams.
</t>
        </r>
      </text>
    </comment>
    <comment ref="AO183" authorId="0" shapeId="0">
      <text>
        <r>
          <rPr>
            <sz val="11"/>
            <color indexed="81"/>
            <rFont val="Tahoma"/>
            <family val="2"/>
          </rPr>
          <t xml:space="preserve">Just for product streams.
</t>
        </r>
      </text>
    </comment>
    <comment ref="AR183" authorId="0" shapeId="0">
      <text>
        <r>
          <rPr>
            <sz val="11"/>
            <color indexed="81"/>
            <rFont val="Tahoma"/>
            <family val="2"/>
          </rPr>
          <t xml:space="preserve">Just for product streams.
</t>
        </r>
      </text>
    </comment>
    <comment ref="AU183" authorId="0" shapeId="0">
      <text>
        <r>
          <rPr>
            <sz val="11"/>
            <color indexed="81"/>
            <rFont val="Tahoma"/>
            <family val="2"/>
          </rPr>
          <t xml:space="preserve">Just for product streams.
</t>
        </r>
      </text>
    </comment>
    <comment ref="AX183" authorId="0" shapeId="0">
      <text>
        <r>
          <rPr>
            <sz val="11"/>
            <color indexed="81"/>
            <rFont val="Tahoma"/>
            <family val="2"/>
          </rPr>
          <t xml:space="preserve">Just for product streams.
</t>
        </r>
      </text>
    </comment>
    <comment ref="BA183" authorId="0" shapeId="0">
      <text>
        <r>
          <rPr>
            <sz val="11"/>
            <color indexed="81"/>
            <rFont val="Tahoma"/>
            <family val="2"/>
          </rPr>
          <t xml:space="preserve">Just for product streams.
</t>
        </r>
      </text>
    </comment>
    <comment ref="BD183" authorId="0" shapeId="0">
      <text>
        <r>
          <rPr>
            <sz val="11"/>
            <color indexed="81"/>
            <rFont val="Tahoma"/>
            <family val="2"/>
          </rPr>
          <t xml:space="preserve">Just for product streams.
</t>
        </r>
      </text>
    </comment>
    <comment ref="BG183" authorId="0" shapeId="0">
      <text>
        <r>
          <rPr>
            <sz val="11"/>
            <color indexed="81"/>
            <rFont val="Tahoma"/>
            <family val="2"/>
          </rPr>
          <t xml:space="preserve">Just for product streams.
</t>
        </r>
      </text>
    </comment>
    <comment ref="BJ183" authorId="0" shapeId="0">
      <text>
        <r>
          <rPr>
            <sz val="11"/>
            <color indexed="81"/>
            <rFont val="Tahoma"/>
            <family val="2"/>
          </rPr>
          <t xml:space="preserve">Just for product streams.
</t>
        </r>
      </text>
    </comment>
    <comment ref="BM183" authorId="0" shapeId="0">
      <text>
        <r>
          <rPr>
            <sz val="11"/>
            <color indexed="81"/>
            <rFont val="Tahoma"/>
            <family val="2"/>
          </rPr>
          <t xml:space="preserve">Just for product streams.
</t>
        </r>
      </text>
    </comment>
    <comment ref="BP183" authorId="0" shapeId="0">
      <text>
        <r>
          <rPr>
            <sz val="11"/>
            <color indexed="81"/>
            <rFont val="Tahoma"/>
            <family val="2"/>
          </rPr>
          <t xml:space="preserve">Just for product streams.
</t>
        </r>
      </text>
    </comment>
    <comment ref="BS183" authorId="0" shapeId="0">
      <text>
        <r>
          <rPr>
            <sz val="11"/>
            <color indexed="81"/>
            <rFont val="Tahoma"/>
            <family val="2"/>
          </rPr>
          <t xml:space="preserve">Just for product streams.
</t>
        </r>
      </text>
    </comment>
    <comment ref="BV183" authorId="0" shapeId="0">
      <text>
        <r>
          <rPr>
            <sz val="11"/>
            <color indexed="81"/>
            <rFont val="Tahoma"/>
            <family val="2"/>
          </rPr>
          <t xml:space="preserve">Just for product streams.
</t>
        </r>
      </text>
    </comment>
    <comment ref="BY183" authorId="0" shapeId="0">
      <text>
        <r>
          <rPr>
            <sz val="11"/>
            <color indexed="81"/>
            <rFont val="Tahoma"/>
            <family val="2"/>
          </rPr>
          <t xml:space="preserve">Just for product streams.
</t>
        </r>
      </text>
    </comment>
    <comment ref="CB183" authorId="0" shapeId="0">
      <text>
        <r>
          <rPr>
            <sz val="11"/>
            <color indexed="81"/>
            <rFont val="Tahoma"/>
            <family val="2"/>
          </rPr>
          <t xml:space="preserve">Just for product streams.
</t>
        </r>
      </text>
    </comment>
    <comment ref="CE183" authorId="0" shapeId="0">
      <text>
        <r>
          <rPr>
            <sz val="11"/>
            <color indexed="81"/>
            <rFont val="Tahoma"/>
            <family val="2"/>
          </rPr>
          <t xml:space="preserve">Just for product streams.
</t>
        </r>
      </text>
    </comment>
    <comment ref="CH183" authorId="0" shapeId="0">
      <text>
        <r>
          <rPr>
            <sz val="11"/>
            <color indexed="81"/>
            <rFont val="Tahoma"/>
            <family val="2"/>
          </rPr>
          <t xml:space="preserve">Just for product streams.
</t>
        </r>
      </text>
    </comment>
    <comment ref="CK183" authorId="0" shapeId="0">
      <text>
        <r>
          <rPr>
            <sz val="11"/>
            <color indexed="81"/>
            <rFont val="Tahoma"/>
            <family val="2"/>
          </rPr>
          <t xml:space="preserve">Just for product streams.
</t>
        </r>
      </text>
    </comment>
    <comment ref="CN183" authorId="0" shapeId="0">
      <text>
        <r>
          <rPr>
            <sz val="11"/>
            <color indexed="81"/>
            <rFont val="Tahoma"/>
            <family val="2"/>
          </rPr>
          <t xml:space="preserve">Just for product streams.
</t>
        </r>
      </text>
    </comment>
    <comment ref="CQ183" authorId="0" shapeId="0">
      <text>
        <r>
          <rPr>
            <sz val="11"/>
            <color indexed="81"/>
            <rFont val="Tahoma"/>
            <family val="2"/>
          </rPr>
          <t xml:space="preserve">Just for product streams.
</t>
        </r>
      </text>
    </comment>
    <comment ref="CT183" authorId="0" shapeId="0">
      <text>
        <r>
          <rPr>
            <sz val="11"/>
            <color indexed="81"/>
            <rFont val="Tahoma"/>
            <family val="2"/>
          </rPr>
          <t xml:space="preserve">Just for product streams.
</t>
        </r>
      </text>
    </comment>
    <comment ref="CW183" authorId="0" shapeId="0">
      <text>
        <r>
          <rPr>
            <sz val="11"/>
            <color indexed="81"/>
            <rFont val="Tahoma"/>
            <family val="2"/>
          </rPr>
          <t xml:space="preserve">Just for product streams.
</t>
        </r>
      </text>
    </comment>
    <comment ref="CZ183" authorId="0" shapeId="0">
      <text>
        <r>
          <rPr>
            <sz val="11"/>
            <color indexed="81"/>
            <rFont val="Tahoma"/>
            <family val="2"/>
          </rPr>
          <t xml:space="preserve">Just for product streams.
</t>
        </r>
      </text>
    </comment>
    <comment ref="DC183" authorId="0" shapeId="0">
      <text>
        <r>
          <rPr>
            <sz val="11"/>
            <color indexed="81"/>
            <rFont val="Tahoma"/>
            <family val="2"/>
          </rPr>
          <t xml:space="preserve">Just for product streams.
</t>
        </r>
      </text>
    </comment>
    <comment ref="DF183" authorId="0" shapeId="0">
      <text>
        <r>
          <rPr>
            <sz val="11"/>
            <color indexed="81"/>
            <rFont val="Tahoma"/>
            <family val="2"/>
          </rPr>
          <t xml:space="preserve">Just for product streams.
</t>
        </r>
      </text>
    </comment>
    <comment ref="DI183" authorId="0" shapeId="0">
      <text>
        <r>
          <rPr>
            <sz val="11"/>
            <color indexed="81"/>
            <rFont val="Tahoma"/>
            <family val="2"/>
          </rPr>
          <t xml:space="preserve">Just for product streams.
</t>
        </r>
      </text>
    </comment>
    <comment ref="DL183" authorId="0" shapeId="0">
      <text>
        <r>
          <rPr>
            <sz val="11"/>
            <color indexed="81"/>
            <rFont val="Tahoma"/>
            <family val="2"/>
          </rPr>
          <t xml:space="preserve">Just for product streams.
</t>
        </r>
      </text>
    </comment>
    <comment ref="DO183" authorId="0" shapeId="0">
      <text>
        <r>
          <rPr>
            <sz val="11"/>
            <color indexed="81"/>
            <rFont val="Tahoma"/>
            <family val="2"/>
          </rPr>
          <t xml:space="preserve">Just for product streams.
</t>
        </r>
      </text>
    </comment>
    <comment ref="DR183" authorId="0" shapeId="0">
      <text>
        <r>
          <rPr>
            <sz val="11"/>
            <color indexed="81"/>
            <rFont val="Tahoma"/>
            <family val="2"/>
          </rPr>
          <t xml:space="preserve">Just for product streams.
</t>
        </r>
      </text>
    </comment>
    <comment ref="DU183" authorId="0" shapeId="0">
      <text>
        <r>
          <rPr>
            <sz val="11"/>
            <color indexed="81"/>
            <rFont val="Tahoma"/>
            <family val="2"/>
          </rPr>
          <t xml:space="preserve">Just for product streams.
</t>
        </r>
      </text>
    </comment>
    <comment ref="H184" authorId="0" shapeId="0">
      <text>
        <r>
          <rPr>
            <sz val="11"/>
            <color indexed="81"/>
            <rFont val="Tahoma"/>
            <family val="2"/>
          </rPr>
          <t xml:space="preserve">Just for waste streams.
</t>
        </r>
      </text>
    </comment>
    <comment ref="K184" authorId="0" shapeId="0">
      <text>
        <r>
          <rPr>
            <sz val="11"/>
            <color indexed="81"/>
            <rFont val="Tahoma"/>
            <family val="2"/>
          </rPr>
          <t xml:space="preserve">Just for waste streams.
</t>
        </r>
      </text>
    </comment>
    <comment ref="N184" authorId="0" shapeId="0">
      <text>
        <r>
          <rPr>
            <sz val="11"/>
            <color indexed="81"/>
            <rFont val="Tahoma"/>
            <family val="2"/>
          </rPr>
          <t xml:space="preserve">Just for waste streams.
</t>
        </r>
      </text>
    </comment>
    <comment ref="Q184" authorId="0" shapeId="0">
      <text>
        <r>
          <rPr>
            <sz val="11"/>
            <color indexed="81"/>
            <rFont val="Tahoma"/>
            <family val="2"/>
          </rPr>
          <t xml:space="preserve">Just for waste streams.
</t>
        </r>
      </text>
    </comment>
    <comment ref="T184" authorId="0" shapeId="0">
      <text>
        <r>
          <rPr>
            <sz val="11"/>
            <color indexed="81"/>
            <rFont val="Tahoma"/>
            <family val="2"/>
          </rPr>
          <t xml:space="preserve">Just for waste streams.
</t>
        </r>
      </text>
    </comment>
    <comment ref="W184" authorId="0" shapeId="0">
      <text>
        <r>
          <rPr>
            <sz val="11"/>
            <color indexed="81"/>
            <rFont val="Tahoma"/>
            <family val="2"/>
          </rPr>
          <t xml:space="preserve">Just for waste streams.
</t>
        </r>
      </text>
    </comment>
    <comment ref="Z184" authorId="0" shapeId="0">
      <text>
        <r>
          <rPr>
            <sz val="11"/>
            <color indexed="81"/>
            <rFont val="Tahoma"/>
            <family val="2"/>
          </rPr>
          <t xml:space="preserve">Just for waste streams.
</t>
        </r>
      </text>
    </comment>
    <comment ref="AC184" authorId="0" shapeId="0">
      <text>
        <r>
          <rPr>
            <sz val="11"/>
            <color indexed="81"/>
            <rFont val="Tahoma"/>
            <family val="2"/>
          </rPr>
          <t xml:space="preserve">Just for waste streams.
</t>
        </r>
      </text>
    </comment>
    <comment ref="AF184" authorId="0" shapeId="0">
      <text>
        <r>
          <rPr>
            <sz val="11"/>
            <color indexed="81"/>
            <rFont val="Tahoma"/>
            <family val="2"/>
          </rPr>
          <t xml:space="preserve">Just for waste streams.
</t>
        </r>
      </text>
    </comment>
    <comment ref="AI184" authorId="0" shapeId="0">
      <text>
        <r>
          <rPr>
            <sz val="11"/>
            <color indexed="81"/>
            <rFont val="Tahoma"/>
            <family val="2"/>
          </rPr>
          <t xml:space="preserve">Just for waste streams.
</t>
        </r>
      </text>
    </comment>
    <comment ref="AL184" authorId="0" shapeId="0">
      <text>
        <r>
          <rPr>
            <sz val="11"/>
            <color indexed="81"/>
            <rFont val="Tahoma"/>
            <family val="2"/>
          </rPr>
          <t xml:space="preserve">Just for waste streams.
</t>
        </r>
      </text>
    </comment>
    <comment ref="AO184" authorId="0" shapeId="0">
      <text>
        <r>
          <rPr>
            <sz val="11"/>
            <color indexed="81"/>
            <rFont val="Tahoma"/>
            <family val="2"/>
          </rPr>
          <t xml:space="preserve">Just for waste streams.
</t>
        </r>
      </text>
    </comment>
    <comment ref="AR184" authorId="0" shapeId="0">
      <text>
        <r>
          <rPr>
            <sz val="11"/>
            <color indexed="81"/>
            <rFont val="Tahoma"/>
            <family val="2"/>
          </rPr>
          <t xml:space="preserve">Just for waste streams.
</t>
        </r>
      </text>
    </comment>
    <comment ref="AU184" authorId="0" shapeId="0">
      <text>
        <r>
          <rPr>
            <sz val="11"/>
            <color indexed="81"/>
            <rFont val="Tahoma"/>
            <family val="2"/>
          </rPr>
          <t xml:space="preserve">Just for waste streams.
</t>
        </r>
      </text>
    </comment>
    <comment ref="AX184" authorId="0" shapeId="0">
      <text>
        <r>
          <rPr>
            <sz val="11"/>
            <color indexed="81"/>
            <rFont val="Tahoma"/>
            <family val="2"/>
          </rPr>
          <t xml:space="preserve">Just for waste streams.
</t>
        </r>
      </text>
    </comment>
    <comment ref="BA184" authorId="0" shapeId="0">
      <text>
        <r>
          <rPr>
            <sz val="11"/>
            <color indexed="81"/>
            <rFont val="Tahoma"/>
            <family val="2"/>
          </rPr>
          <t xml:space="preserve">Just for waste streams.
</t>
        </r>
      </text>
    </comment>
    <comment ref="BD184" authorId="0" shapeId="0">
      <text>
        <r>
          <rPr>
            <sz val="11"/>
            <color indexed="81"/>
            <rFont val="Tahoma"/>
            <family val="2"/>
          </rPr>
          <t xml:space="preserve">Just for waste streams.
</t>
        </r>
      </text>
    </comment>
    <comment ref="BG184" authorId="0" shapeId="0">
      <text>
        <r>
          <rPr>
            <sz val="11"/>
            <color indexed="81"/>
            <rFont val="Tahoma"/>
            <family val="2"/>
          </rPr>
          <t xml:space="preserve">Just for waste streams.
</t>
        </r>
      </text>
    </comment>
    <comment ref="BJ184" authorId="0" shapeId="0">
      <text>
        <r>
          <rPr>
            <sz val="11"/>
            <color indexed="81"/>
            <rFont val="Tahoma"/>
            <family val="2"/>
          </rPr>
          <t xml:space="preserve">Just for waste streams.
</t>
        </r>
      </text>
    </comment>
    <comment ref="BM184" authorId="0" shapeId="0">
      <text>
        <r>
          <rPr>
            <sz val="11"/>
            <color indexed="81"/>
            <rFont val="Tahoma"/>
            <family val="2"/>
          </rPr>
          <t xml:space="preserve">Just for waste streams.
</t>
        </r>
      </text>
    </comment>
    <comment ref="BP184" authorId="0" shapeId="0">
      <text>
        <r>
          <rPr>
            <sz val="11"/>
            <color indexed="81"/>
            <rFont val="Tahoma"/>
            <family val="2"/>
          </rPr>
          <t xml:space="preserve">Just for waste streams.
</t>
        </r>
      </text>
    </comment>
    <comment ref="BS184" authorId="0" shapeId="0">
      <text>
        <r>
          <rPr>
            <sz val="11"/>
            <color indexed="81"/>
            <rFont val="Tahoma"/>
            <family val="2"/>
          </rPr>
          <t xml:space="preserve">Just for waste streams.
</t>
        </r>
      </text>
    </comment>
    <comment ref="BV184" authorId="0" shapeId="0">
      <text>
        <r>
          <rPr>
            <sz val="11"/>
            <color indexed="81"/>
            <rFont val="Tahoma"/>
            <family val="2"/>
          </rPr>
          <t xml:space="preserve">Just for waste streams.
</t>
        </r>
      </text>
    </comment>
    <comment ref="BY184" authorId="0" shapeId="0">
      <text>
        <r>
          <rPr>
            <sz val="11"/>
            <color indexed="81"/>
            <rFont val="Tahoma"/>
            <family val="2"/>
          </rPr>
          <t xml:space="preserve">Just for waste streams.
</t>
        </r>
      </text>
    </comment>
    <comment ref="CB184" authorId="0" shapeId="0">
      <text>
        <r>
          <rPr>
            <sz val="11"/>
            <color indexed="81"/>
            <rFont val="Tahoma"/>
            <family val="2"/>
          </rPr>
          <t xml:space="preserve">Just for waste streams.
</t>
        </r>
      </text>
    </comment>
    <comment ref="CE184" authorId="0" shapeId="0">
      <text>
        <r>
          <rPr>
            <sz val="11"/>
            <color indexed="81"/>
            <rFont val="Tahoma"/>
            <family val="2"/>
          </rPr>
          <t xml:space="preserve">Just for waste streams.
</t>
        </r>
      </text>
    </comment>
    <comment ref="CH184" authorId="0" shapeId="0">
      <text>
        <r>
          <rPr>
            <sz val="11"/>
            <color indexed="81"/>
            <rFont val="Tahoma"/>
            <family val="2"/>
          </rPr>
          <t xml:space="preserve">Just for waste streams.
</t>
        </r>
      </text>
    </comment>
    <comment ref="CK184" authorId="0" shapeId="0">
      <text>
        <r>
          <rPr>
            <sz val="11"/>
            <color indexed="81"/>
            <rFont val="Tahoma"/>
            <family val="2"/>
          </rPr>
          <t xml:space="preserve">Just for waste streams.
</t>
        </r>
      </text>
    </comment>
    <comment ref="CN184" authorId="0" shapeId="0">
      <text>
        <r>
          <rPr>
            <sz val="11"/>
            <color indexed="81"/>
            <rFont val="Tahoma"/>
            <family val="2"/>
          </rPr>
          <t xml:space="preserve">Just for waste streams.
</t>
        </r>
      </text>
    </comment>
    <comment ref="CQ184" authorId="0" shapeId="0">
      <text>
        <r>
          <rPr>
            <sz val="11"/>
            <color indexed="81"/>
            <rFont val="Tahoma"/>
            <family val="2"/>
          </rPr>
          <t xml:space="preserve">Just for waste streams.
</t>
        </r>
      </text>
    </comment>
    <comment ref="CT184" authorId="0" shapeId="0">
      <text>
        <r>
          <rPr>
            <sz val="11"/>
            <color indexed="81"/>
            <rFont val="Tahoma"/>
            <family val="2"/>
          </rPr>
          <t xml:space="preserve">Just for waste streams.
</t>
        </r>
      </text>
    </comment>
    <comment ref="CW184" authorId="0" shapeId="0">
      <text>
        <r>
          <rPr>
            <sz val="11"/>
            <color indexed="81"/>
            <rFont val="Tahoma"/>
            <family val="2"/>
          </rPr>
          <t xml:space="preserve">Just for waste streams.
</t>
        </r>
      </text>
    </comment>
    <comment ref="CZ184" authorId="0" shapeId="0">
      <text>
        <r>
          <rPr>
            <sz val="11"/>
            <color indexed="81"/>
            <rFont val="Tahoma"/>
            <family val="2"/>
          </rPr>
          <t xml:space="preserve">Just for waste streams.
</t>
        </r>
      </text>
    </comment>
    <comment ref="DC184" authorId="0" shapeId="0">
      <text>
        <r>
          <rPr>
            <sz val="11"/>
            <color indexed="81"/>
            <rFont val="Tahoma"/>
            <family val="2"/>
          </rPr>
          <t xml:space="preserve">Just for waste streams.
</t>
        </r>
      </text>
    </comment>
    <comment ref="DF184" authorId="0" shapeId="0">
      <text>
        <r>
          <rPr>
            <sz val="11"/>
            <color indexed="81"/>
            <rFont val="Tahoma"/>
            <family val="2"/>
          </rPr>
          <t xml:space="preserve">Just for waste streams.
</t>
        </r>
      </text>
    </comment>
    <comment ref="DI184" authorId="0" shapeId="0">
      <text>
        <r>
          <rPr>
            <sz val="11"/>
            <color indexed="81"/>
            <rFont val="Tahoma"/>
            <family val="2"/>
          </rPr>
          <t xml:space="preserve">Just for waste streams.
</t>
        </r>
      </text>
    </comment>
    <comment ref="DL184" authorId="0" shapeId="0">
      <text>
        <r>
          <rPr>
            <sz val="11"/>
            <color indexed="81"/>
            <rFont val="Tahoma"/>
            <family val="2"/>
          </rPr>
          <t xml:space="preserve">Just for waste streams.
</t>
        </r>
      </text>
    </comment>
    <comment ref="DO184" authorId="0" shapeId="0">
      <text>
        <r>
          <rPr>
            <sz val="11"/>
            <color indexed="81"/>
            <rFont val="Tahoma"/>
            <family val="2"/>
          </rPr>
          <t xml:space="preserve">Just for waste streams.
</t>
        </r>
      </text>
    </comment>
    <comment ref="DR184" authorId="0" shapeId="0">
      <text>
        <r>
          <rPr>
            <sz val="11"/>
            <color indexed="81"/>
            <rFont val="Tahoma"/>
            <family val="2"/>
          </rPr>
          <t xml:space="preserve">Just for waste streams.
</t>
        </r>
      </text>
    </comment>
    <comment ref="DU184" authorId="0" shapeId="0">
      <text>
        <r>
          <rPr>
            <sz val="11"/>
            <color indexed="81"/>
            <rFont val="Tahoma"/>
            <family val="2"/>
          </rPr>
          <t xml:space="preserve">Just for waste streams.
</t>
        </r>
      </text>
    </comment>
    <comment ref="H246" authorId="0" shapeId="0">
      <text>
        <r>
          <rPr>
            <sz val="12"/>
            <color indexed="81"/>
            <rFont val="Tahoma"/>
            <family val="2"/>
          </rPr>
          <t xml:space="preserve">US DOE price report, Jan 2012 and density value from: http://path.web.ua.pt/file/ef2002124.pdf
Price: $1.275 + $0.4
</t>
        </r>
      </text>
    </comment>
    <comment ref="K246" authorId="0" shapeId="0">
      <text>
        <r>
          <rPr>
            <sz val="10"/>
            <color indexed="81"/>
            <rFont val="Tahoma"/>
            <family val="2"/>
          </rPr>
          <t>ICIS pricing report October 2011</t>
        </r>
      </text>
    </comment>
    <comment ref="T260" authorId="0" shapeId="0">
      <text>
        <r>
          <rPr>
            <sz val="12"/>
            <color indexed="81"/>
            <rFont val="Tahoma"/>
            <family val="2"/>
          </rPr>
          <t>If an output substance is categorized as waste, a percentage of recovery should be specified here. Otherwise, 0% recovery is assumed by default.</t>
        </r>
      </text>
    </comment>
    <comment ref="U260" authorId="0" shapeId="0">
      <text>
        <r>
          <rPr>
            <sz val="12"/>
            <color indexed="81"/>
            <rFont val="Tahoma"/>
            <family val="2"/>
          </rPr>
          <t>Fats and oils are categorized as solid waste for landfill.</t>
        </r>
      </text>
    </comment>
    <comment ref="AA260" authorId="0" shapeId="0">
      <text>
        <r>
          <rPr>
            <sz val="12"/>
            <color indexed="81"/>
            <rFont val="Tahoma"/>
            <family val="2"/>
          </rPr>
          <t>It is not required if ERPG-3, ECclass, GK, or R-phrase are known.</t>
        </r>
      </text>
    </comment>
    <comment ref="AC260" authorId="0" shapeId="0">
      <text>
        <r>
          <rPr>
            <sz val="12"/>
            <color indexed="81"/>
            <rFont val="Tahoma"/>
            <family val="2"/>
          </rPr>
          <t xml:space="preserve">Half-life value for inorganic substances is 0. You need to input just one of these two values, Half-life or OECD28d
</t>
        </r>
      </text>
    </comment>
    <comment ref="AD260" authorId="0" shapeId="0">
      <text>
        <r>
          <rPr>
            <sz val="12"/>
            <color indexed="81"/>
            <rFont val="Tahoma"/>
            <family val="2"/>
          </rPr>
          <t xml:space="preserve">You need to input just one of these two values, Half-life or OECD28d
</t>
        </r>
      </text>
    </comment>
    <comment ref="AE260" authorId="0" shapeId="0">
      <text>
        <r>
          <rPr>
            <sz val="12"/>
            <color indexed="81"/>
            <rFont val="Tahoma"/>
            <family val="2"/>
          </rPr>
          <t>You need to input just one of these two values, BCF or Log Kow</t>
        </r>
        <r>
          <rPr>
            <sz val="8"/>
            <color indexed="81"/>
            <rFont val="Tahoma"/>
            <family val="2"/>
          </rPr>
          <t xml:space="preserve">
</t>
        </r>
      </text>
    </comment>
    <comment ref="AF260" authorId="0" shapeId="0">
      <text>
        <r>
          <rPr>
            <sz val="12"/>
            <color indexed="81"/>
            <rFont val="Tahoma"/>
            <family val="2"/>
          </rPr>
          <t>You need to input just one of these two values, BCF or Log Kow</t>
        </r>
      </text>
    </comment>
    <comment ref="AI260" authorId="0" shapeId="0">
      <text>
        <r>
          <rPr>
            <b/>
            <sz val="8"/>
            <color indexed="81"/>
            <rFont val="Tahoma"/>
            <family val="2"/>
          </rPr>
          <t>Rat</t>
        </r>
        <r>
          <rPr>
            <sz val="8"/>
            <color indexed="81"/>
            <rFont val="Tahoma"/>
            <family val="2"/>
          </rPr>
          <t xml:space="preserve">
</t>
        </r>
      </text>
    </comment>
    <comment ref="AP260" authorId="0" shapeId="0">
      <text>
        <r>
          <rPr>
            <sz val="12"/>
            <color indexed="81"/>
            <rFont val="Tahoma"/>
            <family val="2"/>
          </rPr>
          <t>If data is not input by the user, a value can be approximated.</t>
        </r>
      </text>
    </comment>
    <comment ref="AQ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shapeId="0">
      <text>
        <r>
          <rPr>
            <sz val="12"/>
            <color indexed="81"/>
            <rFont val="Tahoma"/>
            <family val="2"/>
          </rPr>
          <t>If data is not input by the user, a value can be approximated.</t>
        </r>
      </text>
    </comment>
    <comment ref="AS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shapeId="0">
      <text>
        <r>
          <rPr>
            <sz val="12"/>
            <color indexed="81"/>
            <rFont val="Tahoma"/>
            <family val="2"/>
          </rPr>
          <t>If data is not input by the user, a value can be approximated.</t>
        </r>
      </text>
    </comment>
    <comment ref="AU260" authorId="0" shape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shapeId="0">
      <text>
        <r>
          <rPr>
            <sz val="12"/>
            <color indexed="81"/>
            <rFont val="Tahoma"/>
            <family val="2"/>
          </rPr>
          <t xml:space="preserve">AIHA data-source
Hazard rating: 0 - Minimal; 1 - Slight; 2 - Moderate; 3 - Serious; 4 - Severe
</t>
        </r>
      </text>
    </comment>
    <comment ref="AW260" authorId="0" shapeId="0">
      <text>
        <r>
          <rPr>
            <sz val="12"/>
            <color indexed="81"/>
            <rFont val="Tahoma"/>
            <family val="2"/>
          </rPr>
          <t xml:space="preserve">AIHA data-source
Hazard rating: 0 - Minimal; 1 - Slight; 2 - Moderate; 3 - Serious; 4 - Severe
</t>
        </r>
      </text>
    </comment>
    <comment ref="AX260" authorId="0" shapeId="0">
      <text>
        <r>
          <rPr>
            <sz val="12"/>
            <color indexed="81"/>
            <rFont val="Tahoma"/>
            <family val="2"/>
          </rPr>
          <t>WGK is not needed if LC50 is known.
nwg: non-hazardous to water
WGK 3: severe hazard to waters,
WGK 2: hazard to waters,
WGK 1: low hazard to waters.</t>
        </r>
      </text>
    </comment>
    <comment ref="BA260" authorId="0" shapeId="0">
      <text>
        <r>
          <rPr>
            <sz val="12"/>
            <color indexed="81"/>
            <rFont val="Tahoma"/>
            <family val="2"/>
          </rPr>
          <t>Tflash is not needed if NFPA-f is known.</t>
        </r>
      </text>
    </comment>
    <comment ref="BC260" authorId="0" shapeId="0">
      <text>
        <r>
          <rPr>
            <sz val="12"/>
            <color indexed="81"/>
            <rFont val="Tahoma"/>
            <family val="2"/>
          </rPr>
          <t xml:space="preserve">Tdec is not needed if NFPA-r is known.
</t>
        </r>
      </text>
    </comment>
    <comment ref="BD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shapeId="0">
      <text>
        <r>
          <rPr>
            <sz val="12"/>
            <color indexed="81"/>
            <rFont val="Tahoma"/>
            <family val="2"/>
          </rPr>
          <t xml:space="preserve">If data is not input by the user, a value can be found in the internal database.
</t>
        </r>
      </text>
    </comment>
    <comment ref="BQ260" authorId="0" shapeId="0">
      <text>
        <r>
          <rPr>
            <sz val="12"/>
            <color indexed="81"/>
            <rFont val="Tahoma"/>
            <family val="2"/>
          </rPr>
          <t xml:space="preserve">If data is not input by the user, a value can be found in the internal database.
</t>
        </r>
      </text>
    </comment>
    <comment ref="BS260" authorId="0" shapeId="0">
      <text>
        <r>
          <rPr>
            <sz val="12"/>
            <color indexed="81"/>
            <rFont val="Tahoma"/>
            <family val="2"/>
          </rPr>
          <t>If data is not input by the user, a value can be found in the internal database.</t>
        </r>
      </text>
    </comment>
    <comment ref="BU260" authorId="0" shapeId="0">
      <text>
        <r>
          <rPr>
            <sz val="12"/>
            <color indexed="81"/>
            <rFont val="Tahoma"/>
            <family val="2"/>
          </rPr>
          <t xml:space="preserve">If data is not input by the user, a value can be found in the internal database.
</t>
        </r>
      </text>
    </comment>
    <comment ref="CD260" authorId="0" shapeId="0">
      <text>
        <r>
          <rPr>
            <sz val="12"/>
            <color indexed="81"/>
            <rFont val="Tahoma"/>
            <family val="2"/>
          </rPr>
          <t>If data is not input by the user, a value can be found in the internal database.</t>
        </r>
      </text>
    </comment>
    <comment ref="CF260" authorId="0" shapeId="0">
      <text>
        <r>
          <rPr>
            <sz val="12"/>
            <color indexed="81"/>
            <rFont val="Tahoma"/>
            <family val="2"/>
          </rPr>
          <t>If data is not input by the user, a value can be found in the internal database.</t>
        </r>
      </text>
    </comment>
    <comment ref="CQ260" authorId="0" shapeId="0">
      <text>
        <r>
          <rPr>
            <sz val="12"/>
            <color indexed="81"/>
            <rFont val="Tahoma"/>
            <family val="2"/>
          </rPr>
          <t>If data is not input by the user, a value can be found in the internal database.</t>
        </r>
      </text>
    </comment>
    <comment ref="CS260" authorId="0" shapeId="0">
      <text>
        <r>
          <rPr>
            <sz val="12"/>
            <color indexed="81"/>
            <rFont val="Tahoma"/>
            <family val="2"/>
          </rPr>
          <t>If data is not input by the user, a value can be found in the internal database.</t>
        </r>
      </text>
    </comment>
    <comment ref="AF262" authorId="0" shapeId="0">
      <text>
        <r>
          <rPr>
            <sz val="11"/>
            <color indexed="81"/>
            <rFont val="Tahoma"/>
            <family val="2"/>
          </rPr>
          <t xml:space="preserve">&gt;3
</t>
        </r>
      </text>
    </comment>
    <comment ref="AG262" authorId="0" shapeId="0">
      <text>
        <r>
          <rPr>
            <b/>
            <sz val="8"/>
            <color indexed="81"/>
            <rFont val="Tahoma"/>
            <family val="2"/>
          </rPr>
          <t>&gt;1000
A 96-hr. lethal concentration for bluegill
from: http://www.biodiesel.org/pdf_files/fuelfactsheets/Environment_Safety.pdf</t>
        </r>
      </text>
    </comment>
    <comment ref="AI262" authorId="0" shapeId="0">
      <text>
        <r>
          <rPr>
            <b/>
            <sz val="8"/>
            <color indexed="81"/>
            <rFont val="Tahoma"/>
            <family val="2"/>
          </rPr>
          <t>&gt;5000</t>
        </r>
      </text>
    </comment>
    <comment ref="AK262" authorId="0" shapeId="0">
      <text>
        <r>
          <rPr>
            <b/>
            <sz val="8"/>
            <color indexed="81"/>
            <rFont val="Tahoma"/>
            <family val="2"/>
          </rPr>
          <t>&gt;5000 on rabbit</t>
        </r>
      </text>
    </comment>
    <comment ref="BA262" authorId="0" shapeId="0">
      <text>
        <r>
          <rPr>
            <sz val="12"/>
            <color indexed="81"/>
            <rFont val="Tahoma"/>
            <family val="2"/>
          </rPr>
          <t>http://www.biodiesel.org/pdf_files/fuelfactsheets/MSDS.pdf</t>
        </r>
        <r>
          <rPr>
            <sz val="8"/>
            <color indexed="81"/>
            <rFont val="Tahoma"/>
            <family val="2"/>
          </rPr>
          <t xml:space="preserve">
</t>
        </r>
      </text>
    </comment>
    <comment ref="BB262" authorId="0" shapeId="0">
      <text>
        <r>
          <rPr>
            <b/>
            <sz val="12"/>
            <color indexed="81"/>
            <rFont val="Tahoma"/>
            <family val="2"/>
          </rPr>
          <t xml:space="preserve">from: Yaws' Handbook of Thermodynamic and Physical Properties of Chemical Compounds </t>
        </r>
        <r>
          <rPr>
            <sz val="12"/>
            <color indexed="81"/>
            <rFont val="Tahoma"/>
            <family val="2"/>
          </rPr>
          <t xml:space="preserve">
</t>
        </r>
      </text>
    </comment>
    <comment ref="BC262" authorId="0" shapeId="0">
      <text>
        <r>
          <rPr>
            <sz val="11"/>
            <color indexed="81"/>
            <rFont val="Tahoma"/>
            <family val="2"/>
          </rPr>
          <t>from http://apexoil.com/msdsbio.pdf</t>
        </r>
      </text>
    </comment>
    <comment ref="BD262" authorId="0" shapeId="0">
      <text>
        <r>
          <rPr>
            <sz val="12"/>
            <color indexed="81"/>
            <rFont val="Tahoma"/>
            <family val="2"/>
          </rPr>
          <t>from http://apexoil.com/msdsbio.pdf</t>
        </r>
      </text>
    </comment>
    <comment ref="BK262" authorId="0" shapeId="0">
      <text>
        <r>
          <rPr>
            <sz val="11"/>
            <color indexed="81"/>
            <rFont val="Tahoma"/>
            <family val="2"/>
          </rPr>
          <t>Cao &amp; Feng, 2007.</t>
        </r>
      </text>
    </comment>
    <comment ref="AG263" authorId="0" shapeId="0">
      <text>
        <r>
          <rPr>
            <b/>
            <sz val="8"/>
            <color indexed="81"/>
            <rFont val="Tahoma"/>
            <family val="2"/>
          </rPr>
          <t>&gt;5000 on carassius auratus, 24h</t>
        </r>
      </text>
    </comment>
    <comment ref="AI263" authorId="0" shapeId="0">
      <text>
        <r>
          <rPr>
            <b/>
            <sz val="8"/>
            <color indexed="81"/>
            <rFont val="Tahoma"/>
            <family val="2"/>
          </rPr>
          <t>&gt;12600</t>
        </r>
      </text>
    </comment>
    <comment ref="AK263" authorId="0" shapeId="0">
      <text>
        <r>
          <rPr>
            <b/>
            <sz val="8"/>
            <color indexed="81"/>
            <rFont val="Tahoma"/>
            <family val="2"/>
          </rPr>
          <t>&gt;21900 on rat</t>
        </r>
      </text>
    </comment>
    <comment ref="AX263" authorId="0" shapeId="0">
      <text>
        <r>
          <rPr>
            <b/>
            <sz val="8"/>
            <color indexed="81"/>
            <rFont val="Tahoma"/>
            <family val="2"/>
          </rPr>
          <t>from http://www.folkecenter.net/default.asp?id=9227t</t>
        </r>
        <r>
          <rPr>
            <sz val="8"/>
            <color indexed="81"/>
            <rFont val="Tahoma"/>
            <family val="2"/>
          </rPr>
          <t xml:space="preserve">
</t>
        </r>
      </text>
    </comment>
    <comment ref="BB263"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C263" authorId="0" shapeId="0">
      <text>
        <r>
          <rPr>
            <b/>
            <sz val="8"/>
            <color indexed="81"/>
            <rFont val="Tahoma"/>
            <family val="2"/>
          </rPr>
          <t>http://www.2spi.com/catalog/msds/msds02693.html</t>
        </r>
        <r>
          <rPr>
            <sz val="8"/>
            <color indexed="81"/>
            <rFont val="Tahoma"/>
            <family val="2"/>
          </rPr>
          <t xml:space="preserve">
</t>
        </r>
        <r>
          <rPr>
            <b/>
            <sz val="9"/>
            <color indexed="81"/>
            <rFont val="Tahoma"/>
            <family val="2"/>
          </rPr>
          <t>Flash Point:  193°C</t>
        </r>
      </text>
    </comment>
    <comment ref="BD263" authorId="0" shapeId="0">
      <text>
        <r>
          <rPr>
            <sz val="12"/>
            <color indexed="81"/>
            <rFont val="Tahoma"/>
            <family val="2"/>
          </rPr>
          <t xml:space="preserve">http://en.ktu.lt/sites/default/files/2009-06-29%20NStriugo.pdf
Page 18
</t>
        </r>
      </text>
    </comment>
    <comment ref="AE264" authorId="0" shapeId="0">
      <text>
        <r>
          <rPr>
            <b/>
            <sz val="8"/>
            <color indexed="81"/>
            <rFont val="Tahoma"/>
            <family val="2"/>
          </rPr>
          <t>&lt;10
http://toxnet.nlm.nih.gov/cgi-bin/sis/search/f?./temp/~OyxIrp:1:FULL</t>
        </r>
        <r>
          <rPr>
            <sz val="8"/>
            <color indexed="81"/>
            <rFont val="Tahoma"/>
            <family val="2"/>
          </rPr>
          <t xml:space="preserve">
</t>
        </r>
      </text>
    </comment>
    <comment ref="AG264" authorId="0" shapeId="0">
      <text>
        <r>
          <rPr>
            <b/>
            <sz val="8"/>
            <color indexed="81"/>
            <rFont val="Tahoma"/>
            <family val="2"/>
          </rPr>
          <t>LC100 on carassius auratus, 11h</t>
        </r>
      </text>
    </comment>
    <comment ref="AI264" authorId="0" shapeId="0">
      <text>
        <r>
          <rPr>
            <b/>
            <sz val="8"/>
            <color indexed="81"/>
            <rFont val="Tahoma"/>
            <family val="2"/>
          </rPr>
          <t>on rat</t>
        </r>
      </text>
    </comment>
    <comment ref="AK264" authorId="0" shapeId="0">
      <text>
        <r>
          <rPr>
            <b/>
            <sz val="8"/>
            <color indexed="81"/>
            <rFont val="Tahoma"/>
            <family val="2"/>
          </rPr>
          <t>On rabbit</t>
        </r>
      </text>
    </comment>
    <comment ref="BB264"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D264" authorId="0" shapeId="0">
      <text>
        <r>
          <rPr>
            <b/>
            <sz val="8"/>
            <color indexed="81"/>
            <rFont val="Tahoma"/>
            <family val="2"/>
          </rPr>
          <t>Brown, J. C.; Gulari, E., Hydrogen production from methanol decomposition over Pt/Al2O3 and ceria promoted Pt/Al2O3 catalysts. Catalysis Communications 2004, 5, (8), 431-436.</t>
        </r>
        <r>
          <rPr>
            <sz val="8"/>
            <color indexed="81"/>
            <rFont val="Tahoma"/>
            <family val="2"/>
          </rPr>
          <t xml:space="preserve">
</t>
        </r>
      </text>
    </comment>
    <comment ref="AA265" authorId="0" shapeId="0">
      <text>
        <r>
          <rPr>
            <sz val="11"/>
            <color indexed="81"/>
            <rFont val="Tahoma"/>
            <family val="2"/>
          </rPr>
          <t xml:space="preserve">TOXNET/HSDB
</t>
        </r>
      </text>
    </comment>
    <comment ref="AF265" authorId="0" shapeId="0">
      <text>
        <r>
          <rPr>
            <sz val="11"/>
            <color indexed="81"/>
            <rFont val="Tahoma"/>
            <family val="2"/>
          </rPr>
          <t xml:space="preserve">From http://www.cedre.fr/en/publication/chemical/phosphoric-acid.pdf
</t>
        </r>
      </text>
    </comment>
    <comment ref="AG265" authorId="0" shapeId="0">
      <text>
        <r>
          <rPr>
            <sz val="12"/>
            <color indexed="81"/>
            <rFont val="Tahoma"/>
            <family val="2"/>
          </rPr>
          <t>on gambusua affinis, 96h</t>
        </r>
      </text>
    </comment>
    <comment ref="AI265" authorId="0" shapeId="0">
      <text>
        <r>
          <rPr>
            <b/>
            <sz val="8"/>
            <color indexed="81"/>
            <rFont val="Tahoma"/>
            <family val="2"/>
          </rPr>
          <t>on rat</t>
        </r>
      </text>
    </comment>
    <comment ref="AK265" authorId="0" shapeId="0">
      <text>
        <r>
          <rPr>
            <b/>
            <sz val="8"/>
            <color indexed="81"/>
            <rFont val="Tahoma"/>
            <family val="2"/>
          </rPr>
          <t>On rabbit</t>
        </r>
      </text>
    </comment>
    <comment ref="BD265" authorId="0" shapeId="0">
      <text>
        <r>
          <rPr>
            <b/>
            <sz val="8"/>
            <color indexed="81"/>
            <rFont val="Tahoma"/>
            <family val="2"/>
          </rPr>
          <t>From NIST Chemistry WebBook</t>
        </r>
        <r>
          <rPr>
            <sz val="8"/>
            <color indexed="81"/>
            <rFont val="Tahoma"/>
            <family val="2"/>
          </rPr>
          <t xml:space="preserve">
</t>
        </r>
      </text>
    </comment>
    <comment ref="BJ265" authorId="0" shapeId="0">
      <text>
        <r>
          <rPr>
            <b/>
            <sz val="8"/>
            <color indexed="81"/>
            <rFont val="Tahoma"/>
            <family val="2"/>
          </rPr>
          <t>@ 1g/l</t>
        </r>
        <r>
          <rPr>
            <sz val="8"/>
            <color indexed="81"/>
            <rFont val="Tahoma"/>
            <family val="2"/>
          </rPr>
          <t xml:space="preserve">
</t>
        </r>
      </text>
    </comment>
    <comment ref="BK265" authorId="0" shapeId="0">
      <text>
        <r>
          <rPr>
            <sz val="10"/>
            <color indexed="81"/>
            <rFont val="Tahoma"/>
            <family val="2"/>
          </rPr>
          <t>Zhang &amp; Long, 2010. Energy Policy 38, 2948-2955.</t>
        </r>
      </text>
    </comment>
    <comment ref="CA265" authorId="0" shapeId="0">
      <text>
        <r>
          <rPr>
            <b/>
            <sz val="8"/>
            <color indexed="81"/>
            <rFont val="Tahoma"/>
            <family val="2"/>
          </rPr>
          <t>PO4(3−)</t>
        </r>
      </text>
    </comment>
    <comment ref="AG266" authorId="0" shapeId="0">
      <text>
        <r>
          <rPr>
            <b/>
            <sz val="8"/>
            <color indexed="81"/>
            <rFont val="Tahoma"/>
            <family val="2"/>
          </rPr>
          <t>LC0 on goldorfen fish, 48 h
ESIS IUCLID</t>
        </r>
      </text>
    </comment>
    <comment ref="AI266" authorId="0" shapeId="0">
      <text>
        <r>
          <rPr>
            <b/>
            <sz val="8"/>
            <color indexed="81"/>
            <rFont val="Tahoma"/>
            <family val="2"/>
          </rPr>
          <t>&gt;2000 on rat ESIS-IUCLID</t>
        </r>
      </text>
    </comment>
    <comment ref="AK266" authorId="0" shapeId="0">
      <text>
        <r>
          <rPr>
            <b/>
            <sz val="8"/>
            <color indexed="81"/>
            <rFont val="Tahoma"/>
            <family val="2"/>
          </rPr>
          <t>&gt;=2 mg/kg On rabbit, ESIS-IUCLID</t>
        </r>
      </text>
    </comment>
    <comment ref="AX266" authorId="0" shapeId="0">
      <text>
        <r>
          <rPr>
            <b/>
            <sz val="8"/>
            <color indexed="81"/>
            <rFont val="Tahoma"/>
            <family val="2"/>
          </rPr>
          <t>from http://webrigoletto.uba.de/rigoletto/public/searchRequest.do?event=request</t>
        </r>
        <r>
          <rPr>
            <sz val="8"/>
            <color indexed="81"/>
            <rFont val="Tahoma"/>
            <family val="2"/>
          </rPr>
          <t xml:space="preserve">
</t>
        </r>
      </text>
    </comment>
    <comment ref="AY266" authorId="0" shapeId="0">
      <text>
        <r>
          <rPr>
            <b/>
            <sz val="8"/>
            <color indexed="81"/>
            <rFont val="Tahoma"/>
            <family val="2"/>
          </rPr>
          <t>decomposes</t>
        </r>
        <r>
          <rPr>
            <sz val="8"/>
            <color indexed="81"/>
            <rFont val="Tahoma"/>
            <family val="2"/>
          </rPr>
          <t xml:space="preserve">
</t>
        </r>
      </text>
    </comment>
    <comment ref="AZ266" authorId="0" shapeId="0">
      <text>
        <r>
          <rPr>
            <b/>
            <sz val="8"/>
            <color indexed="81"/>
            <rFont val="Tahoma"/>
            <family val="2"/>
          </rPr>
          <t>http://www.inchem.org/documents/icsc/icsc/eics1178.htm</t>
        </r>
        <r>
          <rPr>
            <sz val="8"/>
            <color indexed="81"/>
            <rFont val="Tahoma"/>
            <family val="2"/>
          </rPr>
          <t xml:space="preserve">
</t>
        </r>
      </text>
    </comment>
    <comment ref="BC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shapeId="0">
      <text>
        <r>
          <rPr>
            <sz val="11"/>
            <color indexed="81"/>
            <rFont val="Tahoma"/>
            <family val="2"/>
          </rPr>
          <t>TOXNET-HSDB
Or 400-1000 kg/m^3 @ 20 °C ESIS IUCLID</t>
        </r>
      </text>
    </comment>
    <comment ref="BI266" authorId="0" shapeId="0">
      <text>
        <r>
          <rPr>
            <b/>
            <sz val="8"/>
            <color indexed="81"/>
            <rFont val="Tahoma"/>
            <family val="2"/>
          </rPr>
          <t>It's not applicable since it does not volatilize</t>
        </r>
        <r>
          <rPr>
            <sz val="8"/>
            <color indexed="81"/>
            <rFont val="Tahoma"/>
            <family val="2"/>
          </rPr>
          <t xml:space="preserve">
</t>
        </r>
      </text>
    </comment>
    <comment ref="BJ266" authorId="0" shapeId="0">
      <text>
        <r>
          <rPr>
            <sz val="12"/>
            <color indexed="81"/>
            <rFont val="Tahoma"/>
            <family val="2"/>
          </rPr>
          <t>@ 10 g/l, 20 °C
ESIS IUCLID</t>
        </r>
      </text>
    </comment>
    <comment ref="BK266" authorId="0" shapeId="0">
      <text>
        <r>
          <rPr>
            <sz val="10"/>
            <color indexed="81"/>
            <rFont val="Tahoma"/>
            <family val="2"/>
          </rPr>
          <t>Zhang &amp; Long, 2010. Energy Policy 38, 2948-2955. It is assumed as equal value than H3PO4.</t>
        </r>
      </text>
    </comment>
    <comment ref="CA266" authorId="0" shapeId="0">
      <text>
        <r>
          <rPr>
            <sz val="11"/>
            <color indexed="81"/>
            <rFont val="Tahoma"/>
            <family val="2"/>
          </rPr>
          <t xml:space="preserve">Na3PO4
</t>
        </r>
      </text>
    </comment>
    <comment ref="AF267" authorId="0" shapeId="0">
      <text>
        <r>
          <rPr>
            <sz val="11"/>
            <color indexed="81"/>
            <rFont val="Tahoma"/>
            <family val="2"/>
          </rPr>
          <t>ACToR/UK Pesticide Properties Database</t>
        </r>
      </text>
    </comment>
    <comment ref="AI267" authorId="0" shapeId="0">
      <text>
        <r>
          <rPr>
            <b/>
            <sz val="8"/>
            <color indexed="81"/>
            <rFont val="Tahoma"/>
            <family val="2"/>
          </rPr>
          <t>ftp://ftp.state.pa.us/pub/lipatts/msds/017364.pdf</t>
        </r>
      </text>
    </comment>
    <comment ref="AK267" authorId="0" shapeId="0">
      <text>
        <r>
          <rPr>
            <sz val="12"/>
            <color indexed="81"/>
            <rFont val="Tahoma"/>
            <family val="2"/>
          </rPr>
          <t>&gt;20000 mg/kg on rabbit
ftp://ftp.state.pa.us/pub/lipatts/msds/017364.pdf</t>
        </r>
      </text>
    </comment>
    <comment ref="AW267" authorId="0" shapeId="0">
      <text>
        <r>
          <rPr>
            <b/>
            <sz val="8"/>
            <color indexed="81"/>
            <rFont val="Tahoma"/>
            <family val="2"/>
          </rPr>
          <t>from http://www.sciencelab.com/msds.php?msdsId=9925064</t>
        </r>
        <r>
          <rPr>
            <sz val="8"/>
            <color indexed="81"/>
            <rFont val="Tahoma"/>
            <family val="2"/>
          </rPr>
          <t xml:space="preserve">
</t>
        </r>
      </text>
    </comment>
    <comment ref="AX267" authorId="0" shapeId="0">
      <text>
        <r>
          <rPr>
            <b/>
            <sz val="8"/>
            <color indexed="81"/>
            <rFont val="Tahoma"/>
            <family val="2"/>
          </rPr>
          <t>from http://www.folkecenter.net/default.asp?id=9227t</t>
        </r>
        <r>
          <rPr>
            <sz val="8"/>
            <color indexed="81"/>
            <rFont val="Tahoma"/>
            <family val="2"/>
          </rPr>
          <t xml:space="preserve">
</t>
        </r>
      </text>
    </comment>
    <comment ref="BA267" authorId="0" shapeId="0">
      <text>
        <r>
          <rPr>
            <b/>
            <sz val="8"/>
            <color indexed="81"/>
            <rFont val="Tahoma"/>
            <family val="2"/>
          </rPr>
          <t>from http://www.sciencelab.com/msds.php?msdsId=9925064</t>
        </r>
        <r>
          <rPr>
            <sz val="8"/>
            <color indexed="81"/>
            <rFont val="Tahoma"/>
            <family val="2"/>
          </rPr>
          <t xml:space="preserve">
</t>
        </r>
      </text>
    </comment>
    <comment ref="BB267" authorId="0" shapeId="0">
      <text>
        <r>
          <rPr>
            <b/>
            <sz val="8"/>
            <color indexed="81"/>
            <rFont val="Tahoma"/>
            <family val="2"/>
          </rPr>
          <t>From http://webbook.nist.gov/cgi/cbook.cgi?ID=C122327&amp;Units=SI&amp;Mask=2#Thermo-Condensed</t>
        </r>
      </text>
    </comment>
    <comment ref="BD267" authorId="0" shapeId="0">
      <text>
        <r>
          <rPr>
            <b/>
            <sz val="8"/>
            <color indexed="81"/>
            <rFont val="Tahoma"/>
            <family val="2"/>
          </rPr>
          <t>From NIST Chemistry WebBook</t>
        </r>
        <r>
          <rPr>
            <sz val="8"/>
            <color indexed="81"/>
            <rFont val="Tahoma"/>
            <family val="2"/>
          </rPr>
          <t xml:space="preserve">
reaction enthalpy</t>
        </r>
      </text>
    </comment>
    <comment ref="BG267" authorId="0" shapeId="0">
      <text>
        <r>
          <rPr>
            <b/>
            <sz val="8"/>
            <color indexed="81"/>
            <rFont val="Tahoma"/>
            <family val="2"/>
          </rPr>
          <t>from CHEMCAD
476 °C&lt;T&lt;971.2 °C</t>
        </r>
      </text>
    </comment>
    <comment ref="AE268" authorId="0" shapeId="0">
      <text>
        <r>
          <rPr>
            <sz val="12"/>
            <color indexed="81"/>
            <rFont val="Tahoma"/>
            <family val="2"/>
          </rPr>
          <t>ACToR/UK Pesticide Properties Database</t>
        </r>
      </text>
    </comment>
    <comment ref="AI268" authorId="0" shapeId="0">
      <text>
        <r>
          <rPr>
            <b/>
            <sz val="8"/>
            <color indexed="81"/>
            <rFont val="Tahoma"/>
            <family val="2"/>
          </rPr>
          <t>From: http://www.sciencelab.com/msds.php?msdsId=9927321</t>
        </r>
        <r>
          <rPr>
            <sz val="8"/>
            <color indexed="81"/>
            <rFont val="Tahoma"/>
            <family val="2"/>
          </rPr>
          <t xml:space="preserve">
</t>
        </r>
      </text>
    </comment>
    <comment ref="AW268" authorId="0" shapeId="0">
      <text>
        <r>
          <rPr>
            <b/>
            <sz val="8"/>
            <color indexed="81"/>
            <rFont val="Tahoma"/>
            <family val="2"/>
          </rPr>
          <t>From: http://www.sciencelab.com/msds.php?msdsId=9927321</t>
        </r>
        <r>
          <rPr>
            <sz val="8"/>
            <color indexed="81"/>
            <rFont val="Tahoma"/>
            <family val="2"/>
          </rPr>
          <t xml:space="preserve">
</t>
        </r>
      </text>
    </comment>
    <comment ref="AX268" authorId="0" shapeId="0">
      <text>
        <r>
          <rPr>
            <b/>
            <sz val="8"/>
            <color indexed="81"/>
            <rFont val="Tahoma"/>
            <family val="2"/>
          </rPr>
          <t>from http://www.folkecenter.net/default.asp?id=9227t</t>
        </r>
        <r>
          <rPr>
            <sz val="8"/>
            <color indexed="81"/>
            <rFont val="Tahoma"/>
            <family val="2"/>
          </rPr>
          <t xml:space="preserve">
</t>
        </r>
      </text>
    </comment>
    <comment ref="AA269" authorId="0" shapeId="0">
      <text>
        <r>
          <rPr>
            <sz val="11"/>
            <color indexed="81"/>
            <rFont val="Tahoma"/>
            <family val="2"/>
          </rPr>
          <t xml:space="preserve">from MSDS
http://avogadro.chem.iastate.edu/MSDS/NaOH.htm
</t>
        </r>
      </text>
    </comment>
    <comment ref="AB269" authorId="0" shapeId="0">
      <text>
        <r>
          <rPr>
            <b/>
            <sz val="8"/>
            <color indexed="81"/>
            <rFont val="Tahoma"/>
            <family val="2"/>
          </rPr>
          <t>ESIS/IUCLID</t>
        </r>
      </text>
    </comment>
    <comment ref="AD269" authorId="0" shapeId="0">
      <text>
        <r>
          <rPr>
            <b/>
            <sz val="8"/>
            <color indexed="81"/>
            <rFont val="Tahoma"/>
            <family val="2"/>
          </rPr>
          <t>ESIS/IUCLID</t>
        </r>
      </text>
    </comment>
    <comment ref="AF269" authorId="0" shapeId="0">
      <text>
        <r>
          <rPr>
            <b/>
            <sz val="8"/>
            <color indexed="81"/>
            <rFont val="Tahoma"/>
            <family val="2"/>
          </rPr>
          <t>TOXNET/HSDB</t>
        </r>
        <r>
          <rPr>
            <sz val="8"/>
            <color indexed="81"/>
            <rFont val="Tahoma"/>
            <family val="2"/>
          </rPr>
          <t xml:space="preserve">
Kow is  too low to be measured (or possibly virtually 0)</t>
        </r>
      </text>
    </comment>
    <comment ref="AG269" authorId="0" shapeId="0">
      <text>
        <r>
          <rPr>
            <b/>
            <sz val="8"/>
            <color indexed="81"/>
            <rFont val="Tahoma"/>
            <family val="2"/>
          </rPr>
          <t>LC50 on carassius auratus, 24h
ESIS/IUCLID</t>
        </r>
      </text>
    </comment>
    <comment ref="AI269" authorId="0" shapeId="0">
      <text>
        <r>
          <rPr>
            <b/>
            <sz val="8"/>
            <color indexed="81"/>
            <rFont val="Tahoma"/>
            <family val="2"/>
          </rPr>
          <t>from MSDS
http://avogadro.chem.iastate.edu/MSDS/NaOH.htm</t>
        </r>
        <r>
          <rPr>
            <sz val="8"/>
            <color indexed="81"/>
            <rFont val="Tahoma"/>
            <family val="2"/>
          </rPr>
          <t xml:space="preserve">
</t>
        </r>
      </text>
    </comment>
    <comment ref="AK269" authorId="0" shapeId="0">
      <text>
        <r>
          <rPr>
            <b/>
            <sz val="8"/>
            <color indexed="81"/>
            <rFont val="Tahoma"/>
            <family val="2"/>
          </rPr>
          <t>On rabbit, ESIS-IUCLID</t>
        </r>
      </text>
    </comment>
    <comment ref="AW269" authorId="0" shapeId="0">
      <text>
        <r>
          <rPr>
            <b/>
            <sz val="8"/>
            <color indexed="81"/>
            <rFont val="Tahoma"/>
            <family val="2"/>
          </rPr>
          <t>From: http://www.sciencelab.com/msds.php?msdsId=9927321</t>
        </r>
        <r>
          <rPr>
            <sz val="8"/>
            <color indexed="81"/>
            <rFont val="Tahoma"/>
            <family val="2"/>
          </rPr>
          <t xml:space="preserve">
</t>
        </r>
      </text>
    </comment>
    <comment ref="AX269" authorId="0" shapeId="0">
      <text>
        <r>
          <rPr>
            <b/>
            <sz val="8"/>
            <color indexed="81"/>
            <rFont val="Tahoma"/>
            <family val="2"/>
          </rPr>
          <t>from http://www.folkecenter.net/default.asp?id=9227t</t>
        </r>
        <r>
          <rPr>
            <sz val="8"/>
            <color indexed="81"/>
            <rFont val="Tahoma"/>
            <family val="2"/>
          </rPr>
          <t xml:space="preserve">
</t>
        </r>
      </text>
    </comment>
    <comment ref="BA269" authorId="0" shapeId="0">
      <text>
        <r>
          <rPr>
            <sz val="12"/>
            <color indexed="81"/>
            <rFont val="Tahoma"/>
            <family val="2"/>
          </rPr>
          <t>from MSDS
http://avogadro.chem.iastate.edu/MSDS/NaOH.htm</t>
        </r>
        <r>
          <rPr>
            <sz val="8"/>
            <color indexed="81"/>
            <rFont val="Tahoma"/>
            <family val="2"/>
          </rPr>
          <t xml:space="preserve">
</t>
        </r>
      </text>
    </comment>
    <comment ref="BC269" authorId="0" shapeId="0">
      <text>
        <r>
          <rPr>
            <b/>
            <sz val="8"/>
            <color indexed="81"/>
            <rFont val="Tahoma"/>
            <family val="2"/>
          </rPr>
          <t>N/Available
from MSDS
http://avogadro.chem.iastate.edu/MSDS/NaOH.htm</t>
        </r>
        <r>
          <rPr>
            <sz val="8"/>
            <color indexed="81"/>
            <rFont val="Tahoma"/>
            <family val="2"/>
          </rPr>
          <t xml:space="preserve">
</t>
        </r>
      </text>
    </comment>
    <comment ref="BG269" authorId="0" shapeId="0">
      <text>
        <r>
          <rPr>
            <b/>
            <sz val="8"/>
            <color indexed="81"/>
            <rFont val="Tahoma"/>
            <family val="2"/>
          </rPr>
          <t>@ 1388 °C
TOXNET/HSDB</t>
        </r>
      </text>
    </comment>
    <comment ref="BJ269" authorId="0" shapeId="0">
      <text>
        <r>
          <rPr>
            <b/>
            <sz val="8"/>
            <color indexed="81"/>
            <rFont val="Tahoma"/>
            <family val="2"/>
          </rPr>
          <t>from MSDS
http://avogadro.chem.iastate.edu/MSDS/NaOH.htm</t>
        </r>
        <r>
          <rPr>
            <sz val="8"/>
            <color indexed="81"/>
            <rFont val="Tahoma"/>
            <family val="2"/>
          </rPr>
          <t xml:space="preserve">
</t>
        </r>
      </text>
    </comment>
    <comment ref="BK269" authorId="0" shapeId="0">
      <text>
        <r>
          <rPr>
            <sz val="10"/>
            <color indexed="81"/>
            <rFont val="Tahoma"/>
            <family val="2"/>
          </rPr>
          <t>Zhang &amp; Long, 2010. Energy Policy 38, 2948-2955.</t>
        </r>
      </text>
    </comment>
    <comment ref="CA269" authorId="0" shapeId="0">
      <text>
        <r>
          <rPr>
            <b/>
            <sz val="8"/>
            <color indexed="81"/>
            <rFont val="Tahoma"/>
            <family val="2"/>
          </rPr>
          <t>Na(+)</t>
        </r>
        <r>
          <rPr>
            <sz val="8"/>
            <color indexed="81"/>
            <rFont val="Tahoma"/>
            <family val="2"/>
          </rPr>
          <t xml:space="preserve">
</t>
        </r>
      </text>
    </comment>
    <comment ref="AW270" authorId="0" shapeId="0">
      <text>
        <r>
          <rPr>
            <b/>
            <sz val="8"/>
            <color indexed="81"/>
            <rFont val="Tahoma"/>
            <family val="2"/>
          </rPr>
          <t>From: http://www.sciencelab.com/msds.php?msdsId=9927321</t>
        </r>
        <r>
          <rPr>
            <sz val="8"/>
            <color indexed="81"/>
            <rFont val="Tahoma"/>
            <family val="2"/>
          </rPr>
          <t xml:space="preserve">
</t>
        </r>
      </text>
    </comment>
    <comment ref="BK270" authorId="0" shapeId="0">
      <text>
        <r>
          <rPr>
            <sz val="12"/>
            <color indexed="81"/>
            <rFont val="Tahoma"/>
            <family val="2"/>
          </rPr>
          <t>Ruganib PhD Thesis 2010</t>
        </r>
      </text>
    </comment>
    <comment ref="AC271" authorId="0" shapeId="0">
      <text>
        <r>
          <rPr>
            <sz val="12"/>
            <color indexed="81"/>
            <rFont val="Tahoma"/>
            <family val="2"/>
          </rPr>
          <t>TOXNET/HSDB</t>
        </r>
      </text>
    </comment>
    <comment ref="BL271" authorId="0" shapeId="0">
      <text>
        <r>
          <rPr>
            <sz val="12"/>
            <color indexed="81"/>
            <rFont val="Tahoma"/>
            <family val="2"/>
          </rPr>
          <t xml:space="preserve">Sorguven and Ozilgen. Energy 40 (2012) 214-225.
</t>
        </r>
      </text>
    </comment>
    <comment ref="BK272" authorId="0" shapeId="0">
      <text>
        <r>
          <rPr>
            <sz val="12"/>
            <color indexed="81"/>
            <rFont val="Tahoma"/>
            <family val="2"/>
          </rPr>
          <t xml:space="preserve">Ruganib PhD Thesis 2010
</t>
        </r>
      </text>
    </comment>
    <comment ref="AX273" authorId="0" shape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shapeId="0">
      <text>
        <r>
          <rPr>
            <sz val="12"/>
            <color indexed="81"/>
            <rFont val="Tahoma"/>
            <family val="2"/>
          </rPr>
          <t xml:space="preserve">Just one of these two values is required
</t>
        </r>
      </text>
    </comment>
    <comment ref="D19" authorId="0" shapeId="0">
      <text>
        <r>
          <rPr>
            <sz val="11"/>
            <color indexed="81"/>
            <rFont val="Tahoma"/>
            <family val="2"/>
          </rPr>
          <t xml:space="preserve">It can be approximated to 1.68 times the Bare module cost.
</t>
        </r>
      </text>
    </comment>
    <comment ref="D32" authorId="0" shapeId="0">
      <text>
        <r>
          <rPr>
            <sz val="12"/>
            <color indexed="81"/>
            <rFont val="Tahoma"/>
            <family val="2"/>
          </rPr>
          <t xml:space="preserve">Just one of these two values is required.
</t>
        </r>
      </text>
    </comment>
    <comment ref="D34" authorId="0" shapeId="0">
      <text>
        <r>
          <rPr>
            <sz val="12"/>
            <color indexed="81"/>
            <rFont val="Tahoma"/>
            <family val="2"/>
          </rPr>
          <t xml:space="preserve">It can be approximated to 1.68 times the Bare module cost.
</t>
        </r>
      </text>
    </comment>
    <comment ref="D48" authorId="0" shapeId="0">
      <text>
        <r>
          <rPr>
            <sz val="12"/>
            <color indexed="81"/>
            <rFont val="Tahoma"/>
            <family val="2"/>
          </rPr>
          <t xml:space="preserve">Just one of these two values is required
</t>
        </r>
      </text>
    </comment>
    <comment ref="D50" authorId="0" shapeId="0">
      <text>
        <r>
          <rPr>
            <sz val="11"/>
            <color indexed="81"/>
            <rFont val="Tahoma"/>
            <family val="2"/>
          </rPr>
          <t xml:space="preserve">It can be approximated to 1.68 times the Bare module cost.
</t>
        </r>
      </text>
    </comment>
    <comment ref="D63" authorId="0" shapeId="0">
      <text>
        <r>
          <rPr>
            <sz val="12"/>
            <color indexed="81"/>
            <rFont val="Tahoma"/>
            <family val="2"/>
          </rPr>
          <t xml:space="preserve">Just one of these two values is required
</t>
        </r>
      </text>
    </comment>
    <comment ref="D65" authorId="0" shapeId="0">
      <text>
        <r>
          <rPr>
            <sz val="11"/>
            <color indexed="81"/>
            <rFont val="Tahoma"/>
            <family val="2"/>
          </rPr>
          <t xml:space="preserve">It can be approximated to 1.68 times the Bare module cost.
</t>
        </r>
      </text>
    </comment>
    <comment ref="D78" authorId="0" shapeId="0">
      <text>
        <r>
          <rPr>
            <sz val="12"/>
            <color indexed="81"/>
            <rFont val="Tahoma"/>
            <family val="2"/>
          </rPr>
          <t xml:space="preserve">Just one of these two values is required
</t>
        </r>
      </text>
    </comment>
    <comment ref="D80" authorId="0" shapeId="0">
      <text>
        <r>
          <rPr>
            <sz val="11"/>
            <color indexed="81"/>
            <rFont val="Tahoma"/>
            <family val="2"/>
          </rPr>
          <t xml:space="preserve">It can be approximated to 1.68 times the Bare module cost.
</t>
        </r>
      </text>
    </comment>
    <comment ref="D93" authorId="0" shapeId="0">
      <text>
        <r>
          <rPr>
            <sz val="12"/>
            <color indexed="81"/>
            <rFont val="Tahoma"/>
            <family val="2"/>
          </rPr>
          <t xml:space="preserve">Just one of these two values is required
</t>
        </r>
      </text>
    </comment>
    <comment ref="D95" authorId="0" shapeId="0">
      <text>
        <r>
          <rPr>
            <sz val="11"/>
            <color indexed="81"/>
            <rFont val="Tahoma"/>
            <family val="2"/>
          </rPr>
          <t xml:space="preserve">It can be approximated to 1.68 times the Bare module cost.
</t>
        </r>
      </text>
    </comment>
    <comment ref="D109" authorId="0" shapeId="0">
      <text>
        <r>
          <rPr>
            <sz val="12"/>
            <color indexed="81"/>
            <rFont val="Tahoma"/>
            <family val="2"/>
          </rPr>
          <t xml:space="preserve">Just one of these two values is required
</t>
        </r>
      </text>
    </comment>
    <comment ref="D111" authorId="0" shapeId="0">
      <text>
        <r>
          <rPr>
            <sz val="11"/>
            <color indexed="81"/>
            <rFont val="Tahoma"/>
            <family val="2"/>
          </rPr>
          <t xml:space="preserve">It can be approximated to 1.68 times the Bare module cost.
</t>
        </r>
      </text>
    </comment>
    <comment ref="D124" authorId="0" shapeId="0">
      <text>
        <r>
          <rPr>
            <sz val="12"/>
            <color indexed="81"/>
            <rFont val="Tahoma"/>
            <family val="2"/>
          </rPr>
          <t xml:space="preserve">Just one of these two values is required
</t>
        </r>
      </text>
    </comment>
    <comment ref="D126" authorId="0" shapeId="0">
      <text>
        <r>
          <rPr>
            <sz val="11"/>
            <color indexed="81"/>
            <rFont val="Tahoma"/>
            <family val="2"/>
          </rPr>
          <t xml:space="preserve">It can be approximated to 1.68 times the Bare module cost.
</t>
        </r>
      </text>
    </comment>
    <comment ref="D155" authorId="0" shapeId="0">
      <text>
        <r>
          <rPr>
            <sz val="12"/>
            <color indexed="81"/>
            <rFont val="Tahoma"/>
            <family val="2"/>
          </rPr>
          <t xml:space="preserve">The number of processing steps involving the handling of particulate solids (e.g., transportation and distribution). In general, P=0.
</t>
        </r>
      </text>
    </comment>
    <comment ref="D158" authorId="0" shapeId="0">
      <text>
        <r>
          <rPr>
            <sz val="12"/>
            <color indexed="81"/>
            <rFont val="Tahoma"/>
            <family val="2"/>
          </rPr>
          <t xml:space="preserve">After startup
</t>
        </r>
      </text>
    </comment>
    <comment ref="D163" authorId="0" shapeId="0">
      <text>
        <r>
          <rPr>
            <sz val="12"/>
            <color indexed="81"/>
            <rFont val="Tahoma"/>
            <family val="2"/>
          </rPr>
          <t>It is recovered from the working capital, land value, and the sale of physical assets evaluated at the end of the plant life. Often this salvage value is neglected.</t>
        </r>
      </text>
    </comment>
    <comment ref="D167" authorId="0" shapeId="0">
      <text>
        <r>
          <rPr>
            <sz val="11"/>
            <color indexed="81"/>
            <rFont val="Tahoma"/>
            <family val="2"/>
          </rPr>
          <t xml:space="preserve">The selected present worth factor, from Table 7-3, 7-4, or 7-5 in Peters et. al. 2003 or Table 9.1 in Tourton et al. 2009.
</t>
        </r>
      </text>
    </comment>
    <comment ref="D168" authorId="0" shapeId="0">
      <text>
        <r>
          <rPr>
            <sz val="12"/>
            <color indexed="81"/>
            <rFont val="Tahoma"/>
            <family val="2"/>
          </rPr>
          <t xml:space="preserve">Table 8-1 Peters et al. 2003.
</t>
        </r>
      </text>
    </comment>
    <comment ref="E175" authorId="0" shapeId="0">
      <text>
        <r>
          <rPr>
            <sz val="11"/>
            <color indexed="81"/>
            <rFont val="Tahoma"/>
            <family val="2"/>
          </rPr>
          <t xml:space="preserve">Optional
</t>
        </r>
      </text>
    </comment>
    <comment ref="F175" authorId="0" shapeId="0">
      <text>
        <r>
          <rPr>
            <sz val="11"/>
            <color indexed="81"/>
            <rFont val="Tahoma"/>
            <family val="2"/>
          </rPr>
          <t xml:space="preserve">By default, the compound with a lower ERPG is selected for the CEI analysis. 
</t>
        </r>
      </text>
    </comment>
    <comment ref="E176" authorId="0" shapeId="0">
      <text>
        <r>
          <rPr>
            <sz val="11"/>
            <color indexed="81"/>
            <rFont val="Tahoma"/>
            <family val="2"/>
          </rPr>
          <t xml:space="preserve">By default, a 10 Ton capacity liquid is assumed. </t>
        </r>
      </text>
    </comment>
    <comment ref="E177" authorId="0" shapeId="0">
      <text>
        <r>
          <rPr>
            <sz val="12"/>
            <color indexed="81"/>
            <rFont val="Tahoma"/>
            <family val="2"/>
          </rPr>
          <t xml:space="preserve">Choose the Stream number which have the higher amount of the substance under study for this evaluation. 
</t>
        </r>
      </text>
    </comment>
    <comment ref="E180" authorId="1" shapeId="0">
      <text>
        <r>
          <rPr>
            <sz val="12"/>
            <color indexed="81"/>
            <rFont val="Tahoma"/>
            <family val="2"/>
          </rPr>
          <t xml:space="preserve">Optional values
</t>
        </r>
      </text>
    </comment>
    <comment ref="G192" authorId="0" shapeId="0">
      <text>
        <r>
          <rPr>
            <sz val="10"/>
            <color indexed="81"/>
            <rFont val="Tahoma"/>
            <family val="2"/>
          </rPr>
          <t xml:space="preserve">If a total installed cost is not provided, then, the total installed cost is equal to 1.68 times the bare module cost (Tourton et al., 2009; page 211)
</t>
        </r>
      </text>
    </comment>
    <comment ref="K303" authorId="0" shapeId="0">
      <text>
        <r>
          <rPr>
            <sz val="11"/>
            <color indexed="81"/>
            <rFont val="Tahoma"/>
            <family val="2"/>
          </rPr>
          <t xml:space="preserve">Just for waste streams.
</t>
        </r>
      </text>
    </comment>
    <comment ref="L303" authorId="0" shape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gruizmer</author>
  </authors>
  <commentList>
    <comment ref="G9" authorId="0" shapeId="0">
      <text>
        <r>
          <rPr>
            <sz val="12"/>
            <color indexed="81"/>
            <rFont val="Tahoma"/>
            <family val="2"/>
          </rPr>
          <t xml:space="preserve">These are default values. The user can change them for getting a more accurate evaluation. 
</t>
        </r>
      </text>
    </comment>
    <comment ref="H9" authorId="0" shapeId="0">
      <text>
        <r>
          <rPr>
            <sz val="12"/>
            <color indexed="81"/>
            <rFont val="Tahoma"/>
            <family val="2"/>
          </rPr>
          <t xml:space="preserve">These are default values. The user can change them for getting a more accurate evaluation. </t>
        </r>
      </text>
    </comment>
    <comment ref="J9" authorId="1" shapeId="0">
      <text>
        <r>
          <rPr>
            <b/>
            <sz val="11"/>
            <color indexed="81"/>
            <rFont val="Tahoma"/>
            <family val="2"/>
          </rPr>
          <t>gruizmer:</t>
        </r>
        <r>
          <rPr>
            <sz val="11"/>
            <color indexed="81"/>
            <rFont val="Tahoma"/>
            <family val="2"/>
          </rPr>
          <t xml:space="preserve">
A manual entry (column I) has priority over authomatic calculations.</t>
        </r>
      </text>
    </comment>
    <comment ref="E21" authorId="0" shapeId="0">
      <text>
        <r>
          <rPr>
            <sz val="12"/>
            <color indexed="81"/>
            <rFont val="Tahoma"/>
            <family val="2"/>
          </rPr>
          <t xml:space="preserve">filtration
</t>
        </r>
      </text>
    </comment>
    <comment ref="E22" authorId="0" shapeId="0">
      <text>
        <r>
          <rPr>
            <sz val="12"/>
            <color indexed="81"/>
            <rFont val="Tahoma"/>
            <family val="2"/>
          </rPr>
          <t xml:space="preserve">filtration + activated sludge
</t>
        </r>
      </text>
    </comment>
    <comment ref="E23" authorId="0" shapeId="0">
      <text>
        <r>
          <rPr>
            <sz val="12"/>
            <color indexed="81"/>
            <rFont val="Tahoma"/>
            <family val="2"/>
          </rPr>
          <t xml:space="preserve">filtration + activated sludge + chemical processing
</t>
        </r>
      </text>
    </comment>
    <comment ref="J44" authorId="0" shapeId="0">
      <text>
        <r>
          <rPr>
            <sz val="11"/>
            <color indexed="81"/>
            <rFont val="Tahoma"/>
            <family val="2"/>
          </rPr>
          <t xml:space="preserve">Q•/[H1 (Sat vapor184 °C &amp; 11 bar) - H2 (saturaded liquid 184 °C &amp; 11 bar)] </t>
        </r>
      </text>
    </comment>
    <comment ref="J45" authorId="0" shapeId="0">
      <text>
        <r>
          <rPr>
            <sz val="11"/>
            <color indexed="81"/>
            <rFont val="Tahoma"/>
            <family val="2"/>
          </rPr>
          <t xml:space="preserve">Q•/[H1 (5 °C &amp; 4 bar) - H2 ( 15 °C &amp; 4 bar)] 
</t>
        </r>
      </text>
    </comment>
    <comment ref="E58" authorId="0" shapeId="0">
      <text>
        <r>
          <rPr>
            <sz val="11"/>
            <color indexed="81"/>
            <rFont val="Tahoma"/>
            <family val="2"/>
          </rPr>
          <t xml:space="preserve">http://www.eia.gov/energyexplained/index.cfm?page=about_energy_conversion_calculator#natgascalc
</t>
        </r>
      </text>
    </comment>
    <comment ref="E59" authorId="0" shapeId="0">
      <text>
        <r>
          <rPr>
            <sz val="10"/>
            <color indexed="81"/>
            <rFont val="Tahoma"/>
            <family val="2"/>
          </rPr>
          <t>Cao &amp; Feng, 2007.</t>
        </r>
      </text>
    </comment>
    <comment ref="E66" authorId="0" shapeId="0">
      <text>
        <r>
          <rPr>
            <sz val="11"/>
            <color indexed="81"/>
            <rFont val="Tahoma"/>
            <family val="2"/>
          </rPr>
          <t xml:space="preserve">See pg 243 Turton et al. 2009
</t>
        </r>
      </text>
    </comment>
    <comment ref="E68" authorId="0" shapeId="0">
      <text>
        <r>
          <rPr>
            <sz val="11"/>
            <color indexed="81"/>
            <rFont val="Tahoma"/>
            <family val="2"/>
          </rPr>
          <t>Szargut et al. 1988 Table I Appendix</t>
        </r>
      </text>
    </comment>
    <comment ref="E85" authorId="0" shapeId="0">
      <text>
        <r>
          <rPr>
            <sz val="12"/>
            <color indexed="81"/>
            <rFont val="Tahoma"/>
            <family val="2"/>
          </rPr>
          <t>Szargut et al. 1988 Table I Appendix</t>
        </r>
      </text>
    </comment>
    <comment ref="E86" authorId="0" shapeId="0">
      <text>
        <r>
          <rPr>
            <sz val="11"/>
            <color indexed="81"/>
            <rFont val="Symbol"/>
            <family val="1"/>
            <charset val="2"/>
          </rPr>
          <t>D</t>
        </r>
        <r>
          <rPr>
            <sz val="11"/>
            <color indexed="81"/>
            <rFont val="Tahoma"/>
            <family val="2"/>
          </rPr>
          <t xml:space="preserve">H=h(T)-hl(25°C)
</t>
        </r>
      </text>
    </comment>
    <comment ref="E87" authorId="0" shapeId="0">
      <text>
        <r>
          <rPr>
            <sz val="11"/>
            <color indexed="81"/>
            <rFont val="Symbol"/>
            <family val="1"/>
            <charset val="2"/>
          </rPr>
          <t>D</t>
        </r>
        <r>
          <rPr>
            <sz val="11"/>
            <color indexed="81"/>
            <rFont val="Tahoma"/>
            <family val="2"/>
          </rPr>
          <t>S=s(T)-sl(25°C)</t>
        </r>
      </text>
    </comment>
    <comment ref="E88" authorId="0" shape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shapeId="0">
      <text>
        <r>
          <rPr>
            <sz val="10"/>
            <color indexed="81"/>
            <rFont val="Tahoma"/>
            <family val="2"/>
          </rPr>
          <t>Combined cycle cooling water. Zhang &amp; Long, 2010. Energy Policy 38, 2948-2955.</t>
        </r>
      </text>
    </comment>
    <comment ref="E96" authorId="0" shapeId="0">
      <text>
        <r>
          <rPr>
            <sz val="10"/>
            <color indexed="81"/>
            <rFont val="Tahoma"/>
            <family val="2"/>
          </rPr>
          <t>9760 BTU/kWh
Annual Energy Review 2010, DOE/EIA
http://205.254.135.24/totalenergy/data/annual/pdf/aer.pdf</t>
        </r>
      </text>
    </comment>
    <comment ref="E98" authorId="0" shapeId="0">
      <text>
        <r>
          <rPr>
            <sz val="10"/>
            <color indexed="81"/>
            <rFont val="Tahoma"/>
            <family val="2"/>
          </rPr>
          <t xml:space="preserve">Szargut et al. 1988 Table 5.2
</t>
        </r>
      </text>
    </comment>
    <comment ref="E99" authorId="0" shapeId="0">
      <text>
        <r>
          <rPr>
            <sz val="10"/>
            <color indexed="81"/>
            <rFont val="Tahoma"/>
            <family val="2"/>
          </rPr>
          <t>Cao &amp; Feng, 2007.</t>
        </r>
      </text>
    </comment>
    <comment ref="F108" authorId="0" shapeId="0">
      <text>
        <r>
          <rPr>
            <sz val="12"/>
            <color indexed="81"/>
            <rFont val="Tahoma"/>
            <family val="2"/>
          </rPr>
          <t>See pg 243 Turton et al. 2009</t>
        </r>
      </text>
    </comment>
    <comment ref="E109" authorId="0" shapeId="0">
      <text>
        <r>
          <rPr>
            <sz val="12"/>
            <color indexed="81"/>
            <rFont val="Tahoma"/>
            <family val="2"/>
          </rPr>
          <t>As a primary energy equivalent</t>
        </r>
      </text>
    </comment>
    <comment ref="F113" authorId="0" shapeId="0">
      <text>
        <r>
          <rPr>
            <sz val="12"/>
            <color indexed="81"/>
            <rFont val="Tahoma"/>
            <family val="2"/>
          </rPr>
          <t xml:space="preserve">http://www.eia.gov/energyexplained/index.cfm?page=about_energy_conversion_calculator#natgascalc
</t>
        </r>
      </text>
    </comment>
    <comment ref="E124"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shapeId="0">
      <text>
        <r>
          <rPr>
            <sz val="10"/>
            <color indexed="81"/>
            <rFont val="Tahoma"/>
            <family val="2"/>
          </rPr>
          <t>9760 BTU/kWh
Annual Energy Review 2010, DOE/EIA
http://205.254.135.24/totalenergy/data/annual/pdf/aer.pdf</t>
        </r>
      </text>
    </comment>
    <comment ref="E127" authorId="0" shapeId="0">
      <text>
        <r>
          <rPr>
            <sz val="10"/>
            <color indexed="81"/>
            <rFont val="Tahoma"/>
            <family val="2"/>
          </rPr>
          <t xml:space="preserve">As a primary energy equivalent
</t>
        </r>
      </text>
    </comment>
    <comment ref="E136"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shapeId="0">
      <text>
        <r>
          <rPr>
            <sz val="10"/>
            <color indexed="81"/>
            <rFont val="Tahoma"/>
            <family val="2"/>
          </rPr>
          <t>9760 BTU/kWh
Annual Energy Review 2010, DOE/EIA
http://205.254.135.24/totalenergy/data/annual/pdf/aer.pdf</t>
        </r>
      </text>
    </comment>
    <comment ref="E139" authorId="0" shapeId="0">
      <text>
        <r>
          <rPr>
            <sz val="12"/>
            <color indexed="81"/>
            <rFont val="Tahoma"/>
            <family val="2"/>
          </rPr>
          <t xml:space="preserve">As a primary energy equivalent
</t>
        </r>
      </text>
    </comment>
  </commentList>
</comments>
</file>

<file path=xl/comments4.xml><?xml version="1.0" encoding="utf-8"?>
<comments xmlns="http://schemas.openxmlformats.org/spreadsheetml/2006/main">
  <authors>
    <author>ctsuser</author>
  </authors>
  <commentList>
    <comment ref="R4" authorId="0" shapeId="0">
      <text>
        <r>
          <rPr>
            <sz val="11"/>
            <color indexed="81"/>
            <rFont val="Tahoma"/>
            <family val="2"/>
          </rPr>
          <t>This is assuming that at least all releases having Tm&gt;=25°C or that are landfilled have potency factor equal to 1.</t>
        </r>
      </text>
    </comment>
    <comment ref="N62" authorId="0" shapeId="0">
      <text>
        <r>
          <rPr>
            <sz val="12"/>
            <color indexed="81"/>
            <rFont val="Tahoma"/>
            <family val="2"/>
          </rPr>
          <t>This is assuming that all the solid waste is released.</t>
        </r>
      </text>
    </comment>
    <comment ref="I128" authorId="0" shapeId="0">
      <text>
        <r>
          <rPr>
            <sz val="12"/>
            <color indexed="81"/>
            <rFont val="Tahoma"/>
            <family val="2"/>
          </rPr>
          <t xml:space="preserve">Just for waste streams.
</t>
        </r>
      </text>
    </comment>
  </commentList>
</comments>
</file>

<file path=xl/sharedStrings.xml><?xml version="1.0" encoding="utf-8"?>
<sst xmlns="http://schemas.openxmlformats.org/spreadsheetml/2006/main" count="2499" uniqueCount="1355">
  <si>
    <t>Renewable</t>
  </si>
  <si>
    <t>Input</t>
  </si>
  <si>
    <t>kg/h</t>
  </si>
  <si>
    <t>Vapor fraction</t>
  </si>
  <si>
    <t>Sodium Hydroxide</t>
  </si>
  <si>
    <t>Water</t>
  </si>
  <si>
    <t>Phosphoric Acid</t>
  </si>
  <si>
    <t>Methanol</t>
  </si>
  <si>
    <t>Glycerol</t>
  </si>
  <si>
    <t>C</t>
  </si>
  <si>
    <t>kmol/h</t>
  </si>
  <si>
    <t>Base component</t>
  </si>
  <si>
    <t>Name</t>
  </si>
  <si>
    <t>Component Separator Summary</t>
  </si>
  <si>
    <t>Extractor Summary</t>
  </si>
  <si>
    <t>Heat Exchanger Summary</t>
  </si>
  <si>
    <t>Pump Summary</t>
  </si>
  <si>
    <t>Mixer Summary</t>
  </si>
  <si>
    <t>NaOH</t>
  </si>
  <si>
    <t>H2O</t>
  </si>
  <si>
    <t>C57H104O6</t>
  </si>
  <si>
    <t>Na3O4P</t>
  </si>
  <si>
    <t>H3O4P</t>
  </si>
  <si>
    <t>CH4O</t>
  </si>
  <si>
    <t>C3H8O3</t>
  </si>
  <si>
    <t>C19H36O2</t>
  </si>
  <si>
    <t>Total</t>
  </si>
  <si>
    <t>Power Generated</t>
  </si>
  <si>
    <t>Power Added</t>
  </si>
  <si>
    <t>Total Cooling</t>
  </si>
  <si>
    <t>Total Heating</t>
  </si>
  <si>
    <t>Output</t>
  </si>
  <si>
    <t>yes</t>
  </si>
  <si>
    <t>CAS Number</t>
  </si>
  <si>
    <t>Hazardous; no: 0, yes: 1</t>
  </si>
  <si>
    <t>56-81-5</t>
  </si>
  <si>
    <t>67-56-1</t>
  </si>
  <si>
    <t>7664-38-2</t>
  </si>
  <si>
    <t>Trisodium Phosphate</t>
  </si>
  <si>
    <t>7601-54-9</t>
  </si>
  <si>
    <t>1310-73-2</t>
  </si>
  <si>
    <t>TRI PBT List</t>
  </si>
  <si>
    <t>n/a</t>
  </si>
  <si>
    <t>Global Warming Air (kg CO2 eq / kg substance)</t>
  </si>
  <si>
    <t>Ozone Depletion Air (kg CFC-11 eq / kg substance)</t>
  </si>
  <si>
    <t>7732-18-5</t>
  </si>
  <si>
    <t>122-32-7</t>
  </si>
  <si>
    <t>OIL (Triolein)</t>
  </si>
  <si>
    <t>FAME (Methyl oleate)</t>
  </si>
  <si>
    <t>112-62-9</t>
  </si>
  <si>
    <t>MW, kg/kmol</t>
  </si>
  <si>
    <t>R-phrase</t>
  </si>
  <si>
    <t xml:space="preserve"> </t>
  </si>
  <si>
    <t>ECclass</t>
  </si>
  <si>
    <t>MAK, mg/m^3</t>
  </si>
  <si>
    <t>WGK</t>
  </si>
  <si>
    <t>Log Kow</t>
  </si>
  <si>
    <t>pH</t>
  </si>
  <si>
    <t>OECD28d, %</t>
  </si>
  <si>
    <t>LC50, mg/l</t>
  </si>
  <si>
    <t>LD50 oral, mg/kg</t>
  </si>
  <si>
    <t>LD50 dermal, mg/kg</t>
  </si>
  <si>
    <t>NFPA-f</t>
  </si>
  <si>
    <t>NFPA-r</t>
  </si>
  <si>
    <t>BCF</t>
  </si>
  <si>
    <t>Substance</t>
  </si>
  <si>
    <t>T</t>
  </si>
  <si>
    <t>GK</t>
  </si>
  <si>
    <t>23/24/25</t>
  </si>
  <si>
    <t>Total # of components</t>
  </si>
  <si>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</si>
  <si>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</si>
  <si>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</si>
  <si>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</si>
  <si>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</si>
  <si>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</si>
  <si>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</si>
  <si>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</si>
  <si>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</si>
  <si>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</si>
  <si>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</si>
  <si>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</si>
  <si>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</si>
  <si>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</si>
  <si>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</si>
  <si>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</si>
  <si>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</si>
  <si>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</si>
  <si>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</si>
  <si>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</si>
  <si>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</si>
  <si>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</si>
  <si>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</si>
  <si>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</si>
  <si>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</si>
  <si>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</si>
  <si>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</si>
  <si>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</si>
  <si>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</si>
  <si>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</si>
  <si>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</si>
  <si>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</si>
  <si>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</si>
  <si>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</si>
  <si>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</si>
  <si>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</si>
  <si>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</si>
  <si>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</si>
  <si>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</si>
  <si>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</si>
  <si>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</si>
  <si>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</si>
  <si>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</si>
  <si>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</si>
  <si>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</si>
  <si>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</si>
  <si>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</si>
  <si>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</si>
  <si>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</si>
  <si>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</si>
  <si>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</si>
  <si>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</si>
  <si>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</si>
  <si>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</si>
  <si>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</si>
  <si>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</si>
  <si>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</si>
  <si>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</si>
  <si>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</si>
  <si>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</si>
  <si>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</si>
  <si>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</si>
  <si>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</si>
  <si>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</si>
  <si>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</si>
  <si>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</si>
  <si>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</si>
  <si>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</si>
  <si>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</si>
  <si>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</si>
  <si>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</si>
  <si>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</si>
  <si>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</si>
  <si>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</si>
  <si>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</si>
  <si>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</si>
  <si>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</si>
  <si>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</si>
  <si>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</si>
  <si>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</si>
  <si>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</si>
  <si>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</si>
  <si>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</si>
  <si>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</si>
  <si>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</si>
  <si>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</si>
  <si>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</si>
  <si>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</si>
  <si>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</si>
  <si>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half-life, days</t>
  </si>
  <si>
    <t>nwg</t>
  </si>
  <si>
    <t>organic or water (yes=1 &amp; no=0)</t>
  </si>
  <si>
    <t xml:space="preserve">Solid state @ 25°C (yes=1 &amp; no=0) </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</si>
  <si>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</si>
  <si>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</si>
  <si>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</si>
  <si>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</si>
  <si>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</si>
  <si>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</si>
  <si>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</si>
  <si>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</si>
  <si>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</si>
  <si>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</si>
  <si>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</si>
  <si>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</si>
  <si>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</si>
  <si>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</si>
  <si>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</si>
  <si>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</si>
  <si>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</si>
  <si>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</si>
  <si>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</si>
  <si>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</si>
  <si>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</si>
  <si>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</si>
  <si>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</si>
  <si>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</si>
  <si>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</si>
  <si>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</si>
  <si>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</si>
  <si>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</si>
  <si>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</si>
  <si>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</si>
  <si>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</si>
  <si>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</si>
  <si>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</si>
  <si>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</si>
  <si>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</si>
  <si>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</si>
  <si>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</si>
  <si>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</si>
  <si>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</si>
  <si>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</si>
  <si>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</si>
  <si>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</si>
  <si>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</si>
  <si>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</si>
  <si>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</si>
  <si>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</si>
  <si>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</si>
  <si>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</si>
  <si>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</si>
  <si>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</si>
  <si>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</si>
  <si>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</si>
  <si>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</si>
  <si>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</si>
  <si>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</si>
  <si>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</si>
  <si>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</si>
  <si>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</si>
  <si>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</si>
  <si>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</si>
  <si>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</si>
  <si>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</si>
  <si>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</si>
  <si>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</si>
  <si>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</si>
  <si>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</si>
  <si>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</si>
  <si>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</si>
  <si>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</si>
  <si>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</si>
  <si>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</si>
  <si>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</si>
  <si>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</si>
  <si>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</si>
  <si>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</si>
  <si>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</si>
  <si>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</si>
  <si>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</si>
  <si>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</si>
  <si>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</si>
  <si>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</si>
  <si>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</si>
  <si>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</si>
  <si>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</si>
  <si>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</si>
  <si>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</si>
  <si>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</si>
  <si>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</si>
  <si>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</si>
  <si>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</si>
  <si>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</si>
  <si>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</si>
  <si>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</si>
  <si>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</si>
  <si>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</si>
  <si>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</si>
  <si>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</si>
  <si>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</si>
  <si>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</si>
  <si>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</si>
  <si>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</si>
  <si>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</si>
  <si>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</si>
  <si>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</si>
  <si>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</si>
  <si>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</si>
  <si>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</si>
  <si>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</si>
  <si>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</si>
  <si>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</si>
  <si>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</si>
  <si>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</si>
  <si>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</si>
  <si>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</si>
  <si>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</si>
  <si>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</si>
  <si>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</si>
  <si>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</si>
  <si>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</si>
  <si>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</si>
  <si>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</si>
  <si>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</si>
  <si>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</si>
  <si>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</si>
  <si>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</si>
  <si>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</si>
  <si>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</si>
  <si>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</si>
  <si>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</si>
  <si>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</si>
  <si>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</si>
  <si>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</si>
  <si>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</si>
  <si>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</si>
  <si>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</si>
  <si>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</si>
  <si>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</si>
  <si>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</si>
  <si>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</si>
  <si>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</si>
  <si>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</si>
  <si>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</si>
  <si>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</si>
  <si>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</si>
  <si>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</si>
  <si>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</si>
  <si>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</si>
  <si>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</si>
  <si>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</si>
  <si>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</si>
  <si>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</si>
  <si>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</si>
  <si>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</si>
  <si>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</si>
  <si>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</si>
  <si>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</si>
  <si>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</si>
  <si>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</si>
  <si>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</si>
  <si>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</si>
  <si>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</si>
  <si>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</si>
  <si>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</si>
  <si>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</si>
  <si>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</si>
  <si>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</si>
  <si>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</si>
  <si>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</si>
  <si>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</si>
  <si>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</si>
  <si>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</si>
  <si>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</si>
  <si>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</si>
  <si>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</si>
  <si>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</si>
  <si>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</si>
  <si>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</si>
  <si>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</si>
  <si>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</si>
  <si>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</si>
  <si>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</si>
  <si>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</si>
  <si>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</si>
  <si>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</si>
  <si>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</si>
  <si>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</si>
  <si>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</si>
  <si>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</si>
  <si>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</si>
  <si>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</si>
  <si>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</si>
  <si>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</si>
  <si>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</si>
  <si>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</si>
  <si>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</si>
  <si>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</si>
  <si>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</si>
  <si>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</si>
  <si>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</si>
  <si>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t xml:space="preserve">Potency Factor, kg SO2/kg i (0 if it is not found) </t>
  </si>
  <si>
    <t>SO2</t>
  </si>
  <si>
    <t>Ammonia</t>
  </si>
  <si>
    <t>7664-41-7</t>
  </si>
  <si>
    <t>HCl</t>
  </si>
  <si>
    <t>7647-01-0</t>
  </si>
  <si>
    <t>HF</t>
  </si>
  <si>
    <t>7664-39-3</t>
  </si>
  <si>
    <t>NO2</t>
  </si>
  <si>
    <t>H2SO4 mist</t>
  </si>
  <si>
    <t>7664-93-9</t>
  </si>
  <si>
    <t>PF Acidification water (kg H+ moles eq / kg substance)</t>
  </si>
  <si>
    <t># of H+ ions released</t>
  </si>
  <si>
    <t># of OH- ions released</t>
  </si>
  <si>
    <t>PF Basification water (kg OH- moles eq / kg substance)</t>
  </si>
  <si>
    <t>PF salinization water (kg salt-forming ions moles eq / kg substance)</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</si>
  <si>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</si>
  <si>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</si>
  <si>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</si>
  <si>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</si>
  <si>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</si>
  <si>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</si>
  <si>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</si>
  <si>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</si>
  <si>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</si>
  <si>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</si>
  <si>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</si>
  <si>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</si>
  <si>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</si>
  <si>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</si>
  <si>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</si>
  <si>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</si>
  <si>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</si>
  <si>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</si>
  <si>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</si>
  <si>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</si>
  <si>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</si>
  <si>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</si>
  <si>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</si>
  <si>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</si>
  <si>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</si>
  <si>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</si>
  <si>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</si>
  <si>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</si>
  <si>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</si>
  <si>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</si>
  <si>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</si>
  <si>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</si>
  <si>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</si>
  <si>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</si>
  <si>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</si>
  <si>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</si>
  <si>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</si>
  <si>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</si>
  <si>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</si>
  <si>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</si>
  <si>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</si>
  <si>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</si>
  <si>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</si>
  <si>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</si>
  <si>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</si>
  <si>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</si>
  <si>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</si>
  <si>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</si>
  <si>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</si>
  <si>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</si>
  <si>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</si>
  <si>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</si>
  <si>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</si>
  <si>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</si>
  <si>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</si>
  <si>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</si>
  <si>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</si>
  <si>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</si>
  <si>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</si>
  <si>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</si>
  <si>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</si>
  <si>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</si>
  <si>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</si>
  <si>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</si>
  <si>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</si>
  <si>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</si>
  <si>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</si>
  <si>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</si>
  <si>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</si>
  <si>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</si>
  <si>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</si>
  <si>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</si>
  <si>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</si>
  <si>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</si>
  <si>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</si>
  <si>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</si>
  <si>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</si>
  <si>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</si>
  <si>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</si>
  <si>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</si>
  <si>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</si>
  <si>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</si>
  <si>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</si>
  <si>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</si>
  <si>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</si>
  <si>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</si>
  <si>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</si>
  <si>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</si>
  <si>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</si>
  <si>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</si>
  <si>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</si>
  <si>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</si>
  <si>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</si>
  <si>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</si>
  <si>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</si>
  <si>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</si>
  <si>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</si>
  <si>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</si>
  <si>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</si>
  <si>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</si>
  <si>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</si>
  <si>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</si>
  <si>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</si>
  <si>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</si>
  <si>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</si>
  <si>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</si>
  <si>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</si>
  <si>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</si>
  <si>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</si>
  <si>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</si>
  <si>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</si>
  <si>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</si>
  <si>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</si>
  <si>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</si>
  <si>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</si>
  <si>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</si>
  <si>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</si>
  <si>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</si>
  <si>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</si>
  <si>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</si>
  <si>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</si>
  <si>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</si>
  <si>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</si>
  <si>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</si>
  <si>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</si>
  <si>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</si>
  <si>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</si>
  <si>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</si>
  <si>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</si>
  <si>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</si>
  <si>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</si>
  <si>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</si>
  <si>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</si>
  <si>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</si>
  <si>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</si>
  <si>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</si>
  <si>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</si>
  <si>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</si>
  <si>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</si>
  <si>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</si>
  <si>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</si>
  <si>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</si>
  <si>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</si>
  <si>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</si>
  <si>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</si>
  <si>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</si>
  <si>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</si>
  <si>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</si>
  <si>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</si>
  <si>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</si>
  <si>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</si>
  <si>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</si>
  <si>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</si>
  <si>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</si>
  <si>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</si>
  <si>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</si>
  <si>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</si>
  <si>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</si>
  <si>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</si>
  <si>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</si>
  <si>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</si>
  <si>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</si>
  <si>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</si>
  <si>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</si>
  <si>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</si>
  <si>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</si>
  <si>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</si>
  <si>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</si>
  <si>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</si>
  <si>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</si>
  <si>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</si>
  <si>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</si>
  <si>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</si>
  <si>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</si>
  <si>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</si>
  <si>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</si>
  <si>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</si>
  <si>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</si>
  <si>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</si>
  <si>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</si>
  <si>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</si>
  <si>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</si>
  <si>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</si>
  <si>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</si>
  <si>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</si>
  <si>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</si>
  <si>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</si>
  <si>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</si>
  <si>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</si>
  <si>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</si>
  <si>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</si>
  <si>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</si>
  <si>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</si>
  <si>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</si>
  <si>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</si>
  <si>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</si>
  <si>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</si>
  <si>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</si>
  <si>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</si>
  <si>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</si>
  <si>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</si>
  <si>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</si>
  <si>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</si>
  <si>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</si>
  <si>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</si>
  <si>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</si>
  <si>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</si>
  <si>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</si>
  <si>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</si>
  <si>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</si>
  <si>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</si>
  <si>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</si>
  <si>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</si>
  <si>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</si>
  <si>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</si>
  <si>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</si>
  <si>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</si>
  <si>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</si>
  <si>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</si>
  <si>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</si>
  <si>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</si>
  <si>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</si>
  <si>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</si>
  <si>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</si>
  <si>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</si>
  <si>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</si>
  <si>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</si>
  <si>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</si>
  <si>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</si>
  <si>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</si>
  <si>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</si>
  <si>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</si>
  <si>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</si>
  <si>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</si>
  <si>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</si>
  <si>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</si>
  <si>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</si>
  <si>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</si>
  <si>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</si>
  <si>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</si>
  <si>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</si>
  <si>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</si>
  <si>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</si>
  <si>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</si>
  <si>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</si>
  <si>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</si>
  <si>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</si>
  <si>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</si>
  <si>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</si>
  <si>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</si>
  <si>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</si>
  <si>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</si>
  <si>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</si>
  <si>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</si>
  <si>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</si>
  <si>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</si>
  <si>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</si>
  <si>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</si>
  <si>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</si>
  <si>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</si>
  <si>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</si>
  <si>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</si>
  <si>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</si>
  <si>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</si>
  <si>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</si>
  <si>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</si>
  <si>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</si>
  <si>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</si>
  <si>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</si>
  <si>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</si>
  <si>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</si>
  <si>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</si>
  <si>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</si>
  <si>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</si>
  <si>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</si>
  <si>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</si>
  <si>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</si>
  <si>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</si>
  <si>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</si>
  <si>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</si>
  <si>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</si>
  <si>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</si>
  <si>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</si>
  <si>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</si>
  <si>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</si>
  <si>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</si>
  <si>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</si>
  <si>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</si>
  <si>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</si>
  <si>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</si>
  <si>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</si>
  <si>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</si>
  <si>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</si>
  <si>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</si>
  <si>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</si>
  <si>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</si>
  <si>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</si>
  <si>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</si>
  <si>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</si>
  <si>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</si>
  <si>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</si>
  <si>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</si>
  <si>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</si>
  <si>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</si>
  <si>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 xml:space="preserve">Solid state (yes=1 &amp; no=0) </t>
  </si>
  <si>
    <t>categorized as solid waste for lanfill (yes=1 &amp; no=0)</t>
  </si>
  <si>
    <t>Net output waste, kg/h</t>
  </si>
  <si>
    <t>Net product flow, kg/h</t>
  </si>
  <si>
    <t>% of waste recovery (mass)</t>
  </si>
  <si>
    <t>Total purchase cost  $</t>
  </si>
  <si>
    <t>Total purchase  $</t>
  </si>
  <si>
    <t>H20 Washing</t>
  </si>
  <si>
    <t>Neutr-R</t>
  </si>
  <si>
    <t>CSTR1order</t>
  </si>
  <si>
    <t xml:space="preserve">The cost was calculated asuming it is a packed distillation column </t>
  </si>
  <si>
    <t>Total purchase cost  $ (By using CAPCOST)</t>
  </si>
  <si>
    <t>Vertical Vessel</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</si>
  <si>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</si>
  <si>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</si>
  <si>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</si>
  <si>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</si>
  <si>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</si>
  <si>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</si>
  <si>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</si>
  <si>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</si>
  <si>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</si>
  <si>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Power added, MJ/h</t>
  </si>
  <si>
    <t>Cooling, MJ/h</t>
  </si>
  <si>
    <t>Heating, MJ/h</t>
  </si>
  <si>
    <t>electricity, kWh/h</t>
  </si>
  <si>
    <t>Input, MJ/h</t>
  </si>
  <si>
    <t>Output, MJ/h</t>
  </si>
  <si>
    <t>Energy consumption for specific subprocesses</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</si>
  <si>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</si>
  <si>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</si>
  <si>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</si>
  <si>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</si>
  <si>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</si>
  <si>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</si>
  <si>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</si>
  <si>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Total percentage of energy supplied by renewable source, %</t>
  </si>
  <si>
    <t>Ex°^(ch), MJ/kmol</t>
  </si>
  <si>
    <t>Exergy factor for electricity, MJ/kWh</t>
  </si>
  <si>
    <t>Steam chemical exergy, MJ/kg</t>
  </si>
  <si>
    <t>Steam Physical exergy, MJ/kg</t>
  </si>
  <si>
    <t>Steam entropy ratio, MJ/kg/K</t>
  </si>
  <si>
    <t>Steam enthalpy ratio, MJ/kg</t>
  </si>
  <si>
    <t>no</t>
  </si>
  <si>
    <t>Renewable, yes=1 &amp; no=0</t>
  </si>
  <si>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</si>
  <si>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</si>
  <si>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</si>
  <si>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</si>
  <si>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</si>
  <si>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</si>
  <si>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</si>
  <si>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</si>
  <si>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</si>
  <si>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</si>
  <si>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</si>
  <si>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</si>
  <si>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</si>
  <si>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</si>
  <si>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</si>
  <si>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</si>
  <si>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Straight-line</t>
  </si>
  <si>
    <t>Plant startup at end of year</t>
  </si>
  <si>
    <r>
      <t xml:space="preserve">Land cost, </t>
    </r>
    <r>
      <rPr>
        <i/>
        <sz val="12"/>
        <rFont val="Times New Roman"/>
        <family val="1"/>
      </rPr>
      <t>C</t>
    </r>
    <r>
      <rPr>
        <sz val="10"/>
        <rFont val="Times New Roman"/>
        <family val="1"/>
      </rPr>
      <t>Land,</t>
    </r>
    <r>
      <rPr>
        <sz val="12"/>
        <rFont val="Times New Roman"/>
        <family val="1"/>
      </rPr>
      <t xml:space="preserve"> $US</t>
    </r>
  </si>
  <si>
    <r>
      <t>rec</t>
    </r>
    <r>
      <rPr>
        <i/>
        <vertAlign val="subscript"/>
        <sz val="12"/>
        <rFont val="Times New Roman"/>
        <family val="1"/>
      </rPr>
      <t>m</t>
    </r>
    <r>
      <rPr>
        <sz val="12"/>
        <rFont val="Times New Roman"/>
        <family val="1"/>
      </rPr>
      <t>, salvage-value, $US</t>
    </r>
  </si>
  <si>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</si>
  <si>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</si>
  <si>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</si>
  <si>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</si>
  <si>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</si>
  <si>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</si>
  <si>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t>MARR, minimum acceptable rate of return</t>
  </si>
  <si>
    <t>Product name</t>
  </si>
  <si>
    <t>Eco-product, yes=1 &amp; no=0</t>
  </si>
  <si>
    <t>Feedstock name</t>
  </si>
  <si>
    <t>Transformity factor for electricity, MseJ/kWh</t>
  </si>
  <si>
    <t>Transformity factor for cooling needs, MseJ/MJ</t>
  </si>
  <si>
    <t>Notes</t>
  </si>
  <si>
    <t xml:space="preserve">Small power requirements, negligible at this level of conceptual design </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</si>
  <si>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</si>
  <si>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</si>
  <si>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</si>
  <si>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</si>
  <si>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</si>
  <si>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</si>
  <si>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</si>
  <si>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</si>
  <si>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</si>
  <si>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</si>
  <si>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</si>
  <si>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</si>
  <si>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</si>
  <si>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</si>
  <si>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</si>
  <si>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</si>
  <si>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</si>
  <si>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Product=1; waste=0</t>
  </si>
  <si>
    <t>Total heating needs, MJ/h</t>
  </si>
  <si>
    <t>Total cooling needs, MJ/h</t>
  </si>
  <si>
    <t>Energy source</t>
  </si>
  <si>
    <t>Electricity, 3.6 MJ/kWh</t>
  </si>
  <si>
    <t>Cost, $US/kg</t>
  </si>
  <si>
    <t>Total cost flow rate, $US/h</t>
  </si>
  <si>
    <t>Reactions</t>
  </si>
  <si>
    <t>Reaction #</t>
  </si>
  <si>
    <t>Hourly earnings, $US/hr @12-2010</t>
  </si>
  <si>
    <t>Moderately low T Refrigerated water, Tin = 5 °C Tout = 15°C, 0.043 MJ/kg</t>
  </si>
  <si>
    <t>Stoichiometric coefficients</t>
  </si>
  <si>
    <t>Main product</t>
  </si>
  <si>
    <t>Main global reaction #</t>
  </si>
  <si>
    <t>Limiting reagent compound #</t>
  </si>
  <si>
    <t>Main global product #</t>
  </si>
  <si>
    <t>Stream #</t>
  </si>
  <si>
    <t>Sodium hydroxide</t>
  </si>
  <si>
    <t>Recicable, yes=1 &amp; no=0</t>
  </si>
  <si>
    <t>Main global product stream #</t>
  </si>
  <si>
    <r>
      <t>Liquid water density, kg/m</t>
    </r>
    <r>
      <rPr>
        <vertAlign val="superscript"/>
        <sz val="12"/>
        <rFont val="Times New Roman"/>
        <family val="1"/>
      </rPr>
      <t>3</t>
    </r>
  </si>
  <si>
    <t>Non-polluted=1; polluted=0</t>
  </si>
  <si>
    <r>
      <t>Volumetric flow, m</t>
    </r>
    <r>
      <rPr>
        <vertAlign val="superscript"/>
        <sz val="12"/>
        <rFont val="Arial"/>
        <family val="2"/>
      </rPr>
      <t>3</t>
    </r>
    <r>
      <rPr>
        <sz val="12"/>
        <rFont val="Arial"/>
        <family val="2"/>
      </rPr>
      <t>/h</t>
    </r>
  </si>
  <si>
    <t>Volumetric flow, m^3/h</t>
  </si>
  <si>
    <t>Fault tree assessment, FTA</t>
  </si>
  <si>
    <t>Current flow rate, kg/yr</t>
  </si>
  <si>
    <t>Hazardous=1; nonhazardous=0</t>
  </si>
  <si>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</si>
  <si>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</si>
  <si>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</si>
  <si>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</si>
  <si>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</si>
  <si>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</si>
  <si>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</si>
  <si>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</si>
  <si>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</si>
  <si>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</si>
  <si>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</si>
  <si>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</si>
  <si>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</si>
  <si>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</si>
  <si>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</si>
  <si>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R, MJ/(kmol*K)</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</si>
  <si>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</si>
  <si>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</si>
  <si>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</si>
  <si>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</si>
  <si>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Utility flow, kg/h, kWh/h</t>
  </si>
  <si>
    <t>Cooling water chemical exergy, MJ/kg</t>
  </si>
  <si>
    <t>Cooling water enthalpy ratio, MJ/kg</t>
  </si>
  <si>
    <t>Cooling water entropy ratio, MJ/kg/K</t>
  </si>
  <si>
    <t>Cooling water physical exergy, MJ/kg</t>
  </si>
  <si>
    <t xml:space="preserve">refrigeration cycle as described in Turton et al. 2008 pages 232-238 </t>
  </si>
  <si>
    <t>Reactor, R-102; Separator S-102</t>
  </si>
  <si>
    <t>Column T-101; Pump P-103</t>
  </si>
  <si>
    <t>R-101</t>
  </si>
  <si>
    <t>R-102</t>
  </si>
  <si>
    <t>S-101</t>
  </si>
  <si>
    <t>S-102</t>
  </si>
  <si>
    <t>W-101</t>
  </si>
  <si>
    <t>H-102</t>
  </si>
  <si>
    <t>T-101</t>
  </si>
  <si>
    <t>T-102</t>
  </si>
  <si>
    <t>T-103</t>
  </si>
  <si>
    <t>P-102</t>
  </si>
  <si>
    <t>P-103</t>
  </si>
  <si>
    <t>P-104</t>
  </si>
  <si>
    <t>Depreciation method</t>
  </si>
  <si>
    <t>"N/A"</t>
  </si>
  <si>
    <t>M-101</t>
  </si>
  <si>
    <t>M-103</t>
  </si>
  <si>
    <t>M-113</t>
  </si>
  <si>
    <t>M-115</t>
  </si>
  <si>
    <t>Equipment for Waste Treatment (1), Solvent Recovery (2), Recycling (3)</t>
  </si>
  <si>
    <t>Energy for waste treatment (1)</t>
  </si>
  <si>
    <t>Energy for solvent recovery (2)</t>
  </si>
  <si>
    <t>Energy for recycling (3)</t>
  </si>
  <si>
    <t>FAME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</si>
  <si>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</si>
  <si>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</si>
  <si>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</si>
  <si>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</si>
  <si>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</si>
  <si>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</si>
  <si>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</si>
  <si>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</si>
  <si>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</si>
  <si>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</si>
  <si>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</si>
  <si>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</si>
  <si>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</si>
  <si>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</si>
  <si>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</si>
  <si>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</si>
  <si>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</si>
  <si>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</si>
  <si>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</si>
  <si>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t>Dike area, m^2</t>
  </si>
  <si>
    <t>Distance to Property or fence line, m</t>
  </si>
  <si>
    <t>Quantity of liquid available for release, kg</t>
  </si>
  <si>
    <r>
      <rPr>
        <i/>
        <sz val="12"/>
        <rFont val="Times New Roman"/>
        <family val="1"/>
      </rPr>
      <t>D</t>
    </r>
    <r>
      <rPr>
        <sz val="12"/>
        <rFont val="Times New Roman"/>
        <family val="1"/>
      </rPr>
      <t>, Diameter of hole, mm</t>
    </r>
  </si>
  <si>
    <t>Selected compound for CEI analysis</t>
  </si>
  <si>
    <t>"ERPG-2, mg/m^3"</t>
  </si>
  <si>
    <t>"ERPG-3, mg/m^3"</t>
  </si>
  <si>
    <t>"IDLH,mg/m^3"</t>
  </si>
  <si>
    <t>Process Stream</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</si>
  <si>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</si>
  <si>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</si>
  <si>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</si>
  <si>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</si>
  <si>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</si>
  <si>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</si>
  <si>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</si>
  <si>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</si>
  <si>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</si>
  <si>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</si>
  <si>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</si>
  <si>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</si>
  <si>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</si>
  <si>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t>GK: approximation</t>
  </si>
  <si>
    <t/>
  </si>
  <si>
    <t xml:space="preserve">Potency Factor, kg formaldehyde /  kg i (0 if it is not found) </t>
  </si>
  <si>
    <t>Sulfuric Acid</t>
  </si>
  <si>
    <t>H2SO4</t>
  </si>
  <si>
    <t>Sulfuric acid</t>
  </si>
  <si>
    <t>S-103</t>
  </si>
  <si>
    <t>S-104</t>
  </si>
  <si>
    <t>Vertical Vessel, Stainless Steel</t>
  </si>
  <si>
    <t>W-102</t>
  </si>
  <si>
    <t>Glycerine Washing</t>
  </si>
  <si>
    <t>P-105</t>
  </si>
  <si>
    <t>P-106</t>
  </si>
  <si>
    <t>P-107</t>
  </si>
  <si>
    <t>P-108</t>
  </si>
  <si>
    <t>T-104</t>
  </si>
  <si>
    <t>H-103</t>
  </si>
  <si>
    <t>H-104</t>
  </si>
  <si>
    <t>R-103</t>
  </si>
  <si>
    <t>R-104</t>
  </si>
  <si>
    <t>S-105</t>
  </si>
  <si>
    <t>C18H34O2</t>
  </si>
  <si>
    <t xml:space="preserve">112-80-1 </t>
  </si>
  <si>
    <t>Oil-used</t>
  </si>
  <si>
    <t>Na2SO4</t>
  </si>
  <si>
    <t>7757-82-6</t>
  </si>
  <si>
    <t>Oleic Acid</t>
  </si>
  <si>
    <t>Q•  MJ/h (+: heating added; -: heating removed)</t>
  </si>
  <si>
    <t>Power W•,  MJ/h  (+: power added; -: power produced)</t>
  </si>
  <si>
    <t>Power W•,  MJ/h  (+: power added; -: power produced) (Peters et al. pg 538) @ 0.2kW/m^3</t>
  </si>
  <si>
    <t>Entalphy of Rxn (MJ/h)</t>
  </si>
  <si>
    <t>Reactor Summary</t>
  </si>
  <si>
    <t>Jacketed Agitated, equilibrium</t>
  </si>
  <si>
    <t>Jacketed Agitated, equilibrium, Acid neutralization</t>
  </si>
  <si>
    <t>Jacketed Agitated, kinetic</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</si>
  <si>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</si>
  <si>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</si>
  <si>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</si>
  <si>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</si>
  <si>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</si>
  <si>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</si>
  <si>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</si>
  <si>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</si>
  <si>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</si>
  <si>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</si>
  <si>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</si>
  <si>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</si>
  <si>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Daphia magna, 96h</t>
  </si>
  <si>
    <t>Animal reference / time</t>
  </si>
  <si>
    <t>rabbit</t>
  </si>
  <si>
    <t>Sodium Sulphate</t>
  </si>
  <si>
    <t>Xi</t>
  </si>
  <si>
    <t>36/37/38</t>
  </si>
  <si>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</si>
  <si>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</si>
  <si>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</si>
  <si>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</si>
  <si>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</si>
  <si>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</si>
  <si>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</si>
  <si>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</si>
  <si>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</si>
  <si>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</si>
  <si>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</si>
  <si>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</si>
  <si>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</si>
  <si>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</si>
  <si>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</si>
  <si>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</si>
  <si>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</si>
  <si>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</si>
  <si>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</si>
  <si>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</si>
  <si>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</si>
  <si>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</si>
  <si>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</si>
  <si>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</si>
  <si>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</si>
  <si>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</si>
  <si>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</si>
  <si>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</si>
  <si>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</si>
  <si>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</si>
  <si>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</si>
  <si>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</si>
  <si>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</si>
  <si>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</si>
  <si>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</si>
  <si>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</si>
  <si>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</si>
  <si>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</si>
  <si>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</si>
  <si>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</si>
  <si>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</si>
  <si>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</si>
  <si>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</si>
  <si>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</si>
  <si>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</si>
  <si>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</si>
  <si>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</si>
  <si>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</si>
  <si>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</si>
  <si>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</si>
  <si>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</si>
  <si>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</si>
  <si>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</si>
  <si>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</si>
  <si>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</si>
  <si>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</si>
  <si>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</si>
  <si>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</si>
  <si>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</si>
  <si>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</si>
  <si>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</si>
  <si>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</si>
  <si>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</si>
  <si>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</si>
  <si>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</si>
  <si>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</si>
  <si>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</si>
  <si>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</si>
  <si>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</si>
  <si>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</si>
  <si>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</si>
  <si>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</si>
  <si>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</si>
  <si>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</si>
  <si>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</si>
  <si>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</si>
  <si>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</si>
  <si>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</si>
  <si>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</si>
  <si>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</si>
  <si>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</si>
  <si>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</si>
  <si>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</si>
  <si>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</si>
  <si>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</si>
  <si>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</si>
  <si>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</si>
  <si>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</si>
  <si>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</si>
  <si>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</si>
  <si>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</si>
  <si>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</si>
  <si>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</si>
  <si>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</si>
  <si>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</si>
  <si>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</si>
  <si>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</si>
  <si>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</si>
  <si>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</si>
  <si>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</si>
  <si>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</si>
  <si>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</si>
  <si>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</si>
  <si>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</si>
  <si>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</si>
  <si>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</si>
  <si>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</si>
  <si>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</si>
  <si>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</si>
  <si>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</si>
  <si>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</si>
  <si>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</si>
  <si>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</si>
  <si>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</si>
  <si>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</si>
  <si>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</si>
  <si>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</si>
  <si>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</si>
  <si>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</si>
  <si>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</si>
  <si>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</si>
  <si>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</si>
  <si>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</si>
  <si>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</si>
  <si>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</si>
  <si>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</si>
  <si>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</si>
  <si>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</si>
  <si>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</si>
  <si>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</si>
  <si>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</si>
  <si>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</si>
  <si>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</si>
  <si>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</si>
  <si>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</si>
  <si>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</si>
  <si>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</si>
  <si>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</si>
  <si>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</si>
  <si>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</si>
  <si>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</si>
  <si>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</si>
  <si>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</si>
  <si>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</si>
  <si>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</si>
  <si>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</si>
  <si>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</si>
  <si>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</si>
  <si>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</si>
  <si>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</si>
  <si>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</si>
  <si>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</si>
  <si>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</si>
  <si>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</si>
  <si>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</si>
  <si>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</si>
  <si>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</si>
  <si>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</si>
  <si>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</si>
  <si>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</si>
  <si>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</si>
  <si>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</si>
  <si>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</si>
  <si>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</si>
  <si>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</si>
  <si>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</si>
  <si>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</si>
  <si>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</si>
  <si>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</si>
  <si>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</si>
  <si>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</si>
  <si>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</si>
  <si>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</si>
  <si>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</si>
  <si>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</si>
  <si>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</si>
  <si>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</si>
  <si>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</si>
  <si>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</si>
  <si>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</si>
  <si>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</si>
  <si>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</si>
  <si>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</si>
  <si>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</si>
  <si>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</si>
  <si>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</si>
  <si>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</si>
  <si>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</si>
  <si>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</si>
  <si>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</si>
  <si>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</si>
  <si>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</si>
  <si>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</si>
  <si>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</si>
  <si>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</si>
  <si>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</si>
  <si>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</si>
  <si>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</si>
  <si>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</si>
  <si>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</si>
  <si>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</si>
  <si>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</si>
  <si>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</si>
  <si>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</si>
  <si>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</si>
  <si>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</si>
  <si>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</si>
  <si>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</si>
  <si>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</si>
  <si>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</si>
  <si>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</si>
  <si>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</si>
  <si>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</si>
  <si>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</si>
  <si>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</si>
  <si>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</si>
  <si>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</si>
  <si>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</si>
  <si>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</si>
  <si>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</si>
  <si>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</si>
  <si>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</si>
  <si>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</si>
  <si>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</si>
  <si>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</si>
  <si>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</si>
  <si>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</si>
  <si>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</si>
  <si>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</si>
  <si>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</si>
  <si>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</si>
  <si>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</si>
  <si>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</si>
  <si>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</si>
  <si>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</si>
  <si>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</si>
  <si>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</si>
  <si>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</si>
  <si>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</si>
  <si>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</si>
  <si>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</si>
  <si>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</si>
  <si>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</si>
  <si>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</si>
  <si>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</si>
  <si>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</si>
  <si>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</si>
  <si>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</si>
  <si>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</si>
  <si>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</si>
  <si>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</si>
  <si>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</si>
  <si>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</si>
  <si>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</si>
  <si>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</si>
  <si>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</si>
  <si>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</si>
  <si>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</si>
  <si>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</si>
  <si>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</si>
  <si>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</si>
  <si>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</si>
  <si>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</si>
  <si>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</si>
  <si>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</si>
  <si>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</si>
  <si>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</si>
  <si>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</si>
  <si>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</si>
  <si>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</si>
  <si>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</si>
  <si>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</si>
  <si>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</si>
  <si>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</si>
  <si>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</si>
  <si>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</si>
  <si>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</si>
  <si>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</si>
  <si>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</si>
  <si>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</si>
  <si>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</si>
  <si>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</si>
  <si>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</si>
  <si>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</si>
  <si>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</si>
  <si>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</si>
  <si>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</si>
  <si>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</si>
  <si>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</si>
  <si>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</si>
  <si>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</si>
  <si>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</si>
  <si>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</si>
  <si>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</si>
  <si>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</si>
  <si>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</si>
  <si>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</si>
  <si>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</si>
  <si>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</si>
  <si>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</si>
  <si>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</si>
  <si>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r>
      <rPr>
        <sz val="12"/>
        <rFont val="Symbol"/>
        <family val="1"/>
        <charset val="2"/>
      </rPr>
      <t>D</t>
    </r>
    <r>
      <rPr>
        <sz val="12"/>
        <rFont val="Arial"/>
        <family val="2"/>
      </rPr>
      <t>h</t>
    </r>
    <r>
      <rPr>
        <vertAlign val="subscript"/>
        <sz val="12"/>
        <rFont val="Arial"/>
        <family val="2"/>
      </rPr>
      <t>reaction</t>
    </r>
    <r>
      <rPr>
        <sz val="12"/>
        <rFont val="Arial"/>
        <family val="2"/>
      </rPr>
      <t xml:space="preserve"> [=] MJ/kmol lim reagent * kmol lim reagent/h</t>
    </r>
  </si>
  <si>
    <t>Liquid water type utility in situ produced</t>
  </si>
  <si>
    <t xml:space="preserve">By: </t>
  </si>
  <si>
    <t>Raymond L. Smith</t>
  </si>
  <si>
    <t>Michael A. Gonzalez</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</si>
  <si>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</si>
  <si>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</si>
  <si>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</si>
  <si>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</si>
  <si>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</si>
  <si>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</si>
  <si>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</si>
  <si>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</si>
  <si>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Vapor Pressure at Pool Temperature, kPa</t>
  </si>
  <si>
    <t>Main global product flow rate (pure), kg/h</t>
  </si>
  <si>
    <t>TRI List; yes: 1, no: 0</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</si>
  <si>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</si>
  <si>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</si>
  <si>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</si>
  <si>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</si>
  <si>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</si>
  <si>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</si>
  <si>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</si>
  <si>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</si>
  <si>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</si>
  <si>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</si>
  <si>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</si>
  <si>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</si>
  <si>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0: Waste; 1: Product; 2: Feedstock; 3: Catalyst; 4: Global reagent/Solvent; 5: Other (drying agent, additive, solvent, washing agent, etc.)</t>
  </si>
  <si>
    <t>Reference Column number</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</si>
  <si>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</si>
  <si>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</si>
  <si>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</si>
  <si>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</si>
  <si>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</si>
  <si>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</si>
  <si>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</si>
  <si>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</si>
  <si>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</si>
  <si>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</si>
  <si>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</si>
  <si>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</si>
  <si>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</si>
  <si>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</si>
  <si>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</si>
  <si>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</si>
  <si>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</si>
  <si>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</si>
  <si>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</si>
  <si>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</si>
  <si>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</si>
  <si>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</si>
  <si>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</si>
  <si>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</si>
  <si>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</si>
  <si>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</si>
  <si>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</si>
  <si>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</si>
  <si>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</si>
  <si>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</si>
  <si>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</si>
  <si>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</si>
  <si>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</si>
  <si>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</si>
  <si>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</si>
  <si>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</si>
  <si>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</si>
  <si>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</si>
  <si>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</si>
  <si>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 xml:space="preserve">Calculations for Solid and Liquid Waste Estimation Only </t>
  </si>
  <si>
    <t>Total solid waste mass data</t>
  </si>
  <si>
    <t xml:space="preserve">IndVal </t>
  </si>
  <si>
    <t>IndVal_i</t>
  </si>
  <si>
    <t>PhysVal_i, kg/kg</t>
  </si>
  <si>
    <t>m•out, kg/h</t>
  </si>
  <si>
    <t>m•, solid waste generated [kg/h]</t>
  </si>
  <si>
    <t>worst case value, kg solid waste generated/h</t>
  </si>
  <si>
    <t>Solid waste mass for recovery data</t>
  </si>
  <si>
    <t>% of recovery (mass)</t>
  </si>
  <si>
    <t>m•, solid waste recovered [kg/h]</t>
  </si>
  <si>
    <t>m•, solid waste for disposal [kg/h]</t>
  </si>
  <si>
    <t>worst case value, kg solid waste released/h</t>
  </si>
  <si>
    <t>Hazardous material waste, No= 0, Yes 1</t>
  </si>
  <si>
    <t>Hazardous solid waste generated, kg/h</t>
  </si>
  <si>
    <t>Hazardous solid waste released, kg/h</t>
  </si>
  <si>
    <t>Liquid waste data</t>
  </si>
  <si>
    <t>Output streams</t>
  </si>
  <si>
    <t>Stream</t>
  </si>
  <si>
    <t>Liquid waste: yes=1, no=0</t>
  </si>
  <si>
    <r>
      <t>volumetric flow, m</t>
    </r>
    <r>
      <rPr>
        <b/>
        <vertAlign val="superscript"/>
        <sz val="12"/>
        <rFont val="Arial"/>
        <family val="2"/>
      </rPr>
      <t>3</t>
    </r>
    <r>
      <rPr>
        <b/>
        <sz val="12"/>
        <rFont val="Arial"/>
        <family val="2"/>
      </rPr>
      <t>/h</t>
    </r>
  </si>
  <si>
    <t>Total liquid waste vol flow, m^3/h</t>
  </si>
  <si>
    <t>Total output waste, m^3/h</t>
  </si>
  <si>
    <t>Nonpolluted liquid waste flow, m^3/h</t>
  </si>
  <si>
    <t>Total output waste, kg/h</t>
  </si>
  <si>
    <t>Polluted and hazardous liquid waste flow, m^3/h</t>
  </si>
  <si>
    <t>Total hazardous output waste, kg/h</t>
  </si>
  <si>
    <t>Total liquid waste, kg/h</t>
  </si>
  <si>
    <t>Total output vapor waste, m^3/h</t>
  </si>
  <si>
    <t>Liquid-Solid homogeneous phase waste (no vapor): yes=1, no=0</t>
  </si>
  <si>
    <r>
      <t>volumetric flow, m</t>
    </r>
    <r>
      <rPr>
        <vertAlign val="superscript"/>
        <sz val="12"/>
        <rFont val="Arial"/>
        <family val="2"/>
      </rPr>
      <t>3</t>
    </r>
    <r>
      <rPr>
        <sz val="12"/>
        <rFont val="Arial"/>
        <family val="2"/>
      </rPr>
      <t>/h</t>
    </r>
  </si>
  <si>
    <r>
      <t>Total waste (vapor) volumetric flow, m</t>
    </r>
    <r>
      <rPr>
        <vertAlign val="superscript"/>
        <sz val="12"/>
        <rFont val="Calibri"/>
        <family val="2"/>
        <scheme val="minor"/>
      </rPr>
      <t>3</t>
    </r>
    <r>
      <rPr>
        <sz val="12"/>
        <rFont val="Calibri"/>
        <family val="2"/>
        <scheme val="minor"/>
      </rPr>
      <t>/h</t>
    </r>
  </si>
  <si>
    <r>
      <t>Total waste (non-vapor) volumetric flow, m</t>
    </r>
    <r>
      <rPr>
        <vertAlign val="superscript"/>
        <sz val="12"/>
        <rFont val="Calibri"/>
        <family val="2"/>
        <scheme val="minor"/>
      </rPr>
      <t>3</t>
    </r>
    <r>
      <rPr>
        <sz val="12"/>
        <rFont val="Calibri"/>
        <family val="2"/>
        <scheme val="minor"/>
      </rPr>
      <t>/h</t>
    </r>
  </si>
  <si>
    <r>
      <rPr>
        <b/>
        <sz val="12"/>
        <color theme="1"/>
        <rFont val="Symbol"/>
        <family val="1"/>
        <charset val="2"/>
      </rPr>
      <t>r°</t>
    </r>
    <r>
      <rPr>
        <b/>
        <sz val="12"/>
        <color theme="1"/>
        <rFont val="Arial"/>
        <family val="2"/>
      </rPr>
      <t>, kg/m^3</t>
    </r>
  </si>
  <si>
    <t>GREENSCOPE.xlsm Template V1.2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</si>
</sst>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0.000"/>
    <numFmt numFmtId="165" formatCode="0.0000"/>
    <numFmt numFmtId="166" formatCode="0.00000"/>
    <numFmt numFmtId="167" formatCode="&quot;$&quot;#,##0.00"/>
  </numFmts>
  <fonts count="94" x14ac:knownFonts="1">
    <font>
      <sz val="10"/>
      <name val="Arial"/>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2"/>
      <name val="Arial"/>
      <family val="2"/>
    </font>
    <font>
      <sz val="12"/>
      <name val="Times New Roman"/>
      <family val="1"/>
    </font>
    <font>
      <b/>
      <sz val="20"/>
      <name val="Arial"/>
      <family val="2"/>
    </font>
    <font>
      <i/>
      <sz val="12"/>
      <name val="Times New Roman"/>
      <family val="1"/>
    </font>
    <font>
      <sz val="10"/>
      <name val="Times New Roman"/>
      <family val="1"/>
    </font>
    <font>
      <sz val="12"/>
      <name val="Symbol"/>
      <family val="1"/>
      <charset val="2"/>
    </font>
    <font>
      <sz val="10"/>
      <name val="Arial"/>
      <family val="2"/>
    </font>
    <font>
      <b/>
      <sz val="8"/>
      <color indexed="81"/>
      <name val="Tahoma"/>
      <family val="2"/>
    </font>
    <font>
      <sz val="8"/>
      <color indexed="81"/>
      <name val="Tahoma"/>
      <family val="2"/>
    </font>
    <font>
      <b/>
      <sz val="10"/>
      <name val="Arial"/>
      <family val="2"/>
    </font>
    <font>
      <vertAlign val="superscript"/>
      <sz val="12"/>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sz val="10"/>
      <color indexed="81"/>
      <name val="Tahoma"/>
      <family val="2"/>
    </font>
    <font>
      <sz val="11"/>
      <color indexed="81"/>
      <name val="Symbol"/>
      <family val="1"/>
      <charset val="2"/>
    </font>
    <font>
      <u/>
      <sz val="8"/>
      <color theme="10"/>
      <name val="Arial"/>
      <family val="2"/>
    </font>
    <font>
      <vertAlign val="subscript"/>
      <sz val="12"/>
      <name val="Times New Roman"/>
      <family val="1"/>
    </font>
    <font>
      <sz val="14"/>
      <name val="Times New Roman"/>
      <family val="1"/>
    </font>
    <font>
      <b/>
      <sz val="10"/>
      <color theme="1"/>
      <name val="Arial"/>
      <family val="2"/>
    </font>
    <font>
      <sz val="12"/>
      <color theme="1"/>
      <name val="Symbol"/>
      <family val="1"/>
      <charset val="2"/>
    </font>
    <font>
      <b/>
      <sz val="14"/>
      <color theme="1"/>
      <name val="Arial"/>
      <family val="2"/>
    </font>
    <font>
      <sz val="11"/>
      <name val="Calibri"/>
      <family val="2"/>
      <scheme val="minor"/>
    </font>
    <font>
      <i/>
      <sz val="12"/>
      <name val="Arial"/>
      <family val="2"/>
    </font>
    <font>
      <sz val="11"/>
      <name val="Arial"/>
      <family val="2"/>
    </font>
    <font>
      <b/>
      <sz val="9"/>
      <color indexed="81"/>
      <name val="Tahoma"/>
      <family val="2"/>
    </font>
    <font>
      <sz val="10"/>
      <name val="Calibri"/>
      <family val="2"/>
      <scheme val="minor"/>
    </font>
    <font>
      <sz val="11"/>
      <color theme="1"/>
      <name val="Arial"/>
      <family val="2"/>
    </font>
    <font>
      <sz val="10"/>
      <color rgb="FF454545"/>
      <name val="Calibri"/>
      <family val="2"/>
      <scheme val="minor"/>
    </font>
    <font>
      <sz val="14"/>
      <color theme="1"/>
      <name val="Arial"/>
      <family val="2"/>
    </font>
    <font>
      <b/>
      <sz val="16"/>
      <color theme="1"/>
      <name val="Arial"/>
      <family val="2"/>
    </font>
    <font>
      <sz val="16"/>
      <name val="Arial"/>
      <family val="2"/>
    </font>
    <font>
      <i/>
      <vertAlign val="subscript"/>
      <sz val="12"/>
      <name val="Times New Roman"/>
      <family val="1"/>
    </font>
    <font>
      <sz val="12"/>
      <color theme="1"/>
      <name val="Times New Roman"/>
      <family val="1"/>
    </font>
    <font>
      <i/>
      <sz val="12"/>
      <color theme="1"/>
      <name val="Times New Roman"/>
      <family val="1"/>
    </font>
    <font>
      <sz val="14"/>
      <color theme="1"/>
      <name val="Times New Roman"/>
      <family val="1"/>
    </font>
    <font>
      <vertAlign val="superscript"/>
      <sz val="12"/>
      <color theme="1"/>
      <name val="Arial"/>
      <family val="2"/>
    </font>
    <font>
      <i/>
      <vertAlign val="subscript"/>
      <sz val="12"/>
      <color theme="1"/>
      <name val="Times New Roman"/>
      <family val="1"/>
    </font>
    <font>
      <vertAlign val="superscript"/>
      <sz val="12"/>
      <name val="Arial"/>
      <family val="2"/>
    </font>
    <font>
      <vertAlign val="subscript"/>
      <sz val="12"/>
      <name val="Arial"/>
      <family val="2"/>
    </font>
    <font>
      <b/>
      <sz val="12"/>
      <color indexed="81"/>
      <name val="Tahoma"/>
      <family val="2"/>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b/>
      <sz val="36"/>
      <name val="Arial"/>
      <family val="2"/>
    </font>
    <font>
      <sz val="12"/>
      <color indexed="81"/>
      <name val="Symbol"/>
      <family val="1"/>
      <charset val="2"/>
    </font>
    <font>
      <sz val="20"/>
      <color theme="1"/>
      <name val="Arial"/>
      <family val="2"/>
    </font>
    <font>
      <sz val="20"/>
      <name val="Arial"/>
      <family val="2"/>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color theme="1"/>
      <name val="Arial"/>
      <family val="2"/>
    </font>
    <font>
      <b/>
      <sz val="26"/>
      <color theme="1"/>
      <name val="Arial"/>
      <family val="2"/>
    </font>
    <font>
      <b/>
      <sz val="18.7"/>
      <color theme="1"/>
      <name val="Arial"/>
      <family val="2"/>
    </font>
    <font>
      <b/>
      <sz val="28"/>
      <color theme="1"/>
      <name val="Arial"/>
      <family val="2"/>
    </font>
    <font>
      <sz val="10"/>
      <name val="Arial"/>
    </font>
    <font>
      <b/>
      <sz val="12"/>
      <name val="Arial"/>
      <family val="2"/>
    </font>
    <font>
      <sz val="12"/>
      <name val="Calibri"/>
      <family val="2"/>
      <scheme val="minor"/>
    </font>
    <font>
      <sz val="12"/>
      <color theme="1"/>
      <name val="Calibri"/>
      <family val="2"/>
      <scheme val="minor"/>
    </font>
    <font>
      <b/>
      <vertAlign val="superscript"/>
      <sz val="12"/>
      <name val="Arial"/>
      <family val="2"/>
    </font>
    <font>
      <vertAlign val="superscript"/>
      <sz val="12"/>
      <name val="Calibri"/>
      <family val="2"/>
      <scheme val="minor"/>
    </font>
    <font>
      <b/>
      <sz val="12"/>
      <name val="Calibri"/>
      <family val="2"/>
      <scheme val="minor"/>
    </font>
    <font>
      <b/>
      <sz val="12"/>
      <color theme="1"/>
      <name val="Arial"/>
      <family val="2"/>
    </font>
    <font>
      <b/>
      <sz val="12"/>
      <color theme="1"/>
      <name val="Symbol"/>
      <family val="1"/>
      <charset val="2"/>
    </font>
    <font>
      <b/>
      <sz val="11"/>
      <color indexed="81"/>
      <name val="Tahoma"/>
      <family val="2"/>
    </font>
  </fonts>
  <fills count="7">
    <fill>
      <patternFill patternType="none"/>
    </fill>
    <fill>
      <patternFill patternType="gray125"/>
    </fill>
    <fill>
      <patternFill patternType="solid">
        <fgColor rgb="FFFFFF00"/>
        <bgColor indexed="64"/>
      </patternFill>
    </fill>
    <fill>
      <patternFill patternType="solid">
        <fgColor theme="0"/>
        <bgColor indexed="64"/>
      </patternFill>
    </fill>
    <fill>
      <gradientFill degree="90">
        <stop position="0">
          <color rgb="FFFFFF00"/>
        </stop>
        <stop position="1">
          <color theme="0"/>
        </stop>
      </gradientFill>
    </fill>
    <fill>
      <patternFill patternType="solid">
        <fgColor theme="4" tint="0.39997558519241921"/>
        <bgColor indexed="64"/>
      </patternFill>
    </fill>
    <fill>
      <patternFill patternType="solid">
        <fgColor theme="0" tint="-0.14999847407452621"/>
        <bgColor indexed="64"/>
      </patternFill>
    </fill>
  </fills>
  <borders count="83">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right/>
      <top style="medium">
        <color indexed="64"/>
      </top>
      <bottom style="mediumDash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10" fillId="0" borderId="0"/>
    <xf numFmtId="0" fontId="29" fillId="0" borderId="0" applyNumberFormat="0" applyFill="0" applyBorder="0" applyAlignment="0" applyProtection="0">
      <alignment vertical="top"/>
      <protection locked="0"/>
    </xf>
    <xf numFmtId="0" fontId="18" fillId="0" borderId="0"/>
    <xf numFmtId="0" fontId="63" fillId="0" borderId="0"/>
    <xf numFmtId="44" fontId="84" fillId="0" borderId="0" applyFont="0" applyFill="0" applyBorder="0" applyAlignment="0" applyProtection="0"/>
    <xf numFmtId="0" fontId="2" fillId="0" borderId="0"/>
  </cellStyleXfs>
  <cellXfs count="1027">
    <xf numFmtId="0" fontId="0" fillId="0" borderId="0" xfId="0"/>
    <xf numFmtId="0" fontId="23" fillId="0" borderId="5" xfId="1" applyFont="1" applyBorder="1" applyProtection="1"/>
    <xf numFmtId="0" fontId="23" fillId="0" borderId="11" xfId="1" applyFont="1" applyBorder="1" applyAlignment="1" applyProtection="1">
      <alignment horizontal="center" vertical="center"/>
    </xf>
    <xf numFmtId="0" fontId="69" fillId="0" borderId="0" xfId="1" applyFont="1" applyProtection="1"/>
    <xf numFmtId="0" fontId="69" fillId="0" borderId="0" xfId="1" applyFont="1" applyAlignment="1" applyProtection="1">
      <alignment horizontal="center" vertical="center"/>
    </xf>
    <xf numFmtId="0" fontId="23" fillId="0" borderId="0" xfId="1" applyFont="1" applyProtection="1"/>
    <xf numFmtId="0" fontId="23" fillId="0" borderId="0" xfId="1" applyFont="1" applyFill="1" applyAlignment="1" applyProtection="1">
      <alignment horizontal="center" vertical="center"/>
    </xf>
    <xf numFmtId="0" fontId="23" fillId="0" borderId="0" xfId="1" applyFont="1" applyAlignment="1" applyProtection="1">
      <alignment horizontal="center" vertical="center"/>
    </xf>
    <xf numFmtId="0" fontId="34" fillId="0" borderId="0" xfId="1" applyFont="1" applyAlignment="1" applyProtection="1">
      <alignment horizontal="center" vertical="center"/>
    </xf>
    <xf numFmtId="0" fontId="56" fillId="0" borderId="0" xfId="1" applyFont="1" applyFill="1" applyProtection="1"/>
    <xf numFmtId="0" fontId="23" fillId="2" borderId="5" xfId="1" applyFont="1" applyFill="1" applyBorder="1" applyAlignment="1" applyProtection="1">
      <alignment vertical="center"/>
    </xf>
    <xf numFmtId="0" fontId="12" fillId="2" borderId="45" xfId="0" applyFont="1" applyFill="1" applyBorder="1" applyProtection="1"/>
    <xf numFmtId="0" fontId="23" fillId="4" borderId="45" xfId="1" applyFont="1" applyFill="1" applyBorder="1" applyAlignment="1" applyProtection="1">
      <alignment vertical="center" wrapText="1"/>
    </xf>
    <xf numFmtId="0" fontId="23" fillId="4" borderId="35" xfId="1" applyFont="1" applyFill="1" applyBorder="1" applyAlignment="1" applyProtection="1">
      <alignment vertical="center" wrapText="1"/>
    </xf>
    <xf numFmtId="0" fontId="12" fillId="0" borderId="46" xfId="0" applyFont="1" applyFill="1" applyBorder="1" applyProtection="1"/>
    <xf numFmtId="0" fontId="23" fillId="2" borderId="5" xfId="1" applyFont="1" applyFill="1" applyBorder="1" applyAlignment="1" applyProtection="1">
      <alignment horizontal="left" vertical="center"/>
    </xf>
    <xf numFmtId="0" fontId="43" fillId="0" borderId="0" xfId="1" applyFont="1" applyProtection="1"/>
    <xf numFmtId="0" fontId="23" fillId="0" borderId="7" xfId="1" applyFont="1" applyBorder="1" applyProtection="1"/>
    <xf numFmtId="0" fontId="23" fillId="0" borderId="1" xfId="1" applyFont="1" applyBorder="1" applyProtection="1"/>
    <xf numFmtId="0" fontId="23" fillId="0" borderId="7" xfId="1" applyFont="1" applyFill="1" applyBorder="1" applyProtection="1"/>
    <xf numFmtId="0" fontId="23" fillId="0" borderId="2" xfId="1" applyFont="1" applyBorder="1" applyProtection="1"/>
    <xf numFmtId="0" fontId="23" fillId="0" borderId="10" xfId="1" applyFont="1" applyBorder="1" applyProtection="1"/>
    <xf numFmtId="0" fontId="13" fillId="0" borderId="1" xfId="0" applyFont="1" applyBorder="1" applyAlignment="1" applyProtection="1">
      <alignment vertical="center"/>
    </xf>
    <xf numFmtId="0" fontId="13" fillId="0" borderId="5" xfId="0" applyFont="1" applyFill="1" applyBorder="1" applyAlignment="1" applyProtection="1">
      <alignment vertical="center"/>
    </xf>
    <xf numFmtId="0" fontId="13" fillId="0" borderId="7" xfId="0" applyFont="1" applyFill="1" applyBorder="1" applyAlignment="1" applyProtection="1">
      <alignment vertical="center"/>
    </xf>
    <xf numFmtId="0" fontId="23" fillId="0" borderId="0" xfId="1" applyFont="1" applyBorder="1" applyProtection="1"/>
    <xf numFmtId="0" fontId="23" fillId="2" borderId="3" xfId="1" applyFont="1" applyFill="1" applyBorder="1" applyAlignment="1" applyProtection="1">
      <alignment vertical="center" wrapText="1"/>
    </xf>
    <xf numFmtId="0" fontId="23" fillId="2" borderId="3" xfId="1" applyFont="1" applyFill="1" applyBorder="1" applyAlignment="1" applyProtection="1">
      <alignment horizontal="center" vertical="center"/>
    </xf>
    <xf numFmtId="0" fontId="23" fillId="2" borderId="28" xfId="1" applyFont="1" applyFill="1" applyBorder="1" applyAlignment="1" applyProtection="1">
      <alignment horizontal="center" vertical="center"/>
    </xf>
    <xf numFmtId="0" fontId="23" fillId="2" borderId="1" xfId="1" applyFont="1" applyFill="1" applyBorder="1" applyAlignment="1" applyProtection="1">
      <alignment horizontal="left" vertical="center"/>
    </xf>
    <xf numFmtId="0" fontId="23" fillId="2" borderId="5" xfId="1" applyFont="1" applyFill="1" applyBorder="1" applyAlignment="1" applyProtection="1">
      <alignment horizontal="center" vertical="center"/>
    </xf>
    <xf numFmtId="0" fontId="23" fillId="2" borderId="16" xfId="1" applyFont="1" applyFill="1" applyBorder="1" applyAlignment="1" applyProtection="1">
      <alignment horizontal="center" vertical="center"/>
    </xf>
    <xf numFmtId="0" fontId="23" fillId="0" borderId="21" xfId="1" applyFont="1" applyBorder="1" applyAlignment="1" applyProtection="1">
      <alignment horizontal="center" vertical="center"/>
    </xf>
    <xf numFmtId="0" fontId="23" fillId="2" borderId="22" xfId="1" applyFont="1" applyFill="1" applyBorder="1" applyAlignment="1" applyProtection="1">
      <alignment horizontal="left" vertical="center"/>
    </xf>
    <xf numFmtId="0" fontId="23" fillId="2" borderId="16" xfId="1" applyFont="1" applyFill="1" applyBorder="1" applyAlignment="1" applyProtection="1">
      <alignment horizontal="left" vertical="center"/>
    </xf>
    <xf numFmtId="0" fontId="23" fillId="2" borderId="1" xfId="1" applyFont="1" applyFill="1" applyBorder="1" applyProtection="1"/>
    <xf numFmtId="0" fontId="23" fillId="2" borderId="45" xfId="1" applyFont="1" applyFill="1" applyBorder="1" applyProtection="1"/>
    <xf numFmtId="0" fontId="23" fillId="0" borderId="5" xfId="1" applyFont="1" applyBorder="1" applyAlignment="1" applyProtection="1">
      <alignment vertical="center" wrapText="1"/>
    </xf>
    <xf numFmtId="0" fontId="23" fillId="2" borderId="3" xfId="1" applyFont="1" applyFill="1" applyBorder="1" applyAlignment="1" applyProtection="1">
      <alignment horizontal="left" vertical="center" wrapText="1"/>
    </xf>
    <xf numFmtId="0" fontId="23" fillId="2" borderId="11" xfId="1" applyFont="1" applyFill="1" applyBorder="1" applyAlignment="1" applyProtection="1">
      <alignment horizontal="left" vertical="center" wrapText="1"/>
    </xf>
    <xf numFmtId="0" fontId="23" fillId="2" borderId="1" xfId="1" applyFont="1" applyFill="1" applyBorder="1" applyAlignment="1" applyProtection="1">
      <alignment horizontal="center" vertical="center"/>
    </xf>
    <xf numFmtId="0" fontId="23" fillId="2" borderId="5" xfId="1" applyFont="1" applyFill="1" applyBorder="1" applyAlignment="1" applyProtection="1">
      <alignment horizontal="left" vertical="center" wrapText="1"/>
    </xf>
    <xf numFmtId="0" fontId="23" fillId="2" borderId="5" xfId="1" applyFont="1" applyFill="1" applyBorder="1" applyAlignment="1" applyProtection="1">
      <alignment horizontal="center" vertical="center" wrapText="1"/>
    </xf>
    <xf numFmtId="0" fontId="48" fillId="0" borderId="3" xfId="1" applyFont="1" applyBorder="1" applyAlignment="1" applyProtection="1">
      <alignment horizontal="left" vertical="center"/>
    </xf>
    <xf numFmtId="0" fontId="23" fillId="4" borderId="2" xfId="1" applyFont="1" applyFill="1" applyBorder="1" applyAlignment="1" applyProtection="1">
      <alignment vertical="center" wrapText="1"/>
    </xf>
    <xf numFmtId="0" fontId="23" fillId="2" borderId="2" xfId="1" applyFont="1" applyFill="1" applyBorder="1" applyAlignment="1" applyProtection="1">
      <alignment horizontal="left" vertical="center" wrapText="1"/>
    </xf>
    <xf numFmtId="0" fontId="23" fillId="2" borderId="10" xfId="1" applyFont="1" applyFill="1" applyBorder="1" applyAlignment="1" applyProtection="1">
      <alignment horizontal="left" vertical="center" wrapText="1"/>
    </xf>
    <xf numFmtId="0" fontId="23" fillId="2" borderId="7" xfId="1" applyFont="1" applyFill="1" applyBorder="1" applyAlignment="1" applyProtection="1">
      <alignment wrapText="1"/>
    </xf>
    <xf numFmtId="0" fontId="74" fillId="0" borderId="0" xfId="1" applyFont="1" applyBorder="1" applyAlignment="1" applyProtection="1"/>
    <xf numFmtId="0" fontId="0" fillId="0" borderId="0" xfId="0" applyProtection="1"/>
    <xf numFmtId="0" fontId="39" fillId="0" borderId="0" xfId="0" applyFont="1" applyProtection="1">
      <protection locked="0"/>
    </xf>
    <xf numFmtId="0" fontId="41" fillId="0" borderId="0" xfId="0" applyFont="1" applyProtection="1">
      <protection locked="0"/>
    </xf>
    <xf numFmtId="0" fontId="39" fillId="0" borderId="0" xfId="0" applyFont="1" applyBorder="1" applyProtection="1">
      <protection locked="0"/>
    </xf>
    <xf numFmtId="0" fontId="12" fillId="0" borderId="0" xfId="0" applyFont="1" applyFill="1" applyBorder="1" applyProtection="1"/>
    <xf numFmtId="0" fontId="35" fillId="0" borderId="0" xfId="0" applyFont="1" applyProtection="1">
      <protection locked="0"/>
    </xf>
    <xf numFmtId="49" fontId="35" fillId="0" borderId="0" xfId="0" applyNumberFormat="1" applyFont="1" applyAlignment="1" applyProtection="1">
      <alignment horizontal="center" vertical="center"/>
      <protection locked="0"/>
    </xf>
    <xf numFmtId="0" fontId="12" fillId="0" borderId="3" xfId="0" applyFont="1" applyBorder="1" applyProtection="1"/>
    <xf numFmtId="0" fontId="23" fillId="0" borderId="3" xfId="1" applyFont="1" applyBorder="1" applyAlignment="1" applyProtection="1">
      <alignment horizontal="center" vertical="center"/>
    </xf>
    <xf numFmtId="0" fontId="23" fillId="0" borderId="10" xfId="1" applyFont="1" applyBorder="1" applyAlignment="1" applyProtection="1">
      <alignment horizontal="center" vertical="center"/>
    </xf>
    <xf numFmtId="0" fontId="23" fillId="0" borderId="3" xfId="1" applyFont="1" applyFill="1" applyBorder="1" applyAlignment="1" applyProtection="1">
      <alignment horizontal="right" vertical="center"/>
    </xf>
    <xf numFmtId="0" fontId="23" fillId="0" borderId="11" xfId="1" applyFont="1" applyFill="1" applyBorder="1" applyAlignment="1" applyProtection="1">
      <alignment horizontal="right" vertical="center"/>
    </xf>
    <xf numFmtId="0" fontId="23" fillId="0" borderId="28" xfId="1" applyFont="1" applyFill="1" applyBorder="1" applyAlignment="1" applyProtection="1">
      <alignment horizontal="right" vertical="center"/>
    </xf>
    <xf numFmtId="0" fontId="23" fillId="0" borderId="11" xfId="1" applyFont="1" applyFill="1" applyBorder="1" applyAlignment="1" applyProtection="1">
      <alignment horizontal="center" vertical="center"/>
    </xf>
    <xf numFmtId="0" fontId="23" fillId="0" borderId="5" xfId="1" applyFont="1" applyFill="1" applyBorder="1" applyAlignment="1" applyProtection="1">
      <alignment horizontal="right"/>
    </xf>
    <xf numFmtId="0" fontId="23" fillId="0" borderId="3" xfId="1" applyFont="1" applyBorder="1" applyAlignment="1" applyProtection="1">
      <alignment horizontal="right"/>
    </xf>
    <xf numFmtId="0" fontId="23" fillId="0" borderId="11" xfId="1" applyFont="1" applyBorder="1" applyAlignment="1" applyProtection="1">
      <alignment horizontal="right"/>
    </xf>
    <xf numFmtId="0" fontId="23" fillId="0" borderId="3" xfId="1" applyFont="1" applyFill="1" applyBorder="1" applyAlignment="1" applyProtection="1">
      <alignment horizontal="right"/>
    </xf>
    <xf numFmtId="0" fontId="23" fillId="0" borderId="11" xfId="1" applyFont="1" applyFill="1" applyBorder="1" applyAlignment="1" applyProtection="1">
      <alignment horizontal="right"/>
    </xf>
    <xf numFmtId="0" fontId="23" fillId="0" borderId="0" xfId="1" applyFont="1" applyFill="1" applyBorder="1" applyAlignment="1" applyProtection="1">
      <alignment wrapText="1"/>
    </xf>
    <xf numFmtId="0" fontId="23" fillId="0" borderId="0" xfId="1" applyFont="1" applyFill="1" applyBorder="1" applyProtection="1"/>
    <xf numFmtId="0" fontId="23" fillId="0" borderId="3" xfId="1" applyNumberFormat="1" applyFont="1" applyBorder="1" applyProtection="1"/>
    <xf numFmtId="0" fontId="23" fillId="0" borderId="8" xfId="1" applyFont="1" applyFill="1" applyBorder="1" applyProtection="1"/>
    <xf numFmtId="0" fontId="23" fillId="0" borderId="12" xfId="1" applyFont="1" applyFill="1" applyBorder="1" applyProtection="1"/>
    <xf numFmtId="0" fontId="23" fillId="0" borderId="41" xfId="1" applyFont="1" applyBorder="1" applyProtection="1"/>
    <xf numFmtId="49" fontId="12" fillId="0" borderId="5" xfId="1" applyNumberFormat="1" applyFont="1" applyFill="1" applyBorder="1" applyProtection="1"/>
    <xf numFmtId="0" fontId="12" fillId="0" borderId="3" xfId="1" applyNumberFormat="1" applyFont="1" applyFill="1" applyBorder="1" applyAlignment="1" applyProtection="1">
      <alignment horizontal="center" vertical="center"/>
    </xf>
    <xf numFmtId="0" fontId="12" fillId="0" borderId="11" xfId="1" applyNumberFormat="1" applyFont="1" applyFill="1" applyBorder="1" applyAlignment="1" applyProtection="1">
      <alignment horizontal="center" vertical="center"/>
    </xf>
    <xf numFmtId="0" fontId="12" fillId="0" borderId="3" xfId="1" applyFont="1" applyFill="1" applyBorder="1" applyAlignment="1" applyProtection="1">
      <alignment horizontal="center" vertical="center"/>
    </xf>
    <xf numFmtId="0" fontId="12" fillId="0" borderId="3" xfId="1" quotePrefix="1" applyFont="1" applyFill="1" applyBorder="1" applyAlignment="1" applyProtection="1">
      <alignment horizontal="center" vertical="center"/>
    </xf>
    <xf numFmtId="0" fontId="12" fillId="0" borderId="28" xfId="1" quotePrefix="1" applyFont="1" applyFill="1" applyBorder="1" applyAlignment="1" applyProtection="1">
      <alignment horizontal="center" vertical="center"/>
    </xf>
    <xf numFmtId="0" fontId="12" fillId="0" borderId="3" xfId="0" applyFont="1" applyFill="1" applyBorder="1" applyAlignment="1" applyProtection="1">
      <alignment horizontal="center" vertical="center" wrapText="1"/>
    </xf>
    <xf numFmtId="0" fontId="12" fillId="0" borderId="16" xfId="1"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NumberFormat="1" applyFont="1" applyFill="1" applyBorder="1" applyAlignment="1" applyProtection="1">
      <alignment horizontal="center" vertical="center"/>
    </xf>
    <xf numFmtId="0" fontId="12" fillId="0" borderId="52" xfId="1" applyFont="1" applyFill="1" applyBorder="1" applyAlignment="1" applyProtection="1">
      <alignment horizontal="center" vertical="center"/>
    </xf>
    <xf numFmtId="0" fontId="23" fillId="0" borderId="44" xfId="1" applyFont="1" applyBorder="1" applyProtection="1"/>
    <xf numFmtId="49" fontId="12" fillId="0" borderId="7" xfId="1" applyNumberFormat="1" applyFont="1" applyFill="1" applyBorder="1" applyProtection="1"/>
    <xf numFmtId="0" fontId="12" fillId="0" borderId="8" xfId="1" applyNumberFormat="1" applyFont="1" applyFill="1" applyBorder="1" applyAlignment="1" applyProtection="1">
      <alignment horizontal="center" vertical="center"/>
    </xf>
    <xf numFmtId="0" fontId="12" fillId="0" borderId="12" xfId="1" applyNumberFormat="1" applyFont="1" applyFill="1" applyBorder="1" applyAlignment="1" applyProtection="1">
      <alignment horizontal="center" vertical="center"/>
    </xf>
    <xf numFmtId="0" fontId="12" fillId="0" borderId="8" xfId="1" applyFont="1" applyFill="1" applyBorder="1" applyAlignment="1" applyProtection="1">
      <alignment horizontal="center" vertical="center"/>
    </xf>
    <xf numFmtId="0" fontId="12" fillId="0" borderId="8" xfId="0" applyFont="1" applyFill="1" applyBorder="1" applyAlignment="1" applyProtection="1">
      <alignment horizontal="center" vertical="center" wrapText="1"/>
    </xf>
    <xf numFmtId="0" fontId="12" fillId="0" borderId="17" xfId="1" applyFont="1" applyFill="1" applyBorder="1" applyAlignment="1" applyProtection="1">
      <alignment horizontal="center" vertical="center"/>
    </xf>
    <xf numFmtId="0" fontId="12" fillId="0" borderId="8" xfId="0" applyNumberFormat="1" applyFont="1" applyFill="1" applyBorder="1" applyAlignment="1" applyProtection="1">
      <alignment horizontal="center" vertical="center"/>
    </xf>
    <xf numFmtId="0" fontId="12" fillId="0" borderId="53" xfId="1" applyFont="1" applyFill="1" applyBorder="1" applyAlignment="1" applyProtection="1">
      <alignment horizontal="center" vertical="center"/>
    </xf>
    <xf numFmtId="0" fontId="23" fillId="0" borderId="12" xfId="1" applyFont="1" applyBorder="1" applyProtection="1"/>
    <xf numFmtId="0" fontId="23" fillId="0" borderId="3" xfId="1" applyFont="1" applyFill="1" applyBorder="1" applyProtection="1"/>
    <xf numFmtId="0" fontId="23" fillId="0" borderId="11" xfId="1" applyFont="1" applyFill="1" applyBorder="1" applyProtection="1"/>
    <xf numFmtId="0" fontId="23" fillId="0" borderId="11" xfId="1" applyFont="1" applyBorder="1" applyAlignment="1" applyProtection="1">
      <alignment horizontal="right" vertical="center"/>
    </xf>
    <xf numFmtId="0" fontId="12" fillId="0" borderId="11" xfId="0" applyFont="1" applyBorder="1" applyAlignment="1" applyProtection="1">
      <alignment horizontal="center" vertical="center"/>
    </xf>
    <xf numFmtId="0" fontId="23" fillId="0" borderId="0" xfId="1" applyFont="1" applyFill="1" applyBorder="1" applyAlignment="1" applyProtection="1">
      <alignment horizontal="center" vertical="center"/>
    </xf>
    <xf numFmtId="0" fontId="23" fillId="0" borderId="0" xfId="1" applyFont="1" applyBorder="1" applyAlignment="1" applyProtection="1">
      <alignment horizontal="center" vertical="center"/>
    </xf>
    <xf numFmtId="0" fontId="23" fillId="0" borderId="45" xfId="1" applyFont="1" applyBorder="1" applyProtection="1"/>
    <xf numFmtId="0" fontId="23" fillId="0" borderId="39" xfId="1" applyNumberFormat="1" applyFont="1" applyBorder="1" applyProtection="1"/>
    <xf numFmtId="0" fontId="23" fillId="0" borderId="39" xfId="1" applyFont="1" applyFill="1" applyBorder="1" applyProtection="1"/>
    <xf numFmtId="0" fontId="23" fillId="0" borderId="40" xfId="1" applyFont="1" applyFill="1" applyBorder="1" applyProtection="1"/>
    <xf numFmtId="0" fontId="12" fillId="0" borderId="8" xfId="1" quotePrefix="1" applyFont="1" applyFill="1" applyBorder="1" applyAlignment="1" applyProtection="1">
      <alignment horizontal="center" vertical="center"/>
    </xf>
    <xf numFmtId="0" fontId="12" fillId="0" borderId="34" xfId="1" quotePrefix="1" applyFont="1" applyFill="1" applyBorder="1" applyAlignment="1" applyProtection="1">
      <alignment horizontal="center" vertical="center"/>
    </xf>
    <xf numFmtId="165" fontId="12" fillId="0" borderId="8" xfId="0" applyNumberFormat="1" applyFont="1" applyFill="1" applyBorder="1" applyAlignment="1" applyProtection="1">
      <alignment horizontal="center" vertical="center"/>
    </xf>
    <xf numFmtId="0" fontId="24" fillId="0" borderId="43" xfId="1" applyFont="1" applyBorder="1" applyAlignment="1" applyProtection="1"/>
    <xf numFmtId="0" fontId="24" fillId="0" borderId="43" xfId="1" applyFont="1" applyBorder="1" applyAlignment="1" applyProtection="1">
      <alignment vertical="center"/>
    </xf>
    <xf numFmtId="0" fontId="23" fillId="2" borderId="41" xfId="1" applyFont="1" applyFill="1" applyBorder="1" applyAlignment="1" applyProtection="1">
      <alignment vertical="center"/>
    </xf>
    <xf numFmtId="0" fontId="23" fillId="2" borderId="41" xfId="1" applyFont="1" applyFill="1" applyBorder="1" applyProtection="1"/>
    <xf numFmtId="0" fontId="23" fillId="2" borderId="41" xfId="1" applyFont="1" applyFill="1" applyBorder="1" applyAlignment="1" applyProtection="1">
      <alignment wrapText="1"/>
    </xf>
    <xf numFmtId="0" fontId="12" fillId="2" borderId="41" xfId="0" applyFont="1" applyFill="1" applyBorder="1" applyProtection="1"/>
    <xf numFmtId="0" fontId="1" fillId="2" borderId="41" xfId="1" applyFont="1" applyFill="1" applyBorder="1" applyAlignment="1" applyProtection="1">
      <alignment wrapText="1"/>
    </xf>
    <xf numFmtId="0" fontId="12" fillId="2" borderId="55" xfId="0" applyFont="1" applyFill="1" applyBorder="1" applyProtection="1"/>
    <xf numFmtId="0" fontId="23" fillId="4" borderId="55" xfId="1" applyFont="1" applyFill="1" applyBorder="1" applyAlignment="1" applyProtection="1">
      <alignment vertical="center" wrapText="1"/>
    </xf>
    <xf numFmtId="0" fontId="23" fillId="4" borderId="57" xfId="1" applyFont="1" applyFill="1" applyBorder="1" applyAlignment="1" applyProtection="1">
      <alignment vertical="center" wrapText="1"/>
    </xf>
    <xf numFmtId="0" fontId="12" fillId="0" borderId="14" xfId="0" applyFont="1" applyFill="1" applyBorder="1" applyProtection="1"/>
    <xf numFmtId="0" fontId="43" fillId="0" borderId="31" xfId="1" applyFont="1" applyBorder="1" applyAlignment="1" applyProtection="1">
      <alignment horizontal="center"/>
    </xf>
    <xf numFmtId="0" fontId="23" fillId="2" borderId="41" xfId="1" applyFont="1" applyFill="1" applyBorder="1" applyAlignment="1" applyProtection="1">
      <alignment horizontal="left" vertical="center"/>
    </xf>
    <xf numFmtId="0" fontId="44" fillId="0" borderId="43" xfId="0" applyFont="1" applyBorder="1" applyAlignment="1" applyProtection="1">
      <alignment vertical="center"/>
    </xf>
    <xf numFmtId="0" fontId="65" fillId="0" borderId="2" xfId="1" applyFont="1" applyFill="1" applyBorder="1" applyProtection="1"/>
    <xf numFmtId="0" fontId="65" fillId="0" borderId="2" xfId="1" applyFont="1" applyBorder="1" applyAlignment="1" applyProtection="1">
      <alignment horizontal="right"/>
    </xf>
    <xf numFmtId="0" fontId="65" fillId="0" borderId="10" xfId="1" applyFont="1" applyBorder="1" applyAlignment="1" applyProtection="1">
      <alignment horizontal="right"/>
    </xf>
    <xf numFmtId="0" fontId="12" fillId="0" borderId="8" xfId="0" applyFont="1" applyBorder="1" applyAlignment="1" applyProtection="1">
      <alignment horizontal="center" vertical="center"/>
    </xf>
    <xf numFmtId="0" fontId="23" fillId="0" borderId="5" xfId="1" applyFont="1" applyBorder="1" applyAlignment="1" applyProtection="1">
      <alignment horizontal="left" vertical="center" wrapText="1"/>
    </xf>
    <xf numFmtId="0" fontId="23" fillId="0" borderId="28" xfId="1" applyFont="1" applyBorder="1" applyAlignment="1" applyProtection="1">
      <alignment horizontal="center" vertical="center"/>
    </xf>
    <xf numFmtId="0" fontId="23" fillId="0" borderId="5" xfId="1" applyFont="1" applyFill="1" applyBorder="1" applyAlignment="1" applyProtection="1">
      <alignment horizontal="left" vertical="center" wrapText="1"/>
    </xf>
    <xf numFmtId="0" fontId="23" fillId="0" borderId="3" xfId="1" applyFont="1" applyBorder="1" applyAlignment="1" applyProtection="1">
      <alignment horizontal="right" vertical="center"/>
    </xf>
    <xf numFmtId="21" fontId="23" fillId="0" borderId="0" xfId="1" applyNumberFormat="1" applyFont="1" applyProtection="1"/>
    <xf numFmtId="0" fontId="23" fillId="0" borderId="0" xfId="1" applyFont="1" applyFill="1" applyProtection="1"/>
    <xf numFmtId="0" fontId="23" fillId="0" borderId="0" xfId="1" applyFont="1" applyFill="1" applyAlignment="1" applyProtection="1"/>
    <xf numFmtId="0" fontId="3" fillId="0" borderId="32" xfId="1" applyFont="1" applyBorder="1" applyAlignment="1" applyProtection="1">
      <alignment horizontal="left" vertical="center" wrapText="1"/>
    </xf>
    <xf numFmtId="49" fontId="23" fillId="0" borderId="32" xfId="1" applyNumberFormat="1" applyFont="1" applyBorder="1" applyProtection="1"/>
    <xf numFmtId="0" fontId="23" fillId="0" borderId="32" xfId="1" applyFont="1" applyBorder="1" applyProtection="1"/>
    <xf numFmtId="0" fontId="12" fillId="0" borderId="32" xfId="0" applyFont="1" applyBorder="1" applyProtection="1"/>
    <xf numFmtId="0" fontId="23" fillId="0" borderId="32" xfId="1" applyFont="1" applyFill="1" applyBorder="1" applyProtection="1"/>
    <xf numFmtId="0" fontId="10" fillId="0" borderId="0" xfId="1" applyBorder="1" applyProtection="1"/>
    <xf numFmtId="0" fontId="6" fillId="0" borderId="0" xfId="1" applyFont="1" applyBorder="1" applyProtection="1"/>
    <xf numFmtId="0" fontId="9" fillId="0" borderId="0" xfId="1" applyFont="1" applyBorder="1" applyProtection="1"/>
    <xf numFmtId="0" fontId="0" fillId="0" borderId="0" xfId="0" applyBorder="1" applyProtection="1"/>
    <xf numFmtId="0" fontId="12" fillId="0" borderId="0" xfId="0" applyFont="1" applyBorder="1" applyAlignment="1" applyProtection="1"/>
    <xf numFmtId="49" fontId="23" fillId="0" borderId="0" xfId="1" applyNumberFormat="1" applyFont="1" applyProtection="1"/>
    <xf numFmtId="0" fontId="23" fillId="4" borderId="10" xfId="1" applyFont="1" applyFill="1" applyBorder="1" applyAlignment="1" applyProtection="1">
      <alignment vertical="center" wrapText="1"/>
    </xf>
    <xf numFmtId="0" fontId="11" fillId="2" borderId="11" xfId="0" applyFont="1" applyFill="1" applyBorder="1" applyAlignment="1" applyProtection="1">
      <alignment vertical="center"/>
    </xf>
    <xf numFmtId="0" fontId="23" fillId="4" borderId="11" xfId="1" applyFont="1" applyFill="1" applyBorder="1" applyAlignment="1" applyProtection="1">
      <alignment vertical="center" wrapText="1"/>
    </xf>
    <xf numFmtId="0" fontId="23" fillId="4" borderId="12" xfId="1" applyFont="1" applyFill="1" applyBorder="1" applyAlignment="1" applyProtection="1">
      <alignment vertical="center" wrapText="1"/>
    </xf>
    <xf numFmtId="0" fontId="13" fillId="0" borderId="5" xfId="0" applyFont="1" applyBorder="1" applyAlignment="1" applyProtection="1">
      <alignment vertical="center"/>
    </xf>
    <xf numFmtId="0" fontId="12" fillId="0" borderId="75" xfId="0" applyFont="1" applyFill="1" applyBorder="1" applyProtection="1"/>
    <xf numFmtId="0" fontId="23" fillId="0" borderId="75" xfId="1" applyFont="1" applyBorder="1" applyProtection="1"/>
    <xf numFmtId="0" fontId="23" fillId="0" borderId="70" xfId="1" applyFont="1" applyBorder="1" applyProtection="1"/>
    <xf numFmtId="0" fontId="12" fillId="0" borderId="70" xfId="0" applyFont="1" applyFill="1" applyBorder="1" applyProtection="1"/>
    <xf numFmtId="0" fontId="23" fillId="3" borderId="0" xfId="1" applyFont="1" applyFill="1" applyBorder="1" applyProtection="1"/>
    <xf numFmtId="0" fontId="23" fillId="3" borderId="75" xfId="1" applyFont="1" applyFill="1" applyBorder="1" applyProtection="1"/>
    <xf numFmtId="0" fontId="23" fillId="3" borderId="70" xfId="1" applyFont="1" applyFill="1" applyBorder="1" applyProtection="1"/>
    <xf numFmtId="0" fontId="23" fillId="3" borderId="70" xfId="1" applyFont="1" applyFill="1" applyBorder="1" applyAlignment="1" applyProtection="1">
      <alignment wrapText="1"/>
    </xf>
    <xf numFmtId="0" fontId="23" fillId="3" borderId="71" xfId="1" applyFont="1" applyFill="1" applyBorder="1" applyAlignment="1" applyProtection="1">
      <alignment wrapText="1"/>
    </xf>
    <xf numFmtId="0" fontId="23" fillId="3" borderId="75" xfId="1" applyFont="1" applyFill="1" applyBorder="1" applyAlignment="1" applyProtection="1"/>
    <xf numFmtId="0" fontId="23" fillId="3" borderId="76" xfId="1" applyFont="1" applyFill="1" applyBorder="1" applyProtection="1"/>
    <xf numFmtId="0" fontId="23" fillId="3" borderId="73" xfId="1" applyFont="1" applyFill="1" applyBorder="1" applyAlignment="1" applyProtection="1">
      <alignment wrapText="1"/>
    </xf>
    <xf numFmtId="0" fontId="23" fillId="3" borderId="73" xfId="1" applyFont="1" applyFill="1" applyBorder="1" applyProtection="1"/>
    <xf numFmtId="0" fontId="23" fillId="3" borderId="71" xfId="1" applyFont="1" applyFill="1" applyBorder="1" applyProtection="1"/>
    <xf numFmtId="0" fontId="43" fillId="3" borderId="31" xfId="1" applyFont="1" applyFill="1" applyBorder="1" applyAlignment="1" applyProtection="1">
      <alignment horizontal="center"/>
    </xf>
    <xf numFmtId="0" fontId="23" fillId="3" borderId="32" xfId="1" applyFont="1" applyFill="1" applyBorder="1" applyAlignment="1" applyProtection="1"/>
    <xf numFmtId="49" fontId="12" fillId="3" borderId="32" xfId="0" applyNumberFormat="1" applyFont="1" applyFill="1" applyBorder="1" applyProtection="1"/>
    <xf numFmtId="0" fontId="12" fillId="3" borderId="32" xfId="0" applyFont="1" applyFill="1" applyBorder="1" applyProtection="1"/>
    <xf numFmtId="0" fontId="23" fillId="3" borderId="32" xfId="1" applyFont="1" applyFill="1" applyBorder="1" applyProtection="1"/>
    <xf numFmtId="0" fontId="10" fillId="3" borderId="73" xfId="1" applyFill="1" applyBorder="1" applyAlignment="1" applyProtection="1"/>
    <xf numFmtId="0" fontId="12" fillId="3" borderId="75" xfId="0" applyFont="1" applyFill="1" applyBorder="1" applyProtection="1"/>
    <xf numFmtId="0" fontId="2" fillId="3" borderId="75" xfId="1" applyFont="1" applyFill="1" applyBorder="1" applyProtection="1"/>
    <xf numFmtId="0" fontId="10" fillId="3" borderId="75" xfId="1" applyFill="1" applyBorder="1" applyProtection="1"/>
    <xf numFmtId="0" fontId="9" fillId="3" borderId="76" xfId="1" applyFont="1" applyFill="1" applyBorder="1" applyAlignment="1" applyProtection="1">
      <alignment horizontal="center"/>
    </xf>
    <xf numFmtId="0" fontId="3" fillId="3" borderId="32" xfId="1" applyFont="1" applyFill="1" applyBorder="1" applyAlignment="1" applyProtection="1">
      <alignment horizontal="left" vertical="center" wrapText="1"/>
    </xf>
    <xf numFmtId="49" fontId="23" fillId="3" borderId="32" xfId="1" applyNumberFormat="1" applyFont="1" applyFill="1" applyBorder="1" applyProtection="1"/>
    <xf numFmtId="0" fontId="0" fillId="3" borderId="70" xfId="0" applyFill="1" applyBorder="1" applyProtection="1"/>
    <xf numFmtId="0" fontId="10" fillId="3" borderId="70" xfId="1" applyFill="1" applyBorder="1" applyProtection="1"/>
    <xf numFmtId="0" fontId="10" fillId="3" borderId="71" xfId="1" applyFill="1" applyBorder="1" applyProtection="1"/>
    <xf numFmtId="0" fontId="10" fillId="3" borderId="73" xfId="1" applyFill="1" applyBorder="1" applyProtection="1"/>
    <xf numFmtId="0" fontId="0" fillId="3" borderId="75" xfId="0" applyFill="1" applyBorder="1" applyProtection="1"/>
    <xf numFmtId="0" fontId="12" fillId="3" borderId="70" xfId="0" applyFont="1" applyFill="1" applyBorder="1" applyProtection="1"/>
    <xf numFmtId="0" fontId="23" fillId="3" borderId="32" xfId="1" applyFont="1" applyFill="1" applyBorder="1" applyAlignment="1" applyProtection="1">
      <alignment wrapText="1"/>
    </xf>
    <xf numFmtId="0" fontId="80" fillId="0" borderId="0" xfId="1" applyFont="1" applyFill="1" applyProtection="1"/>
    <xf numFmtId="0" fontId="12" fillId="3" borderId="32" xfId="0" applyFont="1" applyFill="1" applyBorder="1" applyAlignment="1" applyProtection="1">
      <alignment horizontal="left" vertical="center" wrapText="1"/>
    </xf>
    <xf numFmtId="0" fontId="12" fillId="3" borderId="32" xfId="0" applyFont="1" applyFill="1" applyBorder="1" applyAlignment="1" applyProtection="1">
      <alignment horizontal="center"/>
    </xf>
    <xf numFmtId="0" fontId="12" fillId="3" borderId="70" xfId="0" applyFont="1" applyFill="1" applyBorder="1" applyAlignment="1" applyProtection="1"/>
    <xf numFmtId="0" fontId="23" fillId="3" borderId="2" xfId="1" applyFont="1" applyFill="1" applyBorder="1" applyAlignment="1" applyProtection="1">
      <alignment vertical="center" wrapText="1"/>
    </xf>
    <xf numFmtId="0" fontId="23" fillId="3" borderId="10" xfId="1" applyFont="1" applyFill="1" applyBorder="1" applyAlignment="1" applyProtection="1">
      <alignment vertical="center" wrapText="1"/>
    </xf>
    <xf numFmtId="0" fontId="23" fillId="3" borderId="3" xfId="1" applyFont="1" applyFill="1" applyBorder="1" applyAlignment="1" applyProtection="1">
      <alignment wrapText="1"/>
    </xf>
    <xf numFmtId="0" fontId="23" fillId="3" borderId="3" xfId="1" applyFont="1" applyFill="1" applyBorder="1" applyProtection="1"/>
    <xf numFmtId="0" fontId="23" fillId="3" borderId="11" xfId="1" applyFont="1" applyFill="1" applyBorder="1" applyAlignment="1" applyProtection="1">
      <alignment wrapText="1"/>
    </xf>
    <xf numFmtId="0" fontId="23" fillId="3" borderId="11" xfId="1" applyFont="1" applyFill="1" applyBorder="1" applyProtection="1"/>
    <xf numFmtId="11" fontId="23" fillId="3" borderId="3" xfId="1" applyNumberFormat="1" applyFont="1" applyFill="1" applyBorder="1" applyProtection="1"/>
    <xf numFmtId="0" fontId="23" fillId="3" borderId="8" xfId="1" applyFont="1" applyFill="1" applyBorder="1" applyProtection="1"/>
    <xf numFmtId="0" fontId="23" fillId="3" borderId="12" xfId="1" applyFont="1" applyFill="1" applyBorder="1" applyProtection="1"/>
    <xf numFmtId="0" fontId="43" fillId="3" borderId="70" xfId="1" applyFont="1" applyFill="1" applyBorder="1" applyProtection="1"/>
    <xf numFmtId="0" fontId="23" fillId="3" borderId="10" xfId="1" applyFont="1" applyFill="1" applyBorder="1" applyProtection="1"/>
    <xf numFmtId="0" fontId="23" fillId="3" borderId="11" xfId="1" applyNumberFormat="1" applyFont="1" applyFill="1" applyBorder="1" applyProtection="1"/>
    <xf numFmtId="0" fontId="23" fillId="3" borderId="11" xfId="1" applyFont="1" applyFill="1" applyBorder="1" applyAlignment="1" applyProtection="1">
      <alignment horizontal="right"/>
    </xf>
    <xf numFmtId="0" fontId="23" fillId="3" borderId="56" xfId="1" applyFont="1" applyFill="1" applyBorder="1" applyProtection="1"/>
    <xf numFmtId="0" fontId="23" fillId="3" borderId="25" xfId="1" applyFont="1" applyFill="1" applyBorder="1" applyProtection="1"/>
    <xf numFmtId="0" fontId="23" fillId="3" borderId="58" xfId="1" applyFont="1" applyFill="1" applyBorder="1" applyProtection="1"/>
    <xf numFmtId="0" fontId="46" fillId="3" borderId="21" xfId="1" applyFont="1" applyFill="1" applyBorder="1" applyAlignment="1" applyProtection="1">
      <alignment vertical="center"/>
    </xf>
    <xf numFmtId="0" fontId="12" fillId="3" borderId="12" xfId="0" applyFont="1" applyFill="1" applyBorder="1" applyAlignment="1" applyProtection="1">
      <alignment vertical="center"/>
    </xf>
    <xf numFmtId="0" fontId="57" fillId="3" borderId="70" xfId="1" applyFont="1" applyFill="1" applyBorder="1" applyProtection="1"/>
    <xf numFmtId="0" fontId="23" fillId="3" borderId="70" xfId="1" applyFont="1" applyFill="1" applyBorder="1" applyAlignment="1" applyProtection="1"/>
    <xf numFmtId="0" fontId="11" fillId="3" borderId="4" xfId="0" applyFont="1" applyFill="1" applyBorder="1" applyAlignment="1" applyProtection="1">
      <alignment vertical="center"/>
    </xf>
    <xf numFmtId="1" fontId="23" fillId="3" borderId="3" xfId="1" applyNumberFormat="1" applyFont="1" applyFill="1" applyBorder="1" applyProtection="1"/>
    <xf numFmtId="1" fontId="23" fillId="3" borderId="8" xfId="1" applyNumberFormat="1" applyFont="1" applyFill="1" applyBorder="1" applyProtection="1"/>
    <xf numFmtId="0" fontId="12" fillId="3" borderId="3" xfId="0" applyFont="1" applyFill="1" applyBorder="1" applyProtection="1"/>
    <xf numFmtId="0" fontId="23" fillId="3" borderId="2" xfId="1" applyFont="1" applyFill="1" applyBorder="1" applyAlignment="1" applyProtection="1">
      <alignment horizontal="left" vertical="center" wrapText="1"/>
    </xf>
    <xf numFmtId="0" fontId="23" fillId="6" borderId="70" xfId="1" applyFont="1" applyFill="1" applyBorder="1" applyProtection="1"/>
    <xf numFmtId="0" fontId="23" fillId="6" borderId="71" xfId="1" applyFont="1" applyFill="1" applyBorder="1" applyProtection="1"/>
    <xf numFmtId="0" fontId="23" fillId="6" borderId="0" xfId="1" applyFont="1" applyFill="1" applyBorder="1" applyProtection="1"/>
    <xf numFmtId="0" fontId="23" fillId="6" borderId="73" xfId="1" applyFont="1" applyFill="1" applyBorder="1" applyProtection="1"/>
    <xf numFmtId="0" fontId="57" fillId="6" borderId="0" xfId="1" applyFont="1" applyFill="1" applyBorder="1" applyProtection="1"/>
    <xf numFmtId="0" fontId="23" fillId="6" borderId="0" xfId="1" applyFont="1" applyFill="1" applyBorder="1" applyAlignment="1" applyProtection="1">
      <alignment wrapText="1"/>
    </xf>
    <xf numFmtId="0" fontId="23" fillId="6" borderId="10" xfId="1" applyFont="1" applyFill="1" applyBorder="1" applyAlignment="1" applyProtection="1">
      <alignment wrapText="1"/>
    </xf>
    <xf numFmtId="0" fontId="23" fillId="6" borderId="5" xfId="1" applyFont="1" applyFill="1" applyBorder="1" applyAlignment="1" applyProtection="1">
      <alignment vertical="center"/>
    </xf>
    <xf numFmtId="0" fontId="23" fillId="6" borderId="3" xfId="1" applyFont="1" applyFill="1" applyBorder="1" applyAlignment="1" applyProtection="1">
      <alignment vertical="center"/>
    </xf>
    <xf numFmtId="0" fontId="23" fillId="6" borderId="11" xfId="1" applyFont="1" applyFill="1" applyBorder="1" applyAlignment="1" applyProtection="1">
      <alignment vertical="center"/>
    </xf>
    <xf numFmtId="0" fontId="23" fillId="6" borderId="12" xfId="1" applyFont="1" applyFill="1" applyBorder="1" applyAlignment="1" applyProtection="1">
      <alignment vertical="center"/>
    </xf>
    <xf numFmtId="0" fontId="58" fillId="6" borderId="0" xfId="1" applyFont="1" applyFill="1" applyBorder="1" applyProtection="1"/>
    <xf numFmtId="0" fontId="23" fillId="6" borderId="1" xfId="1" applyFont="1" applyFill="1" applyBorder="1" applyProtection="1"/>
    <xf numFmtId="0" fontId="23" fillId="6" borderId="2" xfId="1" applyFont="1" applyFill="1" applyBorder="1" applyAlignment="1" applyProtection="1">
      <alignment horizontal="center" vertical="center" wrapText="1"/>
    </xf>
    <xf numFmtId="0" fontId="12" fillId="6" borderId="2" xfId="0" applyFont="1" applyFill="1" applyBorder="1" applyAlignment="1" applyProtection="1">
      <alignment vertical="center"/>
    </xf>
    <xf numFmtId="0" fontId="12" fillId="6" borderId="10" xfId="0" applyFont="1" applyFill="1" applyBorder="1" applyProtection="1"/>
    <xf numFmtId="0" fontId="12" fillId="6" borderId="10" xfId="0" applyFont="1" applyFill="1" applyBorder="1" applyAlignment="1" applyProtection="1">
      <alignment vertical="center"/>
    </xf>
    <xf numFmtId="0" fontId="23" fillId="6" borderId="5" xfId="1" applyFont="1" applyFill="1" applyBorder="1" applyProtection="1"/>
    <xf numFmtId="0" fontId="12" fillId="6" borderId="3" xfId="1" applyNumberFormat="1" applyFont="1" applyFill="1" applyBorder="1" applyAlignment="1" applyProtection="1">
      <alignment horizontal="center" vertical="center"/>
    </xf>
    <xf numFmtId="0" fontId="23" fillId="6" borderId="3" xfId="1" applyFont="1" applyFill="1" applyBorder="1" applyAlignment="1" applyProtection="1">
      <alignment horizontal="center"/>
    </xf>
    <xf numFmtId="0" fontId="23" fillId="6" borderId="3" xfId="1" applyFont="1" applyFill="1" applyBorder="1" applyProtection="1"/>
    <xf numFmtId="1" fontId="23" fillId="6" borderId="3" xfId="1" applyNumberFormat="1" applyFont="1" applyFill="1" applyBorder="1" applyProtection="1"/>
    <xf numFmtId="0" fontId="23" fillId="6" borderId="11" xfId="1" applyFont="1" applyFill="1" applyBorder="1" applyProtection="1"/>
    <xf numFmtId="0" fontId="23" fillId="6" borderId="7" xfId="1" applyFont="1" applyFill="1" applyBorder="1" applyProtection="1"/>
    <xf numFmtId="0" fontId="23" fillId="6" borderId="8" xfId="1" applyFont="1" applyFill="1" applyBorder="1" applyProtection="1"/>
    <xf numFmtId="1" fontId="23" fillId="6" borderId="8" xfId="1" applyNumberFormat="1" applyFont="1" applyFill="1" applyBorder="1" applyProtection="1"/>
    <xf numFmtId="0" fontId="23" fillId="6" borderId="12" xfId="1" applyFont="1" applyFill="1" applyBorder="1" applyProtection="1"/>
    <xf numFmtId="0" fontId="23" fillId="6" borderId="46" xfId="1" applyFont="1" applyFill="1" applyBorder="1" applyProtection="1"/>
    <xf numFmtId="0" fontId="23" fillId="6" borderId="23" xfId="1" applyFont="1" applyFill="1" applyBorder="1" applyProtection="1"/>
    <xf numFmtId="0" fontId="23" fillId="6" borderId="2" xfId="1" applyFont="1" applyFill="1" applyBorder="1" applyAlignment="1" applyProtection="1">
      <alignment wrapText="1"/>
    </xf>
    <xf numFmtId="0" fontId="48" fillId="6" borderId="10" xfId="1" applyFont="1" applyFill="1" applyBorder="1" applyAlignment="1" applyProtection="1">
      <alignment horizontal="center" vertical="center"/>
    </xf>
    <xf numFmtId="0" fontId="23" fillId="6" borderId="11" xfId="1" applyFont="1" applyFill="1" applyBorder="1" applyAlignment="1" applyProtection="1">
      <alignment horizontal="center"/>
    </xf>
    <xf numFmtId="0" fontId="0" fillId="6" borderId="0" xfId="0" applyFill="1" applyBorder="1" applyProtection="1"/>
    <xf numFmtId="0" fontId="23" fillId="6" borderId="8" xfId="1" applyFont="1" applyFill="1" applyBorder="1" applyAlignment="1" applyProtection="1">
      <alignment horizontal="center"/>
    </xf>
    <xf numFmtId="0" fontId="23" fillId="6" borderId="12" xfId="1" applyFont="1" applyFill="1" applyBorder="1" applyAlignment="1" applyProtection="1">
      <alignment horizontal="center"/>
    </xf>
    <xf numFmtId="0" fontId="23" fillId="6" borderId="47" xfId="1" applyFont="1" applyFill="1" applyBorder="1" applyProtection="1"/>
    <xf numFmtId="1" fontId="23" fillId="6" borderId="48" xfId="1" applyNumberFormat="1" applyFont="1" applyFill="1" applyBorder="1" applyProtection="1"/>
    <xf numFmtId="0" fontId="58" fillId="6" borderId="51" xfId="1" applyFont="1" applyFill="1" applyBorder="1" applyProtection="1"/>
    <xf numFmtId="0" fontId="23" fillId="6" borderId="0" xfId="1" applyFont="1" applyFill="1" applyBorder="1" applyAlignment="1" applyProtection="1">
      <alignment horizontal="center" vertical="center"/>
    </xf>
    <xf numFmtId="0" fontId="13" fillId="6" borderId="39" xfId="0" applyFont="1" applyFill="1" applyBorder="1" applyAlignment="1" applyProtection="1">
      <alignment vertical="center"/>
    </xf>
    <xf numFmtId="0" fontId="13" fillId="6" borderId="8" xfId="0" applyFont="1" applyFill="1" applyBorder="1" applyAlignment="1" applyProtection="1">
      <alignment vertical="center"/>
    </xf>
    <xf numFmtId="0" fontId="13" fillId="6" borderId="0" xfId="0" applyFont="1" applyFill="1" applyBorder="1" applyAlignment="1" applyProtection="1">
      <alignment vertical="center"/>
    </xf>
    <xf numFmtId="49" fontId="12" fillId="6" borderId="3" xfId="1" applyNumberFormat="1" applyFont="1" applyFill="1" applyBorder="1" applyProtection="1"/>
    <xf numFmtId="0" fontId="23" fillId="6" borderId="11" xfId="1" applyFont="1" applyFill="1" applyBorder="1" applyAlignment="1" applyProtection="1">
      <alignment horizontal="center" vertical="center"/>
    </xf>
    <xf numFmtId="49" fontId="12" fillId="6" borderId="8" xfId="1" applyNumberFormat="1" applyFont="1" applyFill="1" applyBorder="1" applyProtection="1"/>
    <xf numFmtId="0" fontId="23" fillId="6" borderId="12" xfId="1" applyFont="1" applyFill="1" applyBorder="1" applyAlignment="1" applyProtection="1">
      <alignment horizontal="center" vertical="center"/>
    </xf>
    <xf numFmtId="0" fontId="12" fillId="3" borderId="3" xfId="0" applyFont="1" applyFill="1" applyBorder="1" applyAlignment="1" applyProtection="1"/>
    <xf numFmtId="0" fontId="12" fillId="3" borderId="2" xfId="0" applyFont="1" applyFill="1" applyBorder="1" applyAlignment="1" applyProtection="1">
      <alignment horizontal="left" vertical="center"/>
    </xf>
    <xf numFmtId="0" fontId="0" fillId="3" borderId="1" xfId="0" applyFill="1" applyBorder="1" applyProtection="1"/>
    <xf numFmtId="0" fontId="12" fillId="3" borderId="2" xfId="0" applyFont="1" applyFill="1" applyBorder="1" applyAlignment="1" applyProtection="1">
      <alignment vertical="center" wrapText="1"/>
    </xf>
    <xf numFmtId="0" fontId="12" fillId="3" borderId="10" xfId="0" applyFont="1" applyFill="1" applyBorder="1" applyAlignment="1" applyProtection="1">
      <alignment vertical="center" wrapText="1"/>
    </xf>
    <xf numFmtId="0" fontId="56" fillId="6" borderId="70" xfId="1" applyFont="1" applyFill="1" applyBorder="1" applyAlignment="1" applyProtection="1"/>
    <xf numFmtId="0" fontId="37" fillId="6" borderId="3" xfId="0" applyFont="1" applyFill="1" applyBorder="1" applyProtection="1"/>
    <xf numFmtId="0" fontId="12" fillId="6" borderId="3" xfId="0" applyFont="1" applyFill="1" applyBorder="1" applyAlignment="1" applyProtection="1"/>
    <xf numFmtId="0" fontId="23" fillId="6" borderId="28" xfId="1" applyFont="1" applyFill="1" applyBorder="1" applyAlignment="1" applyProtection="1">
      <alignment vertical="center" wrapText="1"/>
    </xf>
    <xf numFmtId="0" fontId="23" fillId="6" borderId="29" xfId="1" applyFont="1" applyFill="1" applyBorder="1" applyAlignment="1" applyProtection="1">
      <alignment vertical="center" wrapText="1"/>
    </xf>
    <xf numFmtId="165" fontId="12" fillId="6" borderId="3" xfId="0" applyNumberFormat="1" applyFont="1" applyFill="1" applyBorder="1" applyProtection="1"/>
    <xf numFmtId="0" fontId="0" fillId="6" borderId="3" xfId="0" applyFill="1" applyBorder="1" applyProtection="1"/>
    <xf numFmtId="0" fontId="23" fillId="6" borderId="3" xfId="1" applyFont="1" applyFill="1" applyBorder="1" applyAlignment="1" applyProtection="1">
      <alignment wrapText="1"/>
    </xf>
    <xf numFmtId="11" fontId="0" fillId="6" borderId="3" xfId="0" applyNumberFormat="1" applyFill="1" applyBorder="1" applyProtection="1"/>
    <xf numFmtId="0" fontId="37" fillId="6" borderId="39" xfId="0" applyFont="1" applyFill="1" applyBorder="1" applyAlignment="1" applyProtection="1">
      <alignment horizontal="left" vertical="center" wrapText="1"/>
    </xf>
    <xf numFmtId="0" fontId="37" fillId="6" borderId="39" xfId="0" applyFont="1" applyFill="1" applyBorder="1" applyAlignment="1" applyProtection="1">
      <alignment horizontal="center" vertical="center" wrapText="1"/>
    </xf>
    <xf numFmtId="164" fontId="23" fillId="6" borderId="3" xfId="1" applyNumberFormat="1" applyFont="1" applyFill="1" applyBorder="1" applyProtection="1"/>
    <xf numFmtId="10" fontId="23" fillId="6" borderId="3" xfId="1" applyNumberFormat="1" applyFont="1" applyFill="1" applyBorder="1" applyProtection="1"/>
    <xf numFmtId="165" fontId="0" fillId="6" borderId="3" xfId="0" applyNumberFormat="1" applyFill="1" applyBorder="1" applyAlignment="1" applyProtection="1">
      <alignment horizontal="right" vertical="center"/>
    </xf>
    <xf numFmtId="165" fontId="0" fillId="6" borderId="3" xfId="0" applyNumberFormat="1" applyFill="1" applyBorder="1" applyProtection="1"/>
    <xf numFmtId="166" fontId="0" fillId="6" borderId="3" xfId="0" applyNumberFormat="1" applyFill="1" applyBorder="1" applyProtection="1"/>
    <xf numFmtId="0" fontId="12" fillId="6" borderId="1" xfId="0" applyFont="1" applyFill="1" applyBorder="1" applyAlignment="1" applyProtection="1">
      <alignment vertical="center"/>
    </xf>
    <xf numFmtId="0" fontId="23" fillId="6" borderId="10" xfId="1" applyFont="1" applyFill="1" applyBorder="1" applyProtection="1"/>
    <xf numFmtId="165" fontId="23" fillId="6" borderId="11" xfId="1" applyNumberFormat="1" applyFont="1" applyFill="1" applyBorder="1" applyProtection="1"/>
    <xf numFmtId="0" fontId="23" fillId="6" borderId="5" xfId="1" applyFont="1" applyFill="1" applyBorder="1" applyAlignment="1" applyProtection="1">
      <alignment vertical="center" wrapText="1"/>
    </xf>
    <xf numFmtId="10" fontId="23" fillId="6" borderId="11" xfId="1" applyNumberFormat="1" applyFont="1" applyFill="1" applyBorder="1" applyProtection="1"/>
    <xf numFmtId="0" fontId="23" fillId="6" borderId="11" xfId="1" applyNumberFormat="1" applyFont="1" applyFill="1" applyBorder="1" applyProtection="1"/>
    <xf numFmtId="0" fontId="23" fillId="6" borderId="7" xfId="1" applyFont="1" applyFill="1" applyBorder="1" applyAlignment="1" applyProtection="1">
      <alignment vertical="center" wrapText="1"/>
    </xf>
    <xf numFmtId="11" fontId="12" fillId="6" borderId="12" xfId="0" applyNumberFormat="1" applyFont="1" applyFill="1" applyBorder="1" applyProtection="1"/>
    <xf numFmtId="0" fontId="23" fillId="6" borderId="1" xfId="1" applyFont="1" applyFill="1" applyBorder="1" applyAlignment="1" applyProtection="1">
      <alignment wrapText="1"/>
    </xf>
    <xf numFmtId="10" fontId="23" fillId="6" borderId="10" xfId="1" applyNumberFormat="1" applyFont="1" applyFill="1" applyBorder="1" applyProtection="1"/>
    <xf numFmtId="0" fontId="23" fillId="6" borderId="5" xfId="1" applyFont="1" applyFill="1" applyBorder="1" applyAlignment="1" applyProtection="1">
      <alignment wrapText="1"/>
    </xf>
    <xf numFmtId="0" fontId="12" fillId="6" borderId="7" xfId="0" applyFont="1" applyFill="1" applyBorder="1" applyAlignment="1" applyProtection="1">
      <alignment wrapText="1"/>
    </xf>
    <xf numFmtId="0" fontId="23" fillId="6" borderId="13" xfId="1" applyFont="1" applyFill="1" applyBorder="1" applyAlignment="1" applyProtection="1">
      <alignment wrapText="1"/>
    </xf>
    <xf numFmtId="165" fontId="23" fillId="6" borderId="6" xfId="1" applyNumberFormat="1" applyFont="1" applyFill="1" applyBorder="1" applyProtection="1"/>
    <xf numFmtId="0" fontId="23" fillId="6" borderId="20" xfId="1" applyFont="1" applyFill="1" applyBorder="1" applyAlignment="1" applyProtection="1">
      <alignment wrapText="1"/>
    </xf>
    <xf numFmtId="0" fontId="23" fillId="6" borderId="25" xfId="1" applyFont="1" applyFill="1" applyBorder="1" applyProtection="1"/>
    <xf numFmtId="10" fontId="23" fillId="6" borderId="6" xfId="1" applyNumberFormat="1" applyFont="1" applyFill="1" applyBorder="1" applyProtection="1"/>
    <xf numFmtId="0" fontId="23" fillId="6" borderId="14" xfId="1" applyFont="1" applyFill="1" applyBorder="1" applyAlignment="1" applyProtection="1">
      <alignment wrapText="1"/>
    </xf>
    <xf numFmtId="0" fontId="23" fillId="6" borderId="15" xfId="1" applyFont="1" applyFill="1" applyBorder="1" applyProtection="1"/>
    <xf numFmtId="0" fontId="23" fillId="6" borderId="6" xfId="1" applyFont="1" applyFill="1" applyBorder="1" applyProtection="1"/>
    <xf numFmtId="0" fontId="23" fillId="6" borderId="20" xfId="1" applyFont="1" applyFill="1" applyBorder="1" applyAlignment="1" applyProtection="1">
      <alignment horizontal="left" wrapText="1"/>
    </xf>
    <xf numFmtId="0" fontId="23" fillId="6" borderId="9" xfId="1" applyFont="1" applyFill="1" applyBorder="1" applyAlignment="1" applyProtection="1">
      <alignment wrapText="1"/>
    </xf>
    <xf numFmtId="0" fontId="23" fillId="6" borderId="30" xfId="1" applyFont="1" applyFill="1" applyBorder="1" applyProtection="1"/>
    <xf numFmtId="0" fontId="23" fillId="6" borderId="9" xfId="1" applyFont="1" applyFill="1" applyBorder="1" applyAlignment="1" applyProtection="1">
      <alignment horizontal="left" wrapText="1"/>
    </xf>
    <xf numFmtId="0" fontId="56" fillId="6" borderId="72" xfId="1" applyFont="1" applyFill="1" applyBorder="1" applyAlignment="1" applyProtection="1"/>
    <xf numFmtId="0" fontId="56" fillId="6" borderId="0" xfId="1" applyFont="1" applyFill="1" applyBorder="1" applyAlignment="1" applyProtection="1"/>
    <xf numFmtId="0" fontId="0" fillId="3" borderId="3" xfId="0" applyFill="1" applyBorder="1" applyProtection="1"/>
    <xf numFmtId="0" fontId="11" fillId="6" borderId="0" xfId="0" applyFont="1" applyFill="1" applyBorder="1" applyAlignment="1" applyProtection="1">
      <alignment vertical="center" wrapText="1"/>
    </xf>
    <xf numFmtId="0" fontId="0" fillId="3" borderId="8" xfId="0" applyFill="1" applyBorder="1" applyProtection="1"/>
    <xf numFmtId="0" fontId="48" fillId="0" borderId="3" xfId="1" applyFont="1" applyBorder="1" applyAlignment="1" applyProtection="1">
      <alignment horizontal="left" vertical="center" wrapText="1"/>
    </xf>
    <xf numFmtId="0" fontId="12" fillId="2" borderId="5" xfId="0" applyFont="1" applyFill="1" applyBorder="1" applyProtection="1"/>
    <xf numFmtId="0" fontId="23" fillId="0" borderId="3" xfId="1" applyFont="1" applyBorder="1" applyAlignment="1" applyProtection="1">
      <alignment vertical="center" wrapText="1"/>
    </xf>
    <xf numFmtId="0" fontId="23" fillId="0" borderId="28" xfId="1" applyFont="1" applyBorder="1" applyAlignment="1" applyProtection="1">
      <alignment vertical="center" wrapText="1"/>
    </xf>
    <xf numFmtId="0" fontId="23" fillId="2" borderId="5" xfId="1" applyFont="1" applyFill="1" applyBorder="1" applyProtection="1"/>
    <xf numFmtId="0" fontId="23" fillId="2" borderId="5" xfId="1" applyFont="1" applyFill="1" applyBorder="1" applyAlignment="1" applyProtection="1">
      <alignment wrapText="1"/>
    </xf>
    <xf numFmtId="0" fontId="23" fillId="0" borderId="3" xfId="1" applyFont="1" applyBorder="1" applyProtection="1"/>
    <xf numFmtId="0" fontId="23" fillId="0" borderId="28" xfId="1" applyFont="1" applyBorder="1" applyProtection="1"/>
    <xf numFmtId="0" fontId="23" fillId="6" borderId="2" xfId="1" applyFont="1" applyFill="1" applyBorder="1" applyAlignment="1" applyProtection="1">
      <alignment horizontal="center" vertical="center"/>
    </xf>
    <xf numFmtId="0" fontId="42" fillId="6" borderId="0" xfId="1" applyFont="1" applyFill="1" applyBorder="1" applyAlignment="1" applyProtection="1">
      <alignment vertical="center"/>
    </xf>
    <xf numFmtId="0" fontId="74" fillId="0" borderId="0" xfId="1" applyFont="1" applyBorder="1" applyAlignment="1" applyProtection="1">
      <alignment horizontal="left"/>
    </xf>
    <xf numFmtId="0" fontId="12" fillId="6" borderId="3" xfId="0" applyFont="1" applyFill="1" applyBorder="1" applyAlignment="1" applyProtection="1">
      <alignment horizontal="center"/>
    </xf>
    <xf numFmtId="0" fontId="23" fillId="6" borderId="5" xfId="1" applyFont="1" applyFill="1" applyBorder="1" applyAlignment="1" applyProtection="1">
      <alignment horizontal="left" vertical="center"/>
    </xf>
    <xf numFmtId="0" fontId="23" fillId="6" borderId="3" xfId="1" applyFont="1" applyFill="1" applyBorder="1" applyAlignment="1" applyProtection="1">
      <alignment horizontal="left" vertical="center"/>
    </xf>
    <xf numFmtId="0" fontId="12" fillId="6" borderId="0" xfId="0" applyFont="1" applyFill="1" applyBorder="1" applyAlignment="1" applyProtection="1">
      <alignment vertical="center"/>
    </xf>
    <xf numFmtId="0" fontId="12" fillId="6" borderId="2" xfId="0" applyFont="1" applyFill="1" applyBorder="1" applyProtection="1"/>
    <xf numFmtId="0" fontId="0" fillId="3" borderId="0" xfId="0" applyFill="1" applyBorder="1" applyProtection="1"/>
    <xf numFmtId="0" fontId="0" fillId="3" borderId="73" xfId="0" applyFill="1" applyBorder="1" applyProtection="1"/>
    <xf numFmtId="0" fontId="0" fillId="0" borderId="0" xfId="0" applyFill="1" applyProtection="1"/>
    <xf numFmtId="0" fontId="0" fillId="0" borderId="0" xfId="0" applyFill="1" applyBorder="1" applyProtection="1"/>
    <xf numFmtId="0" fontId="0" fillId="6" borderId="70" xfId="0" applyFill="1" applyBorder="1" applyProtection="1"/>
    <xf numFmtId="0" fontId="0" fillId="6" borderId="72" xfId="0" applyFill="1" applyBorder="1" applyProtection="1"/>
    <xf numFmtId="0" fontId="0" fillId="6" borderId="74" xfId="0" applyFill="1" applyBorder="1" applyProtection="1"/>
    <xf numFmtId="0" fontId="0" fillId="6" borderId="75" xfId="0" applyFill="1" applyBorder="1" applyProtection="1"/>
    <xf numFmtId="0" fontId="12" fillId="6" borderId="5" xfId="0" applyFont="1" applyFill="1" applyBorder="1" applyAlignment="1" applyProtection="1">
      <alignment vertical="center"/>
    </xf>
    <xf numFmtId="0" fontId="23" fillId="6" borderId="7" xfId="1" applyFont="1" applyFill="1" applyBorder="1" applyAlignment="1" applyProtection="1">
      <alignment vertical="center"/>
    </xf>
    <xf numFmtId="0" fontId="23" fillId="6" borderId="8" xfId="1" applyFont="1" applyFill="1" applyBorder="1" applyAlignment="1" applyProtection="1">
      <alignment vertical="center"/>
    </xf>
    <xf numFmtId="0" fontId="12" fillId="6" borderId="3" xfId="0" applyFont="1" applyFill="1" applyBorder="1" applyProtection="1"/>
    <xf numFmtId="0" fontId="12" fillId="6" borderId="3" xfId="0" applyFont="1" applyFill="1" applyBorder="1" applyAlignment="1" applyProtection="1">
      <alignment wrapText="1"/>
    </xf>
    <xf numFmtId="0" fontId="12" fillId="6" borderId="0" xfId="0" applyFont="1" applyFill="1" applyBorder="1" applyProtection="1"/>
    <xf numFmtId="0" fontId="0" fillId="6" borderId="71" xfId="0" applyFill="1" applyBorder="1" applyProtection="1"/>
    <xf numFmtId="0" fontId="0" fillId="6" borderId="73" xfId="0" applyFill="1" applyBorder="1" applyProtection="1"/>
    <xf numFmtId="0" fontId="0" fillId="6" borderId="76" xfId="0" applyFill="1" applyBorder="1" applyProtection="1"/>
    <xf numFmtId="0" fontId="0" fillId="3" borderId="72" xfId="0" applyFill="1" applyBorder="1" applyProtection="1"/>
    <xf numFmtId="0" fontId="0" fillId="3" borderId="74" xfId="0" applyFill="1" applyBorder="1" applyProtection="1"/>
    <xf numFmtId="0" fontId="0" fillId="3" borderId="76" xfId="0" applyFill="1" applyBorder="1" applyProtection="1"/>
    <xf numFmtId="0" fontId="23" fillId="3" borderId="1" xfId="1" applyFont="1" applyFill="1" applyBorder="1" applyProtection="1"/>
    <xf numFmtId="0" fontId="23" fillId="3" borderId="10" xfId="1" applyFont="1" applyFill="1" applyBorder="1" applyAlignment="1" applyProtection="1">
      <alignment horizontal="center" vertical="center"/>
    </xf>
    <xf numFmtId="0" fontId="12" fillId="3" borderId="7" xfId="0" applyFont="1" applyFill="1" applyBorder="1" applyAlignment="1" applyProtection="1">
      <alignment wrapText="1"/>
    </xf>
    <xf numFmtId="0" fontId="54" fillId="3" borderId="0" xfId="1" applyFont="1" applyFill="1" applyBorder="1" applyAlignment="1" applyProtection="1">
      <alignment horizontal="left"/>
    </xf>
    <xf numFmtId="0" fontId="23" fillId="3" borderId="3" xfId="1" applyFont="1" applyFill="1" applyBorder="1" applyAlignment="1" applyProtection="1">
      <alignment vertical="center" wrapText="1"/>
    </xf>
    <xf numFmtId="0" fontId="23" fillId="3" borderId="3" xfId="1" applyFont="1" applyFill="1" applyBorder="1" applyAlignment="1" applyProtection="1">
      <alignment horizontal="center" vertical="center"/>
    </xf>
    <xf numFmtId="0" fontId="23" fillId="3" borderId="0" xfId="1" applyFont="1" applyFill="1" applyBorder="1" applyAlignment="1" applyProtection="1">
      <alignment horizontal="center" vertical="center"/>
    </xf>
    <xf numFmtId="0" fontId="23" fillId="3" borderId="75" xfId="1" applyFont="1" applyFill="1" applyBorder="1" applyAlignment="1" applyProtection="1">
      <alignment horizontal="center" vertical="center"/>
    </xf>
    <xf numFmtId="0" fontId="83" fillId="3" borderId="70" xfId="1" applyFont="1" applyFill="1" applyBorder="1" applyAlignment="1" applyProtection="1">
      <alignment horizontal="left" vertical="center"/>
    </xf>
    <xf numFmtId="49" fontId="54" fillId="5" borderId="77" xfId="1" applyNumberFormat="1" applyFont="1" applyFill="1" applyBorder="1" applyAlignment="1" applyProtection="1">
      <alignment horizontal="right" vertical="center"/>
    </xf>
    <xf numFmtId="0" fontId="12" fillId="3" borderId="8" xfId="0" applyFont="1" applyFill="1" applyBorder="1" applyProtection="1"/>
    <xf numFmtId="0" fontId="75" fillId="0" borderId="0" xfId="1" applyFont="1" applyProtection="1"/>
    <xf numFmtId="0" fontId="0" fillId="0" borderId="73" xfId="0" applyBorder="1" applyProtection="1"/>
    <xf numFmtId="0" fontId="0" fillId="3" borderId="71" xfId="0" applyFill="1" applyBorder="1" applyProtection="1"/>
    <xf numFmtId="0" fontId="0" fillId="0" borderId="0" xfId="0" applyAlignment="1" applyProtection="1">
      <alignment horizontal="left" vertical="center"/>
    </xf>
    <xf numFmtId="0" fontId="0" fillId="3" borderId="7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0" borderId="73" xfId="0" applyBorder="1" applyAlignment="1" applyProtection="1">
      <alignment horizontal="left" vertical="center"/>
    </xf>
    <xf numFmtId="49" fontId="23" fillId="3" borderId="11" xfId="1" applyNumberFormat="1" applyFont="1" applyFill="1" applyBorder="1" applyProtection="1"/>
    <xf numFmtId="0" fontId="12" fillId="3" borderId="8" xfId="0" applyFont="1" applyFill="1" applyBorder="1" applyAlignment="1" applyProtection="1"/>
    <xf numFmtId="0" fontId="0" fillId="0" borderId="78" xfId="0" applyBorder="1" applyProtection="1"/>
    <xf numFmtId="10" fontId="23" fillId="3" borderId="8" xfId="1" applyNumberFormat="1" applyFont="1" applyFill="1" applyBorder="1" applyProtection="1"/>
    <xf numFmtId="10" fontId="23" fillId="3" borderId="12" xfId="1" applyNumberFormat="1" applyFont="1" applyFill="1" applyBorder="1" applyProtection="1"/>
    <xf numFmtId="0" fontId="23" fillId="0" borderId="75" xfId="1" applyFont="1" applyFill="1" applyBorder="1" applyAlignment="1" applyProtection="1">
      <alignment wrapText="1"/>
    </xf>
    <xf numFmtId="10" fontId="23" fillId="3" borderId="75" xfId="1" applyNumberFormat="1" applyFont="1" applyFill="1" applyBorder="1" applyProtection="1"/>
    <xf numFmtId="10" fontId="23" fillId="0" borderId="0" xfId="1" applyNumberFormat="1" applyFont="1" applyBorder="1" applyProtection="1"/>
    <xf numFmtId="10" fontId="23" fillId="6" borderId="0" xfId="1" applyNumberFormat="1" applyFont="1" applyFill="1" applyBorder="1" applyProtection="1"/>
    <xf numFmtId="0" fontId="11" fillId="6" borderId="0" xfId="0" applyFont="1" applyFill="1" applyBorder="1" applyAlignment="1" applyProtection="1">
      <alignment wrapText="1"/>
    </xf>
    <xf numFmtId="11" fontId="0" fillId="6" borderId="0" xfId="0" applyNumberFormat="1" applyFill="1" applyBorder="1" applyProtection="1"/>
    <xf numFmtId="0" fontId="11" fillId="6" borderId="0" xfId="0" applyFont="1" applyFill="1" applyBorder="1" applyAlignment="1" applyProtection="1">
      <alignment horizontal="left" vertical="center" wrapText="1"/>
    </xf>
    <xf numFmtId="0" fontId="0" fillId="6" borderId="0" xfId="0" applyNumberFormat="1" applyFill="1" applyBorder="1" applyAlignment="1" applyProtection="1">
      <alignment horizontal="right" vertical="center"/>
    </xf>
    <xf numFmtId="0" fontId="42" fillId="6" borderId="73" xfId="1" applyFont="1" applyFill="1" applyBorder="1" applyAlignment="1" applyProtection="1">
      <alignment vertical="center"/>
    </xf>
    <xf numFmtId="0" fontId="42" fillId="0" borderId="0" xfId="1" applyFont="1" applyAlignment="1" applyProtection="1">
      <alignment vertical="center"/>
    </xf>
    <xf numFmtId="49" fontId="54" fillId="5" borderId="69" xfId="1" applyNumberFormat="1" applyFont="1" applyFill="1" applyBorder="1" applyAlignment="1" applyProtection="1">
      <alignment horizontal="right" vertical="center"/>
    </xf>
    <xf numFmtId="0" fontId="23" fillId="3" borderId="72" xfId="1" applyFont="1" applyFill="1" applyBorder="1" applyProtection="1"/>
    <xf numFmtId="0" fontId="23" fillId="3" borderId="74" xfId="1" applyFont="1" applyFill="1" applyBorder="1" applyProtection="1"/>
    <xf numFmtId="0" fontId="23" fillId="3" borderId="78" xfId="1" applyFont="1" applyFill="1" applyBorder="1" applyProtection="1"/>
    <xf numFmtId="0" fontId="10" fillId="0" borderId="0" xfId="1" applyBorder="1" applyAlignment="1" applyProtection="1">
      <alignment horizontal="left"/>
    </xf>
    <xf numFmtId="0" fontId="8" fillId="0" borderId="0" xfId="1" applyFont="1" applyBorder="1" applyProtection="1"/>
    <xf numFmtId="0" fontId="7" fillId="0" borderId="0" xfId="1" applyFont="1" applyBorder="1" applyProtection="1"/>
    <xf numFmtId="0" fontId="7" fillId="0" borderId="0" xfId="1" applyFont="1" applyBorder="1" applyAlignment="1" applyProtection="1">
      <alignment horizontal="left"/>
    </xf>
    <xf numFmtId="0" fontId="4" fillId="0" borderId="0" xfId="1" applyFont="1" applyBorder="1" applyProtection="1"/>
    <xf numFmtId="0" fontId="5" fillId="0" borderId="0" xfId="1" applyFont="1" applyBorder="1" applyProtection="1"/>
    <xf numFmtId="0" fontId="7" fillId="0" borderId="0" xfId="1" applyFont="1" applyBorder="1" applyAlignment="1" applyProtection="1">
      <alignment horizontal="left" wrapText="1"/>
    </xf>
    <xf numFmtId="0" fontId="23" fillId="6" borderId="72" xfId="1" applyFont="1" applyFill="1" applyBorder="1" applyProtection="1"/>
    <xf numFmtId="0" fontId="23" fillId="6" borderId="74" xfId="1" applyFont="1" applyFill="1" applyBorder="1" applyProtection="1"/>
    <xf numFmtId="0" fontId="23" fillId="6" borderId="75" xfId="1" applyFont="1" applyFill="1" applyBorder="1" applyProtection="1"/>
    <xf numFmtId="0" fontId="23" fillId="6" borderId="76" xfId="1" applyFont="1" applyFill="1" applyBorder="1" applyProtection="1"/>
    <xf numFmtId="0" fontId="23" fillId="0" borderId="0" xfId="1" applyFont="1" applyAlignment="1" applyProtection="1">
      <alignment horizontal="center"/>
    </xf>
    <xf numFmtId="0" fontId="40" fillId="0" borderId="0" xfId="1" applyFont="1" applyAlignment="1" applyProtection="1">
      <alignment horizontal="center" vertical="center"/>
    </xf>
    <xf numFmtId="0" fontId="23" fillId="0" borderId="0" xfId="1" applyFont="1" applyAlignment="1" applyProtection="1">
      <alignment horizontal="left"/>
    </xf>
    <xf numFmtId="0" fontId="23" fillId="0" borderId="0" xfId="1" applyNumberFormat="1" applyFont="1" applyProtection="1"/>
    <xf numFmtId="0" fontId="34" fillId="3" borderId="70" xfId="1" applyFont="1" applyFill="1" applyBorder="1" applyAlignment="1" applyProtection="1">
      <alignment horizontal="center" vertical="center"/>
    </xf>
    <xf numFmtId="0" fontId="34" fillId="3" borderId="0" xfId="1" applyFont="1" applyFill="1" applyBorder="1" applyAlignment="1" applyProtection="1">
      <alignment horizontal="center" vertical="center"/>
    </xf>
    <xf numFmtId="49" fontId="34" fillId="3" borderId="0" xfId="1" applyNumberFormat="1" applyFont="1" applyFill="1" applyBorder="1" applyAlignment="1" applyProtection="1">
      <alignment horizontal="right" vertical="center"/>
    </xf>
    <xf numFmtId="0" fontId="23" fillId="3" borderId="11" xfId="1" applyFont="1" applyFill="1" applyBorder="1" applyAlignment="1" applyProtection="1">
      <alignment horizontal="center" vertical="center"/>
    </xf>
    <xf numFmtId="0" fontId="12" fillId="3" borderId="12" xfId="0" applyNumberFormat="1" applyFont="1" applyFill="1" applyBorder="1" applyAlignment="1" applyProtection="1">
      <alignment horizontal="center" wrapText="1"/>
    </xf>
    <xf numFmtId="0" fontId="34" fillId="3" borderId="75" xfId="1" applyFont="1" applyFill="1" applyBorder="1" applyAlignment="1" applyProtection="1">
      <alignment horizontal="center" vertical="center"/>
    </xf>
    <xf numFmtId="0" fontId="23" fillId="3" borderId="70" xfId="1" applyFont="1" applyFill="1" applyBorder="1" applyAlignment="1" applyProtection="1">
      <alignment horizontal="center" vertical="center"/>
    </xf>
    <xf numFmtId="0" fontId="23" fillId="3" borderId="70" xfId="1" applyFont="1" applyFill="1" applyBorder="1" applyAlignment="1" applyProtection="1">
      <alignment horizontal="center"/>
    </xf>
    <xf numFmtId="0" fontId="40" fillId="3" borderId="70" xfId="1" applyFont="1" applyFill="1" applyBorder="1" applyAlignment="1" applyProtection="1">
      <alignment horizontal="center" vertical="center"/>
    </xf>
    <xf numFmtId="0" fontId="23" fillId="3" borderId="70" xfId="1" applyFont="1" applyFill="1" applyBorder="1" applyAlignment="1" applyProtection="1">
      <alignment horizontal="left"/>
    </xf>
    <xf numFmtId="0" fontId="23" fillId="3" borderId="70" xfId="1" applyNumberFormat="1" applyFont="1" applyFill="1" applyBorder="1" applyProtection="1"/>
    <xf numFmtId="49" fontId="54" fillId="3" borderId="0" xfId="1" applyNumberFormat="1" applyFont="1" applyFill="1" applyBorder="1" applyAlignment="1" applyProtection="1">
      <alignment horizontal="right" vertical="center"/>
    </xf>
    <xf numFmtId="0" fontId="23" fillId="3" borderId="0" xfId="1" applyFont="1" applyFill="1" applyBorder="1" applyAlignment="1" applyProtection="1">
      <alignment horizontal="center"/>
    </xf>
    <xf numFmtId="0" fontId="40" fillId="3" borderId="0" xfId="1" applyFont="1" applyFill="1" applyBorder="1" applyAlignment="1" applyProtection="1">
      <alignment horizontal="center" vertical="center"/>
    </xf>
    <xf numFmtId="0" fontId="23" fillId="3" borderId="0" xfId="1" applyFont="1" applyFill="1" applyBorder="1" applyAlignment="1" applyProtection="1">
      <alignment horizontal="left"/>
    </xf>
    <xf numFmtId="0" fontId="23" fillId="3" borderId="0" xfId="1" applyNumberFormat="1" applyFont="1" applyFill="1" applyBorder="1" applyProtection="1"/>
    <xf numFmtId="0" fontId="43" fillId="3" borderId="73" xfId="1" applyFont="1" applyFill="1" applyBorder="1" applyAlignment="1" applyProtection="1">
      <alignment vertical="center"/>
    </xf>
    <xf numFmtId="0" fontId="43" fillId="0" borderId="0" xfId="1" applyFont="1" applyFill="1" applyBorder="1" applyAlignment="1" applyProtection="1">
      <alignment vertical="center"/>
    </xf>
    <xf numFmtId="0" fontId="65" fillId="0" borderId="2" xfId="1" applyFont="1" applyBorder="1" applyAlignment="1" applyProtection="1">
      <alignment horizontal="right" vertical="center"/>
    </xf>
    <xf numFmtId="0" fontId="65" fillId="0" borderId="42" xfId="1" applyFont="1" applyBorder="1" applyAlignment="1" applyProtection="1">
      <alignment horizontal="right" vertical="center"/>
    </xf>
    <xf numFmtId="0" fontId="23" fillId="0" borderId="27" xfId="1" applyFont="1" applyBorder="1" applyAlignment="1" applyProtection="1">
      <alignment vertical="center"/>
    </xf>
    <xf numFmtId="0" fontId="23" fillId="0" borderId="28" xfId="1" applyFont="1" applyBorder="1" applyAlignment="1" applyProtection="1">
      <alignment horizontal="right" vertical="center"/>
    </xf>
    <xf numFmtId="0" fontId="23" fillId="0" borderId="50" xfId="1" applyFont="1" applyBorder="1" applyAlignment="1" applyProtection="1">
      <alignment vertical="center"/>
    </xf>
    <xf numFmtId="49" fontId="12" fillId="0" borderId="3" xfId="1" applyNumberFormat="1" applyFont="1" applyFill="1" applyBorder="1" applyProtection="1"/>
    <xf numFmtId="49" fontId="12" fillId="0" borderId="3" xfId="1" applyNumberFormat="1" applyFont="1" applyFill="1" applyBorder="1" applyAlignment="1" applyProtection="1">
      <alignment horizontal="center" vertical="center"/>
    </xf>
    <xf numFmtId="49" fontId="12" fillId="0" borderId="28" xfId="1" applyNumberFormat="1" applyFont="1" applyFill="1" applyBorder="1" applyAlignment="1" applyProtection="1">
      <alignment horizontal="center" vertical="center"/>
    </xf>
    <xf numFmtId="0" fontId="12" fillId="0" borderId="5" xfId="0" applyNumberFormat="1" applyFont="1" applyFill="1" applyBorder="1" applyAlignment="1" applyProtection="1">
      <alignment horizontal="right"/>
    </xf>
    <xf numFmtId="0" fontId="12" fillId="0" borderId="16" xfId="0" applyNumberFormat="1" applyFont="1" applyFill="1" applyBorder="1" applyAlignment="1" applyProtection="1">
      <alignment horizontal="right"/>
    </xf>
    <xf numFmtId="0" fontId="23" fillId="3" borderId="73" xfId="1" applyFont="1" applyFill="1" applyBorder="1" applyAlignment="1" applyProtection="1">
      <alignment vertical="center"/>
    </xf>
    <xf numFmtId="0" fontId="23" fillId="0" borderId="0" xfId="1" applyFont="1" applyAlignment="1" applyProtection="1">
      <alignment vertical="center"/>
    </xf>
    <xf numFmtId="0" fontId="23" fillId="0" borderId="3" xfId="1" applyFont="1" applyFill="1" applyBorder="1" applyAlignment="1" applyProtection="1">
      <alignment horizontal="left"/>
    </xf>
    <xf numFmtId="0" fontId="23" fillId="0" borderId="3" xfId="1" applyFont="1" applyFill="1" applyBorder="1" applyAlignment="1" applyProtection="1">
      <alignment horizontal="center" vertical="center"/>
    </xf>
    <xf numFmtId="0" fontId="23" fillId="3" borderId="75" xfId="1" applyFont="1" applyFill="1" applyBorder="1" applyAlignment="1" applyProtection="1">
      <alignment horizontal="center"/>
    </xf>
    <xf numFmtId="0" fontId="40" fillId="3" borderId="75" xfId="1" applyFont="1" applyFill="1" applyBorder="1" applyAlignment="1" applyProtection="1">
      <alignment horizontal="center" vertical="center"/>
    </xf>
    <xf numFmtId="0" fontId="23" fillId="3" borderId="75" xfId="1" applyFont="1" applyFill="1" applyBorder="1" applyAlignment="1" applyProtection="1">
      <alignment horizontal="left"/>
    </xf>
    <xf numFmtId="0" fontId="23" fillId="3" borderId="75" xfId="1" applyNumberFormat="1" applyFont="1" applyFill="1" applyBorder="1" applyProtection="1"/>
    <xf numFmtId="0" fontId="34" fillId="0" borderId="0" xfId="1" applyFont="1" applyBorder="1" applyAlignment="1" applyProtection="1">
      <alignment horizontal="center" vertical="center"/>
    </xf>
    <xf numFmtId="0" fontId="23" fillId="0" borderId="0" xfId="1" applyFont="1" applyBorder="1" applyAlignment="1" applyProtection="1">
      <alignment horizontal="center"/>
    </xf>
    <xf numFmtId="0" fontId="40" fillId="0" borderId="0" xfId="1" applyFont="1" applyBorder="1" applyAlignment="1" applyProtection="1">
      <alignment horizontal="center" vertical="center"/>
    </xf>
    <xf numFmtId="0" fontId="23" fillId="0" borderId="0" xfId="1" applyFont="1" applyBorder="1" applyAlignment="1" applyProtection="1">
      <alignment horizontal="left"/>
    </xf>
    <xf numFmtId="0" fontId="23" fillId="0" borderId="0" xfId="1" applyNumberFormat="1" applyFont="1" applyBorder="1" applyProtection="1"/>
    <xf numFmtId="0" fontId="34" fillId="0" borderId="0" xfId="1" applyFont="1" applyFill="1" applyBorder="1" applyAlignment="1" applyProtection="1">
      <alignment horizontal="center" vertical="center"/>
    </xf>
    <xf numFmtId="0" fontId="23" fillId="0" borderId="10" xfId="1" applyFont="1" applyFill="1" applyBorder="1" applyProtection="1"/>
    <xf numFmtId="0" fontId="23" fillId="0" borderId="3" xfId="1" applyFont="1" applyBorder="1" applyAlignment="1" applyProtection="1">
      <alignment horizontal="center"/>
    </xf>
    <xf numFmtId="0" fontId="23" fillId="0" borderId="11" xfId="1" applyFont="1" applyBorder="1" applyProtection="1"/>
    <xf numFmtId="0" fontId="23" fillId="0" borderId="2" xfId="1" applyFont="1" applyFill="1" applyBorder="1" applyAlignment="1" applyProtection="1">
      <alignment horizontal="right" vertical="center"/>
    </xf>
    <xf numFmtId="0" fontId="12" fillId="0" borderId="2" xfId="0" applyFont="1" applyBorder="1" applyAlignment="1" applyProtection="1">
      <alignment horizontal="right" vertical="center"/>
    </xf>
    <xf numFmtId="0" fontId="23" fillId="0" borderId="2" xfId="1" applyFont="1" applyBorder="1" applyAlignment="1" applyProtection="1">
      <alignment horizontal="center"/>
    </xf>
    <xf numFmtId="0" fontId="23" fillId="0" borderId="2" xfId="1" applyFont="1" applyBorder="1" applyAlignment="1" applyProtection="1">
      <alignment horizontal="center" vertical="center"/>
    </xf>
    <xf numFmtId="0" fontId="34" fillId="0" borderId="70" xfId="1" applyFont="1" applyBorder="1" applyAlignment="1" applyProtection="1">
      <alignment horizontal="center" vertical="center"/>
    </xf>
    <xf numFmtId="14" fontId="23" fillId="0" borderId="0" xfId="1" applyNumberFormat="1" applyFont="1" applyProtection="1"/>
    <xf numFmtId="21" fontId="23" fillId="0" borderId="0" xfId="1" applyNumberFormat="1" applyFont="1" applyAlignment="1" applyProtection="1">
      <alignment horizontal="center" vertical="center"/>
    </xf>
    <xf numFmtId="0" fontId="54" fillId="3" borderId="0" xfId="1" applyFont="1" applyFill="1" applyBorder="1" applyProtection="1"/>
    <xf numFmtId="0" fontId="23" fillId="0" borderId="0" xfId="1" applyFont="1" applyAlignment="1" applyProtection="1">
      <alignment horizontal="left" vertical="center"/>
    </xf>
    <xf numFmtId="0" fontId="12" fillId="0" borderId="0" xfId="0" applyFont="1" applyAlignment="1" applyProtection="1">
      <alignment horizontal="left" vertical="center"/>
    </xf>
    <xf numFmtId="0" fontId="23" fillId="0" borderId="5" xfId="1" applyFont="1" applyFill="1" applyBorder="1" applyAlignment="1" applyProtection="1">
      <alignment horizontal="center" vertical="center"/>
    </xf>
    <xf numFmtId="10" fontId="12" fillId="0" borderId="28" xfId="0" applyNumberFormat="1" applyFont="1" applyFill="1" applyBorder="1" applyAlignment="1" applyProtection="1">
      <alignment horizontal="center" vertical="center" wrapText="1"/>
    </xf>
    <xf numFmtId="0" fontId="23" fillId="0" borderId="28" xfId="1" applyFont="1" applyFill="1" applyBorder="1" applyAlignment="1" applyProtection="1">
      <alignment horizontal="center" vertical="center"/>
    </xf>
    <xf numFmtId="0" fontId="12" fillId="0" borderId="5" xfId="1" applyFont="1" applyFill="1" applyBorder="1" applyAlignment="1" applyProtection="1">
      <alignment horizontal="center" vertical="center"/>
    </xf>
    <xf numFmtId="0" fontId="12" fillId="0" borderId="11" xfId="1" applyFont="1" applyFill="1" applyBorder="1" applyAlignment="1" applyProtection="1">
      <alignment horizontal="center" vertical="center"/>
    </xf>
    <xf numFmtId="49" fontId="23" fillId="0" borderId="60" xfId="1" applyNumberFormat="1" applyFont="1" applyFill="1" applyBorder="1" applyAlignment="1" applyProtection="1">
      <alignment horizontal="center"/>
    </xf>
    <xf numFmtId="0" fontId="23" fillId="0" borderId="60" xfId="1" applyFont="1" applyFill="1" applyBorder="1" applyAlignment="1" applyProtection="1">
      <alignment horizontal="center"/>
    </xf>
    <xf numFmtId="11" fontId="12" fillId="0" borderId="3" xfId="1" applyNumberFormat="1" applyFont="1" applyFill="1" applyBorder="1" applyAlignment="1" applyProtection="1">
      <alignment horizontal="center" vertical="center"/>
    </xf>
    <xf numFmtId="0" fontId="12" fillId="0" borderId="3" xfId="0" applyFont="1" applyFill="1" applyBorder="1" applyAlignment="1" applyProtection="1">
      <alignment horizontal="center" vertical="center"/>
    </xf>
    <xf numFmtId="165" fontId="12" fillId="0" borderId="3" xfId="1" applyNumberFormat="1" applyFont="1" applyFill="1" applyBorder="1" applyAlignment="1" applyProtection="1">
      <alignment horizontal="center" vertical="center"/>
    </xf>
    <xf numFmtId="11" fontId="12" fillId="0" borderId="16" xfId="0" applyNumberFormat="1" applyFont="1" applyFill="1" applyBorder="1" applyAlignment="1" applyProtection="1">
      <alignment horizontal="center"/>
    </xf>
    <xf numFmtId="0" fontId="12" fillId="0" borderId="3" xfId="0" applyFont="1" applyFill="1" applyBorder="1" applyAlignment="1" applyProtection="1">
      <alignment horizontal="center"/>
    </xf>
    <xf numFmtId="0" fontId="23" fillId="0" borderId="3" xfId="1" applyFont="1" applyFill="1" applyBorder="1" applyAlignment="1" applyProtection="1">
      <alignment horizontal="center"/>
    </xf>
    <xf numFmtId="0" fontId="23" fillId="0" borderId="61" xfId="1" applyFont="1" applyFill="1" applyBorder="1" applyAlignment="1" applyProtection="1">
      <alignment horizontal="center"/>
    </xf>
    <xf numFmtId="11" fontId="12" fillId="0" borderId="5" xfId="1" applyNumberFormat="1" applyFont="1" applyFill="1" applyBorder="1" applyAlignment="1" applyProtection="1">
      <alignment horizontal="center" vertical="center"/>
    </xf>
    <xf numFmtId="0" fontId="12" fillId="0" borderId="3" xfId="0" applyFont="1" applyFill="1" applyBorder="1" applyProtection="1"/>
    <xf numFmtId="0" fontId="23" fillId="0" borderId="7" xfId="1" applyFont="1" applyFill="1" applyBorder="1" applyAlignment="1" applyProtection="1">
      <alignment horizontal="center" vertical="center"/>
    </xf>
    <xf numFmtId="0" fontId="23" fillId="0" borderId="8" xfId="1" applyFont="1" applyFill="1" applyBorder="1" applyAlignment="1" applyProtection="1">
      <alignment horizontal="center" vertical="center"/>
    </xf>
    <xf numFmtId="10" fontId="12" fillId="0" borderId="34" xfId="0" applyNumberFormat="1" applyFont="1" applyFill="1" applyBorder="1" applyAlignment="1" applyProtection="1">
      <alignment horizontal="center" vertical="center" wrapText="1"/>
    </xf>
    <xf numFmtId="0" fontId="23" fillId="0" borderId="34" xfId="1" applyFont="1" applyFill="1" applyBorder="1" applyAlignment="1" applyProtection="1">
      <alignment horizontal="center" vertical="center"/>
    </xf>
    <xf numFmtId="0" fontId="12" fillId="0" borderId="12" xfId="1" applyFont="1" applyFill="1" applyBorder="1" applyAlignment="1" applyProtection="1">
      <alignment horizontal="center" vertical="center"/>
    </xf>
    <xf numFmtId="0" fontId="12" fillId="0" borderId="7" xfId="1" applyFont="1" applyFill="1" applyBorder="1" applyAlignment="1" applyProtection="1">
      <alignment horizontal="center" vertical="center"/>
    </xf>
    <xf numFmtId="49" fontId="23" fillId="0" borderId="63" xfId="1" applyNumberFormat="1" applyFont="1" applyFill="1" applyBorder="1" applyAlignment="1" applyProtection="1">
      <alignment horizontal="center"/>
    </xf>
    <xf numFmtId="0" fontId="23" fillId="0" borderId="63" xfId="1" applyFont="1" applyFill="1" applyBorder="1" applyAlignment="1" applyProtection="1">
      <alignment horizontal="center"/>
    </xf>
    <xf numFmtId="0" fontId="23" fillId="0" borderId="8" xfId="1" applyFont="1" applyFill="1" applyBorder="1" applyAlignment="1" applyProtection="1">
      <alignment horizontal="center"/>
    </xf>
    <xf numFmtId="11" fontId="12" fillId="0" borderId="8" xfId="1" applyNumberFormat="1" applyFont="1" applyFill="1" applyBorder="1" applyAlignment="1" applyProtection="1">
      <alignment horizontal="center" vertical="center"/>
    </xf>
    <xf numFmtId="0" fontId="12" fillId="0" borderId="8" xfId="0" applyFont="1" applyFill="1" applyBorder="1" applyAlignment="1" applyProtection="1">
      <alignment horizontal="center" vertical="center"/>
    </xf>
    <xf numFmtId="165" fontId="12" fillId="0" borderId="8" xfId="1" applyNumberFormat="1" applyFont="1" applyFill="1" applyBorder="1" applyAlignment="1" applyProtection="1">
      <alignment horizontal="center" vertical="center"/>
    </xf>
    <xf numFmtId="11" fontId="12" fillId="0" borderId="17" xfId="0" applyNumberFormat="1" applyFont="1" applyFill="1" applyBorder="1" applyAlignment="1" applyProtection="1">
      <alignment horizontal="center"/>
    </xf>
    <xf numFmtId="0" fontId="12" fillId="0" borderId="8" xfId="0" applyFont="1" applyFill="1" applyBorder="1" applyAlignment="1" applyProtection="1">
      <alignment horizontal="center"/>
    </xf>
    <xf numFmtId="0" fontId="23" fillId="0" borderId="62" xfId="1" applyFont="1" applyFill="1" applyBorder="1" applyAlignment="1" applyProtection="1">
      <alignment horizontal="center"/>
    </xf>
    <xf numFmtId="0" fontId="23" fillId="0" borderId="0" xfId="1" applyFont="1" applyFill="1" applyBorder="1" applyAlignment="1" applyProtection="1">
      <alignment horizontal="center" vertical="center" wrapText="1"/>
    </xf>
    <xf numFmtId="0" fontId="40" fillId="0" borderId="0" xfId="1" applyFont="1" applyFill="1" applyBorder="1" applyAlignment="1" applyProtection="1">
      <alignment horizontal="center" vertical="center" wrapText="1"/>
    </xf>
    <xf numFmtId="0" fontId="12" fillId="0" borderId="0" xfId="1" applyFont="1" applyFill="1" applyBorder="1" applyAlignment="1" applyProtection="1">
      <alignment horizontal="center" vertical="center"/>
    </xf>
    <xf numFmtId="0" fontId="0" fillId="0" borderId="0" xfId="0" applyFill="1" applyBorder="1" applyAlignment="1" applyProtection="1">
      <alignment horizontal="center"/>
    </xf>
    <xf numFmtId="0" fontId="12" fillId="0" borderId="0" xfId="0" applyFont="1" applyFill="1" applyBorder="1" applyAlignment="1" applyProtection="1">
      <alignment horizontal="center" vertical="center"/>
    </xf>
    <xf numFmtId="0" fontId="43" fillId="0" borderId="0" xfId="1" applyFont="1" applyFill="1" applyBorder="1" applyProtection="1"/>
    <xf numFmtId="0" fontId="23" fillId="0" borderId="0" xfId="1" applyFont="1" applyFill="1" applyBorder="1" applyAlignment="1" applyProtection="1">
      <alignment horizontal="center"/>
    </xf>
    <xf numFmtId="0" fontId="12" fillId="0" borderId="0" xfId="0" applyNumberFormat="1" applyFont="1" applyFill="1" applyBorder="1" applyAlignment="1" applyProtection="1">
      <alignment horizontal="center" vertical="center"/>
    </xf>
    <xf numFmtId="11" fontId="12" fillId="0" borderId="0" xfId="0" applyNumberFormat="1" applyFont="1" applyFill="1" applyBorder="1" applyAlignment="1" applyProtection="1">
      <alignment horizontal="center" vertical="center"/>
    </xf>
    <xf numFmtId="0" fontId="29" fillId="0" borderId="0" xfId="2" applyFill="1" applyBorder="1" applyAlignment="1" applyProtection="1"/>
    <xf numFmtId="1" fontId="32" fillId="0" borderId="0" xfId="0" applyNumberFormat="1" applyFont="1" applyFill="1" applyBorder="1" applyAlignment="1" applyProtection="1"/>
    <xf numFmtId="2" fontId="21" fillId="0" borderId="0" xfId="0" applyNumberFormat="1" applyFont="1" applyBorder="1" applyAlignment="1" applyProtection="1"/>
    <xf numFmtId="0" fontId="32" fillId="0" borderId="0" xfId="0" applyFont="1" applyBorder="1" applyAlignment="1" applyProtection="1"/>
    <xf numFmtId="0" fontId="21" fillId="0" borderId="0" xfId="0" applyFont="1" applyFill="1" applyBorder="1" applyAlignment="1" applyProtection="1"/>
    <xf numFmtId="0" fontId="35" fillId="6" borderId="1" xfId="0" applyFont="1" applyFill="1" applyBorder="1" applyProtection="1"/>
    <xf numFmtId="49" fontId="35" fillId="6" borderId="2" xfId="0" applyNumberFormat="1" applyFont="1" applyFill="1" applyBorder="1" applyAlignment="1" applyProtection="1">
      <alignment horizontal="left" vertical="center" wrapText="1"/>
    </xf>
    <xf numFmtId="0" fontId="35" fillId="6" borderId="10" xfId="0" applyFont="1" applyFill="1" applyBorder="1" applyAlignment="1" applyProtection="1">
      <alignment vertical="top" wrapText="1"/>
    </xf>
    <xf numFmtId="0" fontId="35" fillId="6" borderId="5" xfId="0" applyFont="1" applyFill="1" applyBorder="1" applyProtection="1"/>
    <xf numFmtId="49" fontId="35" fillId="6" borderId="3" xfId="0" applyNumberFormat="1" applyFont="1" applyFill="1" applyBorder="1" applyAlignment="1" applyProtection="1">
      <alignment horizontal="left" vertical="center" wrapText="1"/>
    </xf>
    <xf numFmtId="0" fontId="35" fillId="6" borderId="11" xfId="0" applyFont="1" applyFill="1" applyBorder="1" applyAlignment="1" applyProtection="1">
      <alignment vertical="top" wrapText="1"/>
    </xf>
    <xf numFmtId="49" fontId="35" fillId="6" borderId="3" xfId="0" applyNumberFormat="1" applyFont="1" applyFill="1" applyBorder="1" applyAlignment="1" applyProtection="1">
      <alignment horizontal="left" vertical="center" wrapText="1"/>
      <protection locked="0"/>
    </xf>
    <xf numFmtId="0" fontId="35" fillId="6" borderId="7" xfId="0" applyFont="1" applyFill="1" applyBorder="1" applyProtection="1"/>
    <xf numFmtId="49" fontId="35" fillId="6" borderId="8" xfId="0" applyNumberFormat="1" applyFont="1" applyFill="1" applyBorder="1" applyAlignment="1" applyProtection="1">
      <alignment horizontal="left" vertical="center" wrapText="1"/>
      <protection locked="0"/>
    </xf>
    <xf numFmtId="0" fontId="35" fillId="6" borderId="12" xfId="0" applyFont="1" applyFill="1" applyBorder="1" applyAlignment="1" applyProtection="1">
      <alignment vertical="top" wrapText="1"/>
    </xf>
    <xf numFmtId="0" fontId="35" fillId="6" borderId="1" xfId="0" applyFont="1" applyFill="1" applyBorder="1" applyAlignment="1" applyProtection="1">
      <alignment vertical="top"/>
    </xf>
    <xf numFmtId="49" fontId="35" fillId="6" borderId="2" xfId="0" applyNumberFormat="1" applyFont="1" applyFill="1" applyBorder="1" applyAlignment="1" applyProtection="1">
      <alignment horizontal="left" vertical="top" wrapText="1"/>
    </xf>
    <xf numFmtId="0" fontId="35" fillId="6" borderId="5" xfId="0" applyFont="1" applyFill="1" applyBorder="1" applyAlignment="1" applyProtection="1">
      <alignment vertical="top"/>
    </xf>
    <xf numFmtId="49" fontId="35" fillId="6" borderId="3" xfId="0" applyNumberFormat="1" applyFont="1" applyFill="1" applyBorder="1" applyAlignment="1" applyProtection="1">
      <alignment horizontal="left" vertical="top" wrapText="1"/>
    </xf>
    <xf numFmtId="49" fontId="35" fillId="6" borderId="3" xfId="0" applyNumberFormat="1" applyFont="1" applyFill="1" applyBorder="1" applyAlignment="1" applyProtection="1">
      <alignment horizontal="left"/>
    </xf>
    <xf numFmtId="0" fontId="35" fillId="6" borderId="11" xfId="0" applyFont="1" applyFill="1" applyBorder="1" applyAlignment="1" applyProtection="1">
      <alignment horizontal="right" vertical="top" wrapText="1"/>
    </xf>
    <xf numFmtId="49" fontId="35" fillId="6" borderId="8" xfId="0" applyNumberFormat="1" applyFont="1" applyFill="1" applyBorder="1" applyAlignment="1" applyProtection="1">
      <alignment horizontal="left" vertical="top" wrapText="1"/>
    </xf>
    <xf numFmtId="49" fontId="76" fillId="6" borderId="3" xfId="0" applyNumberFormat="1" applyFont="1" applyFill="1" applyBorder="1" applyAlignment="1" applyProtection="1">
      <alignment horizontal="left" vertical="center" wrapText="1"/>
    </xf>
    <xf numFmtId="0" fontId="35" fillId="6" borderId="7" xfId="0" applyFont="1" applyFill="1" applyBorder="1" applyAlignment="1" applyProtection="1">
      <alignment vertical="top"/>
    </xf>
    <xf numFmtId="49" fontId="77" fillId="6" borderId="8" xfId="0" applyNumberFormat="1" applyFont="1" applyFill="1" applyBorder="1" applyAlignment="1" applyProtection="1">
      <alignment horizontal="left" vertical="center" wrapText="1"/>
    </xf>
    <xf numFmtId="49" fontId="76" fillId="6" borderId="3" xfId="0" applyNumberFormat="1" applyFont="1" applyFill="1" applyBorder="1" applyAlignment="1" applyProtection="1">
      <alignment horizontal="left" vertical="top" wrapText="1"/>
    </xf>
    <xf numFmtId="49" fontId="76" fillId="6" borderId="8" xfId="0" applyNumberFormat="1" applyFont="1" applyFill="1" applyBorder="1" applyAlignment="1" applyProtection="1">
      <alignment horizontal="left" vertical="top" wrapText="1"/>
    </xf>
    <xf numFmtId="0" fontId="35" fillId="6" borderId="1" xfId="0" applyFont="1" applyFill="1" applyBorder="1" applyAlignment="1" applyProtection="1">
      <alignment vertical="top" wrapText="1"/>
    </xf>
    <xf numFmtId="0" fontId="35" fillId="6" borderId="2" xfId="0" applyFont="1" applyFill="1" applyBorder="1" applyAlignment="1" applyProtection="1">
      <alignment vertical="top" wrapText="1"/>
    </xf>
    <xf numFmtId="0" fontId="35" fillId="6" borderId="10" xfId="0" applyFont="1" applyFill="1" applyBorder="1" applyProtection="1"/>
    <xf numFmtId="0" fontId="35" fillId="6" borderId="5" xfId="0" applyFont="1" applyFill="1" applyBorder="1" applyAlignment="1" applyProtection="1">
      <alignment vertical="top" wrapText="1"/>
    </xf>
    <xf numFmtId="0" fontId="35" fillId="6" borderId="3" xfId="0" applyFont="1" applyFill="1" applyBorder="1" applyAlignment="1" applyProtection="1">
      <alignment vertical="top" wrapText="1"/>
    </xf>
    <xf numFmtId="0" fontId="35" fillId="6" borderId="11" xfId="0" applyFont="1" applyFill="1" applyBorder="1" applyProtection="1"/>
    <xf numFmtId="49" fontId="77" fillId="6" borderId="3" xfId="0" applyNumberFormat="1" applyFont="1" applyFill="1" applyBorder="1" applyAlignment="1" applyProtection="1">
      <alignment horizontal="left" vertical="top" wrapText="1"/>
    </xf>
    <xf numFmtId="0" fontId="35" fillId="6" borderId="7" xfId="0" applyFont="1" applyFill="1" applyBorder="1" applyAlignment="1" applyProtection="1">
      <alignment vertical="top" wrapText="1"/>
    </xf>
    <xf numFmtId="49" fontId="35" fillId="6" borderId="8" xfId="0" applyNumberFormat="1" applyFont="1" applyFill="1" applyBorder="1" applyAlignment="1" applyProtection="1">
      <alignment horizontal="center" vertical="top" wrapText="1"/>
      <protection locked="0"/>
    </xf>
    <xf numFmtId="0" fontId="35" fillId="6" borderId="8" xfId="0" applyFont="1" applyFill="1" applyBorder="1" applyAlignment="1" applyProtection="1">
      <alignment vertical="top" wrapText="1"/>
    </xf>
    <xf numFmtId="0" fontId="35" fillId="6" borderId="12" xfId="0" applyFont="1" applyFill="1" applyBorder="1" applyProtection="1">
      <protection locked="0"/>
    </xf>
    <xf numFmtId="0" fontId="35" fillId="6" borderId="12" xfId="0" applyFont="1" applyFill="1" applyBorder="1" applyProtection="1"/>
    <xf numFmtId="0" fontId="79" fillId="6" borderId="1" xfId="0" applyFont="1" applyFill="1" applyBorder="1" applyAlignment="1" applyProtection="1">
      <alignment horizontal="center" vertical="center" wrapText="1"/>
    </xf>
    <xf numFmtId="0" fontId="79" fillId="6" borderId="2" xfId="0" applyNumberFormat="1" applyFont="1" applyFill="1" applyBorder="1" applyAlignment="1" applyProtection="1">
      <alignment horizontal="center" vertical="center" wrapText="1"/>
    </xf>
    <xf numFmtId="0" fontId="35" fillId="6" borderId="2" xfId="0" applyFont="1" applyFill="1" applyBorder="1" applyProtection="1">
      <protection locked="0"/>
    </xf>
    <xf numFmtId="1" fontId="35" fillId="6" borderId="10" xfId="0" applyNumberFormat="1" applyFont="1" applyFill="1" applyBorder="1" applyAlignment="1" applyProtection="1">
      <alignment horizontal="center" vertical="center" wrapText="1"/>
    </xf>
    <xf numFmtId="0" fontId="79" fillId="6" borderId="5" xfId="0" applyFont="1" applyFill="1" applyBorder="1" applyProtection="1"/>
    <xf numFmtId="0" fontId="35" fillId="6" borderId="3" xfId="0" applyFont="1" applyFill="1" applyBorder="1" applyAlignment="1" applyProtection="1">
      <alignment horizontal="right"/>
    </xf>
    <xf numFmtId="0" fontId="35" fillId="6" borderId="3" xfId="0" applyFont="1" applyFill="1" applyBorder="1" applyProtection="1">
      <protection locked="0"/>
    </xf>
    <xf numFmtId="1" fontId="35" fillId="6" borderId="11" xfId="4" applyNumberFormat="1" applyFont="1" applyFill="1" applyBorder="1" applyAlignment="1" applyProtection="1"/>
    <xf numFmtId="0" fontId="79" fillId="6" borderId="3" xfId="0" applyFont="1" applyFill="1" applyBorder="1" applyAlignment="1" applyProtection="1">
      <protection locked="0"/>
    </xf>
    <xf numFmtId="0" fontId="79" fillId="6" borderId="5" xfId="0" applyFont="1" applyFill="1" applyBorder="1" applyAlignment="1" applyProtection="1"/>
    <xf numFmtId="0" fontId="79" fillId="6" borderId="3" xfId="0" applyFont="1" applyFill="1" applyBorder="1" applyProtection="1">
      <protection locked="0"/>
    </xf>
    <xf numFmtId="0" fontId="35" fillId="6" borderId="5" xfId="0" applyFont="1" applyFill="1" applyBorder="1" applyAlignment="1" applyProtection="1"/>
    <xf numFmtId="0" fontId="35" fillId="6" borderId="3" xfId="0" applyFont="1" applyFill="1" applyBorder="1" applyAlignment="1" applyProtection="1">
      <protection locked="0"/>
    </xf>
    <xf numFmtId="1" fontId="35" fillId="6" borderId="11" xfId="0" applyNumberFormat="1" applyFont="1" applyFill="1" applyBorder="1" applyAlignment="1" applyProtection="1"/>
    <xf numFmtId="1" fontId="79" fillId="6" borderId="11" xfId="0" applyNumberFormat="1" applyFont="1" applyFill="1" applyBorder="1" applyAlignment="1" applyProtection="1"/>
    <xf numFmtId="0" fontId="35" fillId="6" borderId="5" xfId="4" applyFont="1" applyFill="1" applyBorder="1" applyProtection="1"/>
    <xf numFmtId="49" fontId="35" fillId="6" borderId="3" xfId="4" applyNumberFormat="1" applyFont="1" applyFill="1" applyBorder="1" applyAlignment="1" applyProtection="1">
      <protection locked="0"/>
    </xf>
    <xf numFmtId="11" fontId="35" fillId="6" borderId="5" xfId="4" applyNumberFormat="1" applyFont="1" applyFill="1" applyBorder="1" applyAlignment="1" applyProtection="1"/>
    <xf numFmtId="11" fontId="35" fillId="6" borderId="3" xfId="4" applyNumberFormat="1" applyFont="1" applyFill="1" applyBorder="1" applyAlignment="1" applyProtection="1">
      <protection locked="0"/>
    </xf>
    <xf numFmtId="0" fontId="35" fillId="6" borderId="3" xfId="4" applyFont="1" applyFill="1" applyBorder="1" applyProtection="1">
      <protection locked="0"/>
    </xf>
    <xf numFmtId="0" fontId="35" fillId="6" borderId="7" xfId="4" applyFont="1" applyFill="1" applyBorder="1" applyProtection="1"/>
    <xf numFmtId="0" fontId="35" fillId="6" borderId="8" xfId="0" applyFont="1" applyFill="1" applyBorder="1" applyAlignment="1" applyProtection="1">
      <alignment horizontal="right"/>
    </xf>
    <xf numFmtId="0" fontId="35" fillId="6" borderId="8" xfId="4" applyFont="1" applyFill="1" applyBorder="1" applyProtection="1">
      <protection locked="0"/>
    </xf>
    <xf numFmtId="1" fontId="35" fillId="6" borderId="12" xfId="4" applyNumberFormat="1" applyFont="1" applyFill="1" applyBorder="1" applyAlignment="1" applyProtection="1"/>
    <xf numFmtId="0" fontId="35" fillId="6" borderId="0" xfId="4" applyFont="1" applyFill="1" applyBorder="1" applyProtection="1">
      <protection locked="0"/>
    </xf>
    <xf numFmtId="0" fontId="79" fillId="6" borderId="0" xfId="0" applyNumberFormat="1" applyFont="1" applyFill="1" applyBorder="1" applyAlignment="1" applyProtection="1">
      <alignment horizontal="right"/>
      <protection locked="0"/>
    </xf>
    <xf numFmtId="1" fontId="35" fillId="6" borderId="0" xfId="4" applyNumberFormat="1" applyFont="1" applyFill="1" applyBorder="1" applyAlignment="1" applyProtection="1">
      <protection locked="0"/>
    </xf>
    <xf numFmtId="49" fontId="35" fillId="6" borderId="0" xfId="4" applyNumberFormat="1" applyFont="1" applyFill="1" applyBorder="1" applyAlignment="1" applyProtection="1">
      <protection locked="0"/>
    </xf>
    <xf numFmtId="0" fontId="39" fillId="6" borderId="0" xfId="0" applyFont="1" applyFill="1" applyBorder="1" applyProtection="1">
      <protection locked="0"/>
    </xf>
    <xf numFmtId="0" fontId="35" fillId="6" borderId="0" xfId="0" applyFont="1" applyFill="1" applyBorder="1" applyProtection="1">
      <protection locked="0"/>
    </xf>
    <xf numFmtId="49" fontId="35" fillId="6" borderId="0" xfId="0" applyNumberFormat="1" applyFont="1" applyFill="1" applyBorder="1" applyAlignment="1" applyProtection="1">
      <alignment horizontal="center" vertical="center"/>
      <protection locked="0"/>
    </xf>
    <xf numFmtId="0" fontId="77" fillId="6" borderId="0" xfId="0" applyFont="1" applyFill="1" applyBorder="1" applyAlignment="1" applyProtection="1">
      <alignment vertical="top" wrapText="1"/>
      <protection locked="0"/>
    </xf>
    <xf numFmtId="0" fontId="77" fillId="6" borderId="0" xfId="0" applyFont="1" applyFill="1" applyBorder="1" applyAlignment="1" applyProtection="1">
      <alignment horizontal="right" vertical="top" wrapText="1"/>
      <protection locked="0"/>
    </xf>
    <xf numFmtId="0" fontId="77" fillId="6" borderId="0" xfId="0" applyFont="1" applyFill="1" applyBorder="1" applyAlignment="1" applyProtection="1">
      <alignment horizontal="left" vertical="top" wrapText="1"/>
      <protection locked="0"/>
    </xf>
    <xf numFmtId="0" fontId="64" fillId="6" borderId="0" xfId="0" applyFont="1" applyFill="1" applyBorder="1" applyAlignment="1" applyProtection="1">
      <alignment horizontal="right" vertical="top" wrapText="1"/>
      <protection locked="0"/>
    </xf>
    <xf numFmtId="0" fontId="79" fillId="6" borderId="1" xfId="0" applyFont="1" applyFill="1" applyBorder="1" applyAlignment="1" applyProtection="1">
      <alignment horizontal="center" vertical="center" wrapText="1"/>
      <protection locked="0"/>
    </xf>
    <xf numFmtId="0" fontId="79" fillId="6" borderId="2" xfId="0" applyNumberFormat="1" applyFont="1" applyFill="1" applyBorder="1" applyAlignment="1" applyProtection="1">
      <alignment horizontal="center" vertical="center" wrapText="1"/>
      <protection locked="0"/>
    </xf>
    <xf numFmtId="0" fontId="35" fillId="6" borderId="2" xfId="0" applyFont="1" applyFill="1" applyBorder="1" applyAlignment="1" applyProtection="1">
      <alignment horizontal="center" vertical="center" wrapText="1"/>
      <protection locked="0"/>
    </xf>
    <xf numFmtId="0" fontId="35" fillId="6" borderId="10" xfId="0" applyFont="1" applyFill="1" applyBorder="1" applyAlignment="1" applyProtection="1">
      <alignment horizontal="center" vertical="center" wrapText="1"/>
      <protection locked="0"/>
    </xf>
    <xf numFmtId="0" fontId="79" fillId="6" borderId="5" xfId="0" applyFont="1" applyFill="1" applyBorder="1" applyProtection="1">
      <protection locked="0"/>
    </xf>
    <xf numFmtId="49" fontId="79" fillId="6" borderId="3" xfId="0" applyNumberFormat="1" applyFont="1" applyFill="1" applyBorder="1" applyAlignment="1" applyProtection="1">
      <alignment horizontal="right"/>
      <protection locked="0"/>
    </xf>
    <xf numFmtId="0" fontId="79" fillId="6" borderId="11" xfId="0" applyFont="1" applyFill="1" applyBorder="1" applyAlignment="1" applyProtection="1">
      <protection locked="0"/>
    </xf>
    <xf numFmtId="0" fontId="32" fillId="6" borderId="0" xfId="0" applyFont="1" applyFill="1" applyBorder="1" applyAlignment="1" applyProtection="1">
      <protection locked="0"/>
    </xf>
    <xf numFmtId="0" fontId="21" fillId="6" borderId="0" xfId="0" applyFont="1" applyFill="1" applyBorder="1" applyAlignment="1" applyProtection="1">
      <protection locked="0"/>
    </xf>
    <xf numFmtId="0" fontId="79" fillId="6" borderId="5" xfId="0" applyFont="1" applyFill="1" applyBorder="1" applyAlignment="1" applyProtection="1">
      <protection locked="0"/>
    </xf>
    <xf numFmtId="0" fontId="64" fillId="6" borderId="0" xfId="0" applyFont="1" applyFill="1" applyBorder="1" applyAlignment="1" applyProtection="1">
      <alignment vertical="top" wrapText="1"/>
      <protection locked="0"/>
    </xf>
    <xf numFmtId="0" fontId="79" fillId="6" borderId="7" xfId="0" applyFont="1" applyFill="1" applyBorder="1" applyAlignment="1" applyProtection="1">
      <protection locked="0"/>
    </xf>
    <xf numFmtId="0" fontId="79" fillId="6" borderId="8" xfId="0" applyFont="1" applyFill="1" applyBorder="1" applyAlignment="1" applyProtection="1">
      <protection locked="0"/>
    </xf>
    <xf numFmtId="0" fontId="79" fillId="6" borderId="12" xfId="0" applyFont="1" applyFill="1" applyBorder="1" applyAlignment="1" applyProtection="1">
      <protection locked="0"/>
    </xf>
    <xf numFmtId="0" fontId="39" fillId="6" borderId="70" xfId="0" applyFont="1" applyFill="1" applyBorder="1" applyProtection="1">
      <protection locked="0"/>
    </xf>
    <xf numFmtId="0" fontId="39" fillId="6" borderId="71" xfId="0" applyFont="1" applyFill="1" applyBorder="1" applyProtection="1">
      <protection locked="0"/>
    </xf>
    <xf numFmtId="0" fontId="39" fillId="6" borderId="72" xfId="0" applyFont="1" applyFill="1" applyBorder="1" applyProtection="1">
      <protection locked="0"/>
    </xf>
    <xf numFmtId="0" fontId="35" fillId="6" borderId="0" xfId="0" applyFont="1" applyFill="1" applyBorder="1" applyAlignment="1" applyProtection="1">
      <alignment vertical="center"/>
    </xf>
    <xf numFmtId="49" fontId="35" fillId="6" borderId="0" xfId="0" applyNumberFormat="1" applyFont="1" applyFill="1" applyBorder="1" applyAlignment="1" applyProtection="1">
      <alignment horizontal="center" vertical="center"/>
    </xf>
    <xf numFmtId="0" fontId="35" fillId="6" borderId="0" xfId="0" applyFont="1" applyFill="1" applyBorder="1" applyAlignment="1" applyProtection="1">
      <alignment wrapText="1"/>
    </xf>
    <xf numFmtId="0" fontId="39" fillId="6" borderId="73" xfId="0" applyFont="1" applyFill="1" applyBorder="1" applyProtection="1">
      <protection locked="0"/>
    </xf>
    <xf numFmtId="49" fontId="39" fillId="6" borderId="73" xfId="0" applyNumberFormat="1" applyFont="1" applyFill="1" applyBorder="1" applyProtection="1">
      <protection locked="0"/>
    </xf>
    <xf numFmtId="0" fontId="35" fillId="6" borderId="0" xfId="0" applyFont="1" applyFill="1" applyBorder="1" applyProtection="1"/>
    <xf numFmtId="0" fontId="39" fillId="6" borderId="0" xfId="0" applyFont="1" applyFill="1" applyBorder="1" applyProtection="1"/>
    <xf numFmtId="49" fontId="39" fillId="6" borderId="0" xfId="0" applyNumberFormat="1" applyFont="1" applyFill="1" applyBorder="1" applyProtection="1">
      <protection locked="0"/>
    </xf>
    <xf numFmtId="49" fontId="39" fillId="6" borderId="0" xfId="0" applyNumberFormat="1" applyFont="1" applyFill="1" applyBorder="1" applyAlignment="1" applyProtection="1">
      <alignment horizontal="center" vertical="center"/>
      <protection locked="0"/>
    </xf>
    <xf numFmtId="0" fontId="64" fillId="6" borderId="73" xfId="0" applyFont="1" applyFill="1" applyBorder="1" applyAlignment="1" applyProtection="1">
      <alignment vertical="top" wrapText="1"/>
      <protection locked="0"/>
    </xf>
    <xf numFmtId="0" fontId="39" fillId="6" borderId="74" xfId="0" applyFont="1" applyFill="1" applyBorder="1" applyProtection="1">
      <protection locked="0"/>
    </xf>
    <xf numFmtId="0" fontId="35" fillId="6" borderId="75" xfId="0" applyFont="1" applyFill="1" applyBorder="1" applyProtection="1">
      <protection locked="0"/>
    </xf>
    <xf numFmtId="49" fontId="35" fillId="6" borderId="75" xfId="0" applyNumberFormat="1" applyFont="1" applyFill="1" applyBorder="1" applyAlignment="1" applyProtection="1">
      <alignment horizontal="center" vertical="center"/>
      <protection locked="0"/>
    </xf>
    <xf numFmtId="0" fontId="39" fillId="6" borderId="75" xfId="0" applyFont="1" applyFill="1" applyBorder="1" applyProtection="1">
      <protection locked="0"/>
    </xf>
    <xf numFmtId="0" fontId="39" fillId="6" borderId="76" xfId="0" applyFont="1" applyFill="1" applyBorder="1" applyProtection="1">
      <protection locked="0"/>
    </xf>
    <xf numFmtId="0" fontId="23" fillId="6" borderId="1" xfId="1" applyFont="1" applyFill="1" applyBorder="1" applyAlignment="1" applyProtection="1">
      <alignment horizontal="left" vertical="center" wrapText="1"/>
    </xf>
    <xf numFmtId="0" fontId="23" fillId="6" borderId="2" xfId="1" applyFont="1" applyFill="1" applyBorder="1" applyAlignment="1" applyProtection="1">
      <alignment horizontal="left" vertical="center" wrapText="1"/>
    </xf>
    <xf numFmtId="0" fontId="23" fillId="6" borderId="72" xfId="1" applyFont="1" applyFill="1" applyBorder="1" applyAlignment="1" applyProtection="1">
      <alignment horizontal="left" vertical="center" wrapText="1"/>
    </xf>
    <xf numFmtId="0" fontId="23" fillId="6" borderId="0" xfId="1" applyFont="1" applyFill="1" applyBorder="1" applyAlignment="1" applyProtection="1">
      <alignment horizontal="left" vertical="center" wrapText="1"/>
    </xf>
    <xf numFmtId="0" fontId="12" fillId="6" borderId="2" xfId="0" applyFont="1" applyFill="1" applyBorder="1" applyAlignment="1" applyProtection="1">
      <alignment horizontal="left" vertical="center" wrapText="1"/>
    </xf>
    <xf numFmtId="0" fontId="11" fillId="6" borderId="2" xfId="0" applyFont="1" applyFill="1" applyBorder="1" applyAlignment="1" applyProtection="1">
      <alignment horizontal="left" vertical="center" wrapText="1"/>
    </xf>
    <xf numFmtId="0" fontId="12" fillId="6" borderId="10" xfId="0" applyFont="1" applyFill="1" applyBorder="1" applyAlignment="1" applyProtection="1">
      <alignment horizontal="left" vertical="center" wrapText="1"/>
    </xf>
    <xf numFmtId="0" fontId="0" fillId="6" borderId="0" xfId="0" applyFill="1" applyBorder="1" applyAlignment="1" applyProtection="1">
      <alignment horizontal="left" vertical="center" wrapText="1"/>
    </xf>
    <xf numFmtId="0" fontId="23" fillId="6" borderId="73" xfId="1" applyFont="1" applyFill="1" applyBorder="1" applyAlignment="1" applyProtection="1">
      <alignment horizontal="left" vertical="center" wrapText="1"/>
    </xf>
    <xf numFmtId="0" fontId="23" fillId="0" borderId="0" xfId="1" applyFont="1" applyAlignment="1" applyProtection="1">
      <alignment horizontal="left" vertical="center" wrapText="1"/>
    </xf>
    <xf numFmtId="0" fontId="12" fillId="6" borderId="70" xfId="0" applyFont="1" applyFill="1" applyBorder="1" applyProtection="1"/>
    <xf numFmtId="0" fontId="12" fillId="6" borderId="70" xfId="0" applyFont="1" applyFill="1" applyBorder="1" applyAlignment="1" applyProtection="1">
      <alignment horizontal="center" vertical="center"/>
    </xf>
    <xf numFmtId="0" fontId="86" fillId="6" borderId="70" xfId="0" applyFont="1" applyFill="1" applyBorder="1" applyProtection="1"/>
    <xf numFmtId="0" fontId="85" fillId="6" borderId="70" xfId="0" applyFont="1" applyFill="1" applyBorder="1" applyAlignment="1" applyProtection="1">
      <alignment horizontal="center"/>
    </xf>
    <xf numFmtId="0" fontId="12" fillId="6" borderId="72" xfId="0" applyFont="1" applyFill="1" applyBorder="1" applyProtection="1"/>
    <xf numFmtId="0" fontId="12" fillId="6" borderId="0" xfId="0" applyFont="1" applyFill="1" applyBorder="1" applyAlignment="1" applyProtection="1">
      <alignment horizontal="center" vertical="center"/>
    </xf>
    <xf numFmtId="0" fontId="86" fillId="6" borderId="0" xfId="0" applyFont="1" applyFill="1" applyBorder="1" applyAlignment="1" applyProtection="1">
      <alignment horizontal="center" vertical="center"/>
    </xf>
    <xf numFmtId="0" fontId="86" fillId="6" borderId="1" xfId="0" applyFont="1" applyFill="1" applyBorder="1" applyAlignment="1" applyProtection="1">
      <alignment horizontal="center" vertical="center"/>
    </xf>
    <xf numFmtId="0" fontId="86" fillId="6" borderId="2" xfId="0" applyFont="1" applyFill="1" applyBorder="1" applyAlignment="1" applyProtection="1">
      <alignment horizontal="center" vertical="center" wrapText="1"/>
    </xf>
    <xf numFmtId="0" fontId="86" fillId="6" borderId="2" xfId="0" applyFont="1" applyFill="1" applyBorder="1" applyAlignment="1" applyProtection="1">
      <alignment horizontal="center" wrapText="1"/>
    </xf>
    <xf numFmtId="0" fontId="86" fillId="6" borderId="2" xfId="0" applyFont="1" applyFill="1" applyBorder="1" applyAlignment="1" applyProtection="1">
      <alignment horizontal="center" vertical="center"/>
    </xf>
    <xf numFmtId="0" fontId="86" fillId="6" borderId="10" xfId="0" applyFont="1" applyFill="1" applyBorder="1" applyAlignment="1" applyProtection="1">
      <alignment horizontal="center" vertical="center" wrapText="1"/>
    </xf>
    <xf numFmtId="0" fontId="12" fillId="6" borderId="5" xfId="0" applyFont="1" applyFill="1" applyBorder="1" applyAlignment="1" applyProtection="1">
      <alignment horizontal="center" vertical="center"/>
      <protection hidden="1"/>
    </xf>
    <xf numFmtId="0" fontId="86" fillId="6" borderId="3" xfId="0" applyFont="1" applyFill="1" applyBorder="1" applyAlignment="1" applyProtection="1">
      <alignment horizontal="center" vertical="center" wrapText="1"/>
      <protection hidden="1"/>
    </xf>
    <xf numFmtId="0" fontId="86" fillId="6" borderId="3" xfId="0" applyFont="1" applyFill="1" applyBorder="1" applyAlignment="1" applyProtection="1">
      <alignment horizontal="center"/>
      <protection hidden="1"/>
    </xf>
    <xf numFmtId="0" fontId="86" fillId="6" borderId="3" xfId="0" applyFont="1" applyFill="1" applyBorder="1" applyAlignment="1" applyProtection="1">
      <alignment horizontal="center" vertical="center"/>
      <protection hidden="1"/>
    </xf>
    <xf numFmtId="0" fontId="86" fillId="6" borderId="11" xfId="0" applyFont="1" applyFill="1" applyBorder="1" applyAlignment="1" applyProtection="1">
      <alignment horizontal="center" vertical="center"/>
      <protection hidden="1"/>
    </xf>
    <xf numFmtId="0" fontId="86" fillId="6" borderId="8" xfId="0" applyFont="1" applyFill="1" applyBorder="1" applyAlignment="1" applyProtection="1">
      <alignment horizontal="center" vertical="center" wrapText="1"/>
      <protection hidden="1"/>
    </xf>
    <xf numFmtId="0" fontId="86" fillId="6" borderId="8" xfId="0" applyFont="1" applyFill="1" applyBorder="1" applyAlignment="1" applyProtection="1">
      <alignment horizontal="center"/>
      <protection hidden="1"/>
    </xf>
    <xf numFmtId="0" fontId="86" fillId="6" borderId="8" xfId="0" applyFont="1" applyFill="1" applyBorder="1" applyAlignment="1" applyProtection="1">
      <alignment horizontal="center" vertical="center"/>
      <protection hidden="1"/>
    </xf>
    <xf numFmtId="0" fontId="86" fillId="6" borderId="12" xfId="0" applyFont="1" applyFill="1" applyBorder="1" applyAlignment="1" applyProtection="1">
      <alignment horizontal="center" vertical="center"/>
      <protection hidden="1"/>
    </xf>
    <xf numFmtId="0" fontId="86" fillId="6" borderId="23" xfId="0" applyFont="1" applyFill="1" applyBorder="1" applyAlignment="1" applyProtection="1">
      <alignment horizontal="center" vertical="center"/>
      <protection hidden="1"/>
    </xf>
    <xf numFmtId="0" fontId="85" fillId="6" borderId="0" xfId="0" applyFont="1" applyFill="1" applyBorder="1" applyAlignment="1" applyProtection="1">
      <alignment horizontal="center"/>
    </xf>
    <xf numFmtId="0" fontId="86" fillId="6" borderId="0" xfId="0" applyFont="1" applyFill="1" applyBorder="1" applyAlignment="1" applyProtection="1">
      <alignment horizontal="center" vertical="center" wrapText="1"/>
    </xf>
    <xf numFmtId="0" fontId="12" fillId="6" borderId="75" xfId="0" applyFont="1" applyFill="1" applyBorder="1" applyAlignment="1" applyProtection="1">
      <alignment horizontal="center"/>
    </xf>
    <xf numFmtId="0" fontId="12" fillId="6" borderId="73" xfId="0" applyFont="1" applyFill="1" applyBorder="1" applyProtection="1"/>
    <xf numFmtId="0" fontId="12" fillId="6" borderId="0" xfId="0" applyFont="1" applyFill="1" applyProtection="1"/>
    <xf numFmtId="0" fontId="12" fillId="6" borderId="0" xfId="0" applyFont="1" applyFill="1" applyBorder="1" applyAlignment="1" applyProtection="1">
      <alignment horizontal="left"/>
    </xf>
    <xf numFmtId="0" fontId="12" fillId="6" borderId="0" xfId="0" applyFont="1" applyFill="1" applyBorder="1" applyAlignment="1" applyProtection="1">
      <alignment horizontal="center"/>
    </xf>
    <xf numFmtId="0" fontId="85" fillId="6" borderId="0" xfId="0" applyFont="1" applyFill="1" applyBorder="1" applyAlignment="1" applyProtection="1">
      <alignment horizontal="center" vertical="center" wrapText="1"/>
    </xf>
    <xf numFmtId="0" fontId="13" fillId="6" borderId="0" xfId="0" applyFont="1" applyFill="1" applyBorder="1" applyAlignment="1" applyProtection="1">
      <alignment horizontal="center" vertical="center"/>
    </xf>
    <xf numFmtId="0" fontId="86" fillId="6" borderId="0" xfId="0" applyFont="1" applyFill="1" applyBorder="1" applyAlignment="1" applyProtection="1">
      <alignment horizontal="justify" vertical="center" wrapText="1"/>
    </xf>
    <xf numFmtId="0" fontId="12" fillId="6" borderId="82" xfId="0" applyFont="1" applyFill="1" applyBorder="1" applyAlignment="1" applyProtection="1">
      <alignment horizontal="center" vertical="center"/>
      <protection hidden="1"/>
    </xf>
    <xf numFmtId="0" fontId="12" fillId="6" borderId="81" xfId="0" applyFont="1" applyFill="1" applyBorder="1" applyAlignment="1" applyProtection="1">
      <alignment horizontal="center" vertical="center"/>
      <protection hidden="1"/>
    </xf>
    <xf numFmtId="0" fontId="23" fillId="6" borderId="80" xfId="6" applyFont="1" applyFill="1" applyBorder="1" applyAlignment="1" applyProtection="1">
      <alignment horizontal="left" vertical="center" wrapText="1"/>
    </xf>
    <xf numFmtId="0" fontId="12" fillId="6" borderId="12" xfId="0" applyFont="1" applyFill="1" applyBorder="1" applyAlignment="1" applyProtection="1">
      <alignment horizontal="left"/>
      <protection hidden="1"/>
    </xf>
    <xf numFmtId="0" fontId="12" fillId="6" borderId="8" xfId="0" applyFont="1" applyFill="1" applyBorder="1" applyAlignment="1" applyProtection="1">
      <alignment horizontal="left"/>
      <protection hidden="1"/>
    </xf>
    <xf numFmtId="0" fontId="12" fillId="6" borderId="8" xfId="0" applyFont="1" applyFill="1" applyBorder="1" applyAlignment="1" applyProtection="1">
      <alignment horizontal="center"/>
      <protection hidden="1"/>
    </xf>
    <xf numFmtId="0" fontId="12" fillId="6" borderId="8" xfId="0" applyFont="1" applyFill="1" applyBorder="1" applyProtection="1">
      <protection hidden="1"/>
    </xf>
    <xf numFmtId="0" fontId="12" fillId="6" borderId="8" xfId="0" applyFont="1" applyFill="1" applyBorder="1" applyAlignment="1" applyProtection="1">
      <alignment horizontal="center" vertical="center"/>
      <protection hidden="1"/>
    </xf>
    <xf numFmtId="0" fontId="12" fillId="6" borderId="8" xfId="0" applyFont="1" applyFill="1" applyBorder="1" applyAlignment="1" applyProtection="1">
      <alignment horizontal="center" vertical="center" wrapText="1"/>
      <protection hidden="1"/>
    </xf>
    <xf numFmtId="0" fontId="12" fillId="6" borderId="11" xfId="0" applyFont="1" applyFill="1" applyBorder="1" applyAlignment="1" applyProtection="1">
      <alignment horizontal="left"/>
      <protection hidden="1"/>
    </xf>
    <xf numFmtId="0" fontId="12" fillId="6" borderId="3" xfId="0" applyFont="1" applyFill="1" applyBorder="1" applyAlignment="1" applyProtection="1">
      <alignment horizontal="left"/>
      <protection hidden="1"/>
    </xf>
    <xf numFmtId="0" fontId="12" fillId="6" borderId="3" xfId="0" applyFont="1" applyFill="1" applyBorder="1" applyAlignment="1" applyProtection="1">
      <alignment horizontal="center"/>
      <protection hidden="1"/>
    </xf>
    <xf numFmtId="0" fontId="12" fillId="6" borderId="3" xfId="0" applyFont="1" applyFill="1" applyBorder="1" applyProtection="1">
      <protection hidden="1"/>
    </xf>
    <xf numFmtId="0" fontId="12" fillId="6" borderId="3" xfId="0" applyFont="1" applyFill="1" applyBorder="1" applyAlignment="1" applyProtection="1">
      <alignment horizontal="center" vertical="center"/>
      <protection hidden="1"/>
    </xf>
    <xf numFmtId="0" fontId="12" fillId="6" borderId="3" xfId="0" applyFont="1" applyFill="1" applyBorder="1" applyAlignment="1" applyProtection="1">
      <alignment horizontal="center" vertical="center" wrapText="1"/>
      <protection hidden="1"/>
    </xf>
    <xf numFmtId="0" fontId="12" fillId="6" borderId="5" xfId="0" applyFont="1" applyFill="1" applyBorder="1" applyAlignment="1" applyProtection="1">
      <alignment horizontal="center"/>
      <protection hidden="1"/>
    </xf>
    <xf numFmtId="0" fontId="12" fillId="6" borderId="10" xfId="0" applyFont="1" applyFill="1" applyBorder="1" applyAlignment="1" applyProtection="1">
      <alignment horizontal="center" vertical="center" wrapText="1"/>
    </xf>
    <xf numFmtId="0" fontId="12" fillId="6" borderId="2" xfId="0" applyFont="1" applyFill="1" applyBorder="1" applyAlignment="1" applyProtection="1">
      <alignment horizontal="center" vertical="center" wrapText="1"/>
    </xf>
    <xf numFmtId="0" fontId="12" fillId="6" borderId="2" xfId="0" applyFont="1" applyFill="1" applyBorder="1" applyAlignment="1" applyProtection="1">
      <alignment horizontal="center" vertical="center"/>
    </xf>
    <xf numFmtId="0" fontId="37" fillId="6" borderId="2" xfId="0" applyFont="1" applyFill="1" applyBorder="1" applyAlignment="1" applyProtection="1">
      <alignment vertical="center" wrapText="1"/>
    </xf>
    <xf numFmtId="0" fontId="23" fillId="6" borderId="12" xfId="6" applyFont="1" applyFill="1" applyBorder="1" applyAlignment="1" applyProtection="1">
      <alignment horizontal="center" vertical="center"/>
      <protection hidden="1"/>
    </xf>
    <xf numFmtId="0" fontId="23" fillId="6" borderId="11" xfId="6" applyFont="1" applyFill="1" applyBorder="1" applyAlignment="1" applyProtection="1">
      <alignment horizontal="center" vertical="center"/>
      <protection hidden="1"/>
    </xf>
    <xf numFmtId="0" fontId="13" fillId="6" borderId="12" xfId="0" applyFont="1" applyFill="1" applyBorder="1" applyAlignment="1" applyProtection="1">
      <alignment horizontal="center" vertical="center"/>
      <protection hidden="1"/>
    </xf>
    <xf numFmtId="0" fontId="13" fillId="6" borderId="8" xfId="0" applyFont="1" applyFill="1" applyBorder="1" applyAlignment="1" applyProtection="1">
      <alignment horizontal="center" vertical="center"/>
      <protection hidden="1"/>
    </xf>
    <xf numFmtId="0" fontId="23" fillId="6" borderId="7" xfId="6" applyFont="1" applyFill="1" applyBorder="1" applyAlignment="1" applyProtection="1">
      <alignment horizontal="left" vertical="center" wrapText="1"/>
    </xf>
    <xf numFmtId="0" fontId="12" fillId="6" borderId="0" xfId="0" applyFont="1" applyFill="1" applyBorder="1" applyAlignment="1" applyProtection="1">
      <alignment horizontal="left" vertical="center"/>
    </xf>
    <xf numFmtId="0" fontId="13" fillId="6" borderId="11" xfId="0" applyFont="1" applyFill="1" applyBorder="1" applyAlignment="1" applyProtection="1">
      <alignment horizontal="center" vertical="center"/>
      <protection hidden="1"/>
    </xf>
    <xf numFmtId="0" fontId="13" fillId="6" borderId="3" xfId="0" applyFont="1" applyFill="1" applyBorder="1" applyAlignment="1" applyProtection="1">
      <alignment horizontal="center" vertical="center"/>
      <protection hidden="1"/>
    </xf>
    <xf numFmtId="0" fontId="23" fillId="6" borderId="5" xfId="6" applyFont="1" applyFill="1" applyBorder="1" applyAlignment="1" applyProtection="1">
      <alignment horizontal="left" vertical="center" wrapText="1"/>
    </xf>
    <xf numFmtId="0" fontId="12" fillId="6" borderId="11" xfId="0" applyFont="1" applyFill="1" applyBorder="1" applyAlignment="1" applyProtection="1">
      <alignment horizontal="center" vertical="center"/>
      <protection hidden="1"/>
    </xf>
    <xf numFmtId="0" fontId="12" fillId="6" borderId="0" xfId="0" applyFont="1" applyFill="1" applyBorder="1" applyAlignment="1" applyProtection="1">
      <alignment horizontal="justify" vertical="center" wrapText="1"/>
    </xf>
    <xf numFmtId="0" fontId="12" fillId="6" borderId="21" xfId="0" applyFont="1" applyFill="1" applyBorder="1" applyAlignment="1" applyProtection="1">
      <alignment horizontal="center" vertical="center"/>
      <protection hidden="1"/>
    </xf>
    <xf numFmtId="0" fontId="12" fillId="6" borderId="18" xfId="0" applyFont="1" applyFill="1" applyBorder="1" applyAlignment="1" applyProtection="1">
      <alignment horizontal="center" vertical="center"/>
      <protection hidden="1"/>
    </xf>
    <xf numFmtId="0" fontId="23" fillId="6" borderId="35" xfId="6" applyFont="1" applyFill="1" applyBorder="1" applyAlignment="1" applyProtection="1">
      <alignment horizontal="left" vertical="center" wrapText="1"/>
    </xf>
    <xf numFmtId="0" fontId="23" fillId="6" borderId="10" xfId="6" applyFont="1" applyFill="1" applyBorder="1" applyAlignment="1" applyProtection="1">
      <alignment horizontal="center" vertical="center"/>
      <protection hidden="1"/>
    </xf>
    <xf numFmtId="0" fontId="12" fillId="6" borderId="12" xfId="0" applyFont="1" applyFill="1" applyBorder="1" applyAlignment="1" applyProtection="1">
      <alignment horizontal="center" vertical="center"/>
      <protection hidden="1"/>
    </xf>
    <xf numFmtId="0" fontId="23" fillId="6" borderId="8" xfId="6" applyFont="1" applyFill="1" applyBorder="1" applyAlignment="1" applyProtection="1">
      <alignment horizontal="center" vertical="center"/>
      <protection hidden="1"/>
    </xf>
    <xf numFmtId="0" fontId="23" fillId="6" borderId="8" xfId="6" applyFont="1" applyFill="1" applyBorder="1" applyAlignment="1" applyProtection="1">
      <alignment horizontal="left"/>
      <protection hidden="1"/>
    </xf>
    <xf numFmtId="0" fontId="23" fillId="6" borderId="3" xfId="6" applyFont="1" applyFill="1" applyBorder="1" applyAlignment="1" applyProtection="1">
      <alignment horizontal="center" vertical="center"/>
      <protection hidden="1"/>
    </xf>
    <xf numFmtId="0" fontId="23" fillId="6" borderId="3" xfId="6" applyFont="1" applyFill="1" applyBorder="1" applyAlignment="1" applyProtection="1">
      <alignment horizontal="left"/>
      <protection hidden="1"/>
    </xf>
    <xf numFmtId="0" fontId="85" fillId="6" borderId="10" xfId="0" applyFont="1" applyFill="1" applyBorder="1" applyAlignment="1" applyProtection="1">
      <alignment horizontal="center" vertical="center" wrapText="1"/>
    </xf>
    <xf numFmtId="0" fontId="85" fillId="6" borderId="2" xfId="0" applyFont="1" applyFill="1" applyBorder="1" applyAlignment="1" applyProtection="1">
      <alignment horizontal="center" vertical="center" wrapText="1"/>
    </xf>
    <xf numFmtId="0" fontId="90" fillId="6" borderId="2" xfId="0" applyFont="1" applyFill="1" applyBorder="1" applyAlignment="1" applyProtection="1">
      <alignment vertical="center" wrapText="1"/>
    </xf>
    <xf numFmtId="0" fontId="91" fillId="6" borderId="2" xfId="6" applyFont="1" applyFill="1" applyBorder="1" applyAlignment="1" applyProtection="1">
      <alignment horizontal="center" vertical="center"/>
    </xf>
    <xf numFmtId="0" fontId="90" fillId="6" borderId="2" xfId="0" applyFont="1" applyFill="1" applyBorder="1" applyAlignment="1" applyProtection="1">
      <alignment horizontal="center" vertical="center" wrapText="1"/>
    </xf>
    <xf numFmtId="0" fontId="12" fillId="6" borderId="40" xfId="0" applyFont="1" applyFill="1" applyBorder="1" applyProtection="1">
      <protection hidden="1"/>
    </xf>
    <xf numFmtId="0" fontId="12" fillId="6" borderId="39" xfId="0" applyFont="1" applyFill="1" applyBorder="1" applyProtection="1">
      <protection hidden="1"/>
    </xf>
    <xf numFmtId="0" fontId="12" fillId="6" borderId="39" xfId="0" applyFont="1" applyFill="1" applyBorder="1" applyAlignment="1" applyProtection="1">
      <alignment horizontal="center" vertical="center"/>
      <protection hidden="1"/>
    </xf>
    <xf numFmtId="0" fontId="12" fillId="6" borderId="11" xfId="0" applyFont="1" applyFill="1" applyBorder="1" applyProtection="1">
      <protection hidden="1"/>
    </xf>
    <xf numFmtId="0" fontId="12" fillId="6" borderId="3" xfId="0" applyFont="1" applyFill="1" applyBorder="1" applyAlignment="1" applyProtection="1">
      <alignment horizontal="right" vertical="center"/>
      <protection hidden="1"/>
    </xf>
    <xf numFmtId="0" fontId="86" fillId="6" borderId="0" xfId="0" applyFont="1" applyFill="1" applyAlignment="1" applyProtection="1">
      <alignment horizontal="center" vertical="center"/>
    </xf>
    <xf numFmtId="0" fontId="86" fillId="6" borderId="10" xfId="0" applyFont="1" applyFill="1" applyBorder="1" applyAlignment="1" applyProtection="1">
      <alignment horizontal="center" vertical="center"/>
      <protection hidden="1"/>
    </xf>
    <xf numFmtId="0" fontId="86" fillId="6" borderId="2" xfId="0" applyFont="1" applyFill="1" applyBorder="1" applyAlignment="1" applyProtection="1">
      <alignment horizontal="center" vertical="center"/>
      <protection hidden="1"/>
    </xf>
    <xf numFmtId="0" fontId="14" fillId="6" borderId="0" xfId="0" applyFont="1" applyFill="1" applyBorder="1" applyAlignment="1" applyProtection="1">
      <alignment vertical="center" wrapText="1"/>
    </xf>
    <xf numFmtId="0" fontId="16" fillId="6" borderId="0" xfId="0" applyFont="1" applyFill="1" applyBorder="1" applyAlignment="1" applyProtection="1">
      <alignment horizontal="justify" vertical="center" wrapText="1"/>
    </xf>
    <xf numFmtId="0" fontId="86" fillId="6" borderId="48" xfId="0" applyFont="1" applyFill="1" applyBorder="1" applyAlignment="1" applyProtection="1">
      <alignment horizontal="center" vertical="center"/>
      <protection hidden="1"/>
    </xf>
    <xf numFmtId="0" fontId="86" fillId="6" borderId="47" xfId="0" applyFont="1" applyFill="1" applyBorder="1" applyAlignment="1" applyProtection="1">
      <alignment horizontal="center" vertical="center"/>
      <protection hidden="1"/>
    </xf>
    <xf numFmtId="0" fontId="86" fillId="6" borderId="46" xfId="0" applyFont="1" applyFill="1" applyBorder="1" applyAlignment="1" applyProtection="1">
      <alignment horizontal="center" vertical="center"/>
      <protection hidden="1"/>
    </xf>
    <xf numFmtId="0" fontId="37" fillId="6" borderId="10" xfId="0" applyFont="1" applyFill="1" applyBorder="1" applyAlignment="1" applyProtection="1">
      <alignment horizontal="center" vertical="center" wrapText="1"/>
    </xf>
    <xf numFmtId="0" fontId="37" fillId="6" borderId="2" xfId="0" applyFont="1" applyFill="1" applyBorder="1" applyAlignment="1" applyProtection="1">
      <alignment horizontal="center" vertical="center" wrapText="1"/>
    </xf>
    <xf numFmtId="0" fontId="12" fillId="6" borderId="2" xfId="0" applyFont="1" applyFill="1" applyBorder="1" applyAlignment="1" applyProtection="1">
      <alignment vertical="center" wrapText="1"/>
    </xf>
    <xf numFmtId="0" fontId="87" fillId="6" borderId="8" xfId="6" applyFont="1" applyFill="1" applyBorder="1" applyAlignment="1" applyProtection="1">
      <alignment horizontal="center" vertical="center"/>
      <protection hidden="1"/>
    </xf>
    <xf numFmtId="0" fontId="87" fillId="6" borderId="8" xfId="6" applyFont="1" applyFill="1" applyBorder="1" applyAlignment="1" applyProtection="1">
      <alignment horizontal="center"/>
      <protection hidden="1"/>
    </xf>
    <xf numFmtId="0" fontId="87" fillId="6" borderId="8" xfId="6" applyFont="1" applyFill="1" applyBorder="1" applyAlignment="1" applyProtection="1">
      <alignment horizontal="left"/>
      <protection hidden="1"/>
    </xf>
    <xf numFmtId="0" fontId="87" fillId="6" borderId="3" xfId="6" applyFont="1" applyFill="1" applyBorder="1" applyAlignment="1" applyProtection="1">
      <alignment horizontal="center" vertical="center"/>
      <protection hidden="1"/>
    </xf>
    <xf numFmtId="0" fontId="87" fillId="6" borderId="3" xfId="6" applyFont="1" applyFill="1" applyBorder="1" applyAlignment="1" applyProtection="1">
      <alignment horizontal="center"/>
      <protection hidden="1"/>
    </xf>
    <xf numFmtId="0" fontId="87" fillId="6" borderId="3" xfId="6" applyFont="1" applyFill="1" applyBorder="1" applyAlignment="1" applyProtection="1">
      <alignment horizontal="left"/>
      <protection hidden="1"/>
    </xf>
    <xf numFmtId="0" fontId="87" fillId="6" borderId="2" xfId="6" applyFont="1" applyFill="1" applyBorder="1" applyAlignment="1" applyProtection="1">
      <alignment horizontal="center" vertical="center"/>
    </xf>
    <xf numFmtId="0" fontId="12" fillId="6" borderId="71" xfId="0" applyFont="1" applyFill="1" applyBorder="1" applyProtection="1"/>
    <xf numFmtId="0" fontId="12" fillId="6" borderId="70" xfId="0" applyFont="1" applyFill="1" applyBorder="1" applyAlignment="1" applyProtection="1">
      <alignment horizontal="left"/>
    </xf>
    <xf numFmtId="0" fontId="12" fillId="6" borderId="70" xfId="0" applyFont="1" applyFill="1" applyBorder="1" applyAlignment="1" applyProtection="1">
      <alignment horizontal="center"/>
    </xf>
    <xf numFmtId="167" fontId="23" fillId="0" borderId="32" xfId="5" applyNumberFormat="1" applyFont="1" applyBorder="1" applyProtection="1"/>
    <xf numFmtId="167" fontId="23" fillId="0" borderId="33" xfId="5" applyNumberFormat="1" applyFont="1" applyBorder="1" applyProtection="1"/>
    <xf numFmtId="167" fontId="23" fillId="3" borderId="32" xfId="1" applyNumberFormat="1" applyFont="1" applyFill="1" applyBorder="1" applyProtection="1"/>
    <xf numFmtId="167" fontId="23" fillId="3" borderId="33" xfId="1" applyNumberFormat="1" applyFont="1" applyFill="1" applyBorder="1" applyProtection="1"/>
    <xf numFmtId="167" fontId="12" fillId="3" borderId="32" xfId="0" applyNumberFormat="1" applyFont="1" applyFill="1" applyBorder="1" applyProtection="1"/>
    <xf numFmtId="167" fontId="23" fillId="3" borderId="11" xfId="1" applyNumberFormat="1" applyFont="1" applyFill="1" applyBorder="1" applyProtection="1"/>
    <xf numFmtId="167" fontId="23" fillId="3" borderId="40" xfId="1" applyNumberFormat="1" applyFont="1" applyFill="1" applyBorder="1" applyProtection="1"/>
    <xf numFmtId="0" fontId="23" fillId="3" borderId="72" xfId="1" applyFont="1" applyFill="1" applyBorder="1" applyAlignment="1" applyProtection="1">
      <alignment horizontal="center"/>
    </xf>
    <xf numFmtId="0" fontId="23" fillId="3" borderId="0" xfId="1" applyFont="1" applyFill="1" applyBorder="1" applyAlignment="1" applyProtection="1">
      <alignment horizontal="center"/>
    </xf>
    <xf numFmtId="0" fontId="23" fillId="3" borderId="74" xfId="1" applyFont="1" applyFill="1" applyBorder="1" applyAlignment="1" applyProtection="1">
      <alignment horizontal="center"/>
    </xf>
    <xf numFmtId="0" fontId="23" fillId="3" borderId="75" xfId="1" applyFont="1" applyFill="1" applyBorder="1" applyAlignment="1" applyProtection="1">
      <alignment horizontal="center"/>
    </xf>
    <xf numFmtId="0" fontId="23" fillId="3" borderId="70" xfId="1" applyFont="1" applyFill="1" applyBorder="1" applyAlignment="1" applyProtection="1">
      <alignment horizontal="center" vertical="center"/>
    </xf>
    <xf numFmtId="0" fontId="23" fillId="3" borderId="0" xfId="1" applyFont="1" applyFill="1" applyBorder="1" applyAlignment="1" applyProtection="1">
      <alignment horizontal="center" vertical="center"/>
    </xf>
    <xf numFmtId="0" fontId="23" fillId="3" borderId="24" xfId="1" applyFont="1" applyFill="1" applyBorder="1" applyAlignment="1" applyProtection="1">
      <alignment horizontal="center" vertical="center"/>
    </xf>
    <xf numFmtId="0" fontId="23" fillId="3" borderId="25" xfId="1" applyFont="1" applyFill="1" applyBorder="1" applyAlignment="1" applyProtection="1">
      <alignment horizontal="center"/>
    </xf>
    <xf numFmtId="0" fontId="23" fillId="3" borderId="54" xfId="1" applyFont="1" applyFill="1" applyBorder="1" applyAlignment="1" applyProtection="1">
      <alignment horizontal="center"/>
    </xf>
    <xf numFmtId="0" fontId="12" fillId="3" borderId="75" xfId="0" applyFont="1" applyFill="1" applyBorder="1" applyAlignment="1" applyProtection="1">
      <alignment horizontal="center" vertical="center"/>
    </xf>
    <xf numFmtId="0" fontId="12" fillId="3" borderId="76" xfId="0" applyFont="1" applyFill="1" applyBorder="1" applyAlignment="1" applyProtection="1">
      <alignment horizontal="center" vertical="center"/>
    </xf>
    <xf numFmtId="0" fontId="23" fillId="3" borderId="71" xfId="1" applyFont="1" applyFill="1" applyBorder="1" applyAlignment="1" applyProtection="1">
      <alignment horizontal="center" vertical="center"/>
    </xf>
    <xf numFmtId="0" fontId="23" fillId="3" borderId="71" xfId="1" applyFont="1" applyFill="1" applyBorder="1" applyAlignment="1" applyProtection="1">
      <alignment horizontal="center"/>
    </xf>
    <xf numFmtId="0" fontId="23" fillId="3" borderId="73" xfId="1" applyFont="1" applyFill="1" applyBorder="1" applyAlignment="1" applyProtection="1">
      <alignment horizontal="center"/>
    </xf>
    <xf numFmtId="0" fontId="23" fillId="3" borderId="76" xfId="1" applyFont="1" applyFill="1" applyBorder="1" applyAlignment="1" applyProtection="1">
      <alignment horizontal="center"/>
    </xf>
    <xf numFmtId="0" fontId="23" fillId="3" borderId="79" xfId="1" applyFont="1" applyFill="1" applyBorder="1" applyAlignment="1" applyProtection="1">
      <alignment horizontal="center"/>
    </xf>
    <xf numFmtId="0" fontId="23" fillId="0" borderId="41" xfId="1" applyFont="1" applyFill="1" applyBorder="1" applyAlignment="1" applyProtection="1">
      <alignment horizontal="left" vertical="center"/>
    </xf>
    <xf numFmtId="0" fontId="23" fillId="0" borderId="29" xfId="1" applyFont="1" applyFill="1" applyBorder="1" applyAlignment="1" applyProtection="1">
      <alignment horizontal="left" vertical="center"/>
    </xf>
    <xf numFmtId="0" fontId="23" fillId="0" borderId="52" xfId="1" applyFont="1" applyFill="1" applyBorder="1" applyAlignment="1" applyProtection="1">
      <alignment horizontal="left" vertical="center"/>
    </xf>
    <xf numFmtId="167" fontId="23" fillId="0" borderId="41" xfId="1" applyNumberFormat="1" applyFont="1" applyFill="1" applyBorder="1" applyAlignment="1" applyProtection="1">
      <alignment horizontal="left" vertical="center"/>
    </xf>
    <xf numFmtId="167" fontId="23" fillId="0" borderId="29" xfId="1" applyNumberFormat="1" applyFont="1" applyFill="1" applyBorder="1" applyAlignment="1" applyProtection="1">
      <alignment horizontal="left" vertical="center"/>
    </xf>
    <xf numFmtId="167" fontId="23" fillId="0" borderId="52" xfId="1" applyNumberFormat="1" applyFont="1" applyFill="1" applyBorder="1" applyAlignment="1" applyProtection="1">
      <alignment horizontal="left" vertical="center"/>
    </xf>
    <xf numFmtId="167" fontId="23" fillId="0" borderId="44" xfId="1" applyNumberFormat="1" applyFont="1" applyFill="1" applyBorder="1" applyAlignment="1" applyProtection="1">
      <alignment horizontal="left" vertical="center"/>
    </xf>
    <xf numFmtId="167" fontId="23" fillId="0" borderId="38" xfId="1" applyNumberFormat="1" applyFont="1" applyFill="1" applyBorder="1" applyAlignment="1" applyProtection="1">
      <alignment horizontal="left" vertical="center"/>
    </xf>
    <xf numFmtId="167" fontId="23" fillId="0" borderId="53" xfId="1" applyNumberFormat="1" applyFont="1" applyFill="1" applyBorder="1" applyAlignment="1" applyProtection="1">
      <alignment horizontal="left" vertical="center"/>
    </xf>
    <xf numFmtId="0" fontId="43" fillId="0" borderId="9" xfId="1" applyFont="1" applyFill="1" applyBorder="1" applyAlignment="1" applyProtection="1">
      <alignment horizontal="center" vertical="center"/>
    </xf>
    <xf numFmtId="0" fontId="43" fillId="0" borderId="59" xfId="1" applyFont="1" applyFill="1" applyBorder="1" applyAlignment="1" applyProtection="1">
      <alignment horizontal="center" vertical="center"/>
    </xf>
    <xf numFmtId="0" fontId="43" fillId="0" borderId="30" xfId="1" applyFont="1" applyFill="1" applyBorder="1" applyAlignment="1" applyProtection="1">
      <alignment horizontal="center" vertical="center"/>
    </xf>
    <xf numFmtId="0" fontId="23" fillId="0" borderId="27" xfId="1" applyFont="1" applyBorder="1" applyAlignment="1" applyProtection="1">
      <alignment horizontal="center" vertical="center"/>
    </xf>
    <xf numFmtId="0" fontId="23" fillId="0" borderId="50" xfId="1" applyFont="1" applyBorder="1" applyAlignment="1" applyProtection="1">
      <alignment horizontal="center" vertical="center"/>
    </xf>
    <xf numFmtId="0" fontId="23" fillId="0" borderId="21" xfId="1" applyFont="1" applyBorder="1" applyAlignment="1" applyProtection="1">
      <alignment horizontal="center" vertical="center"/>
    </xf>
    <xf numFmtId="0" fontId="12" fillId="0" borderId="41" xfId="0" applyNumberFormat="1" applyFont="1" applyFill="1" applyBorder="1" applyAlignment="1" applyProtection="1">
      <alignment horizontal="left" vertical="center"/>
    </xf>
    <xf numFmtId="0" fontId="12" fillId="0" borderId="29" xfId="0" applyNumberFormat="1" applyFont="1" applyFill="1" applyBorder="1" applyAlignment="1" applyProtection="1">
      <alignment horizontal="left" vertical="center"/>
    </xf>
    <xf numFmtId="0" fontId="12" fillId="0" borderId="52" xfId="0" applyNumberFormat="1" applyFont="1" applyFill="1" applyBorder="1" applyAlignment="1" applyProtection="1">
      <alignment horizontal="left" vertical="center"/>
    </xf>
    <xf numFmtId="0" fontId="23" fillId="0" borderId="3" xfId="1" applyNumberFormat="1" applyFont="1" applyFill="1" applyBorder="1" applyProtection="1"/>
    <xf numFmtId="0" fontId="23" fillId="0" borderId="28" xfId="1" applyNumberFormat="1" applyFont="1" applyFill="1" applyBorder="1" applyProtection="1"/>
    <xf numFmtId="167" fontId="23" fillId="0" borderId="44" xfId="1" applyNumberFormat="1" applyFont="1" applyBorder="1" applyAlignment="1" applyProtection="1">
      <alignment horizontal="left" vertical="center"/>
    </xf>
    <xf numFmtId="167" fontId="23" fillId="0" borderId="38" xfId="1" applyNumberFormat="1" applyFont="1" applyBorder="1" applyAlignment="1" applyProtection="1">
      <alignment horizontal="left" vertical="center"/>
    </xf>
    <xf numFmtId="167" fontId="23" fillId="0" borderId="53" xfId="1" applyNumberFormat="1" applyFont="1" applyBorder="1" applyAlignment="1" applyProtection="1">
      <alignment horizontal="left" vertical="center"/>
    </xf>
    <xf numFmtId="0" fontId="23" fillId="0" borderId="41" xfId="1" applyFont="1" applyBorder="1" applyAlignment="1" applyProtection="1">
      <alignment horizontal="left" vertical="center"/>
    </xf>
    <xf numFmtId="0" fontId="0" fillId="0" borderId="29" xfId="0" applyBorder="1" applyProtection="1"/>
    <xf numFmtId="0" fontId="0" fillId="0" borderId="52" xfId="0" applyBorder="1" applyProtection="1"/>
    <xf numFmtId="0" fontId="23" fillId="0" borderId="29" xfId="1" applyFont="1" applyBorder="1" applyAlignment="1" applyProtection="1">
      <alignment horizontal="left" vertical="center"/>
    </xf>
    <xf numFmtId="0" fontId="23" fillId="0" borderId="52" xfId="1" applyFont="1" applyBorder="1" applyAlignment="1" applyProtection="1">
      <alignment horizontal="left" vertical="center"/>
    </xf>
    <xf numFmtId="0" fontId="43" fillId="3" borderId="9" xfId="1" applyFont="1" applyFill="1" applyBorder="1" applyAlignment="1" applyProtection="1">
      <alignment horizontal="center" vertical="center"/>
    </xf>
    <xf numFmtId="0" fontId="43" fillId="3" borderId="59" xfId="1" applyFont="1" applyFill="1" applyBorder="1" applyAlignment="1" applyProtection="1">
      <alignment horizontal="center" vertical="center"/>
    </xf>
    <xf numFmtId="0" fontId="43" fillId="3" borderId="30" xfId="1" applyFont="1" applyFill="1" applyBorder="1" applyAlignment="1" applyProtection="1">
      <alignment horizontal="center" vertical="center"/>
    </xf>
    <xf numFmtId="0" fontId="31" fillId="2" borderId="2" xfId="0" applyFont="1" applyFill="1" applyBorder="1" applyAlignment="1" applyProtection="1">
      <alignment horizontal="left" vertical="center" wrapText="1"/>
    </xf>
    <xf numFmtId="0" fontId="31" fillId="2" borderId="3" xfId="0" applyFont="1" applyFill="1" applyBorder="1" applyAlignment="1" applyProtection="1">
      <alignment horizontal="left" vertical="center" wrapText="1"/>
    </xf>
    <xf numFmtId="1" fontId="31" fillId="0" borderId="2" xfId="0" applyNumberFormat="1" applyFont="1" applyFill="1" applyBorder="1" applyAlignment="1" applyProtection="1">
      <alignment horizontal="left" vertical="center" wrapText="1"/>
    </xf>
    <xf numFmtId="1" fontId="31" fillId="0" borderId="3" xfId="0" applyNumberFormat="1" applyFont="1" applyFill="1" applyBorder="1" applyAlignment="1" applyProtection="1">
      <alignment horizontal="left" vertical="center" wrapText="1"/>
    </xf>
    <xf numFmtId="0" fontId="42" fillId="2" borderId="2" xfId="1" applyFont="1" applyFill="1" applyBorder="1" applyAlignment="1" applyProtection="1">
      <alignment horizontal="left" vertical="center" wrapText="1"/>
    </xf>
    <xf numFmtId="0" fontId="42" fillId="2" borderId="3" xfId="1" applyFont="1" applyFill="1" applyBorder="1" applyAlignment="1" applyProtection="1">
      <alignment horizontal="left" vertical="center" wrapText="1"/>
    </xf>
    <xf numFmtId="0" fontId="48" fillId="4" borderId="2" xfId="1" applyFont="1" applyFill="1" applyBorder="1" applyAlignment="1" applyProtection="1">
      <alignment horizontal="left" vertical="center" wrapText="1"/>
    </xf>
    <xf numFmtId="0" fontId="48" fillId="4" borderId="3" xfId="1" applyFont="1" applyFill="1" applyBorder="1" applyAlignment="1" applyProtection="1">
      <alignment horizontal="left" vertical="center" wrapText="1"/>
    </xf>
    <xf numFmtId="0" fontId="48" fillId="4" borderId="10" xfId="1" applyFont="1" applyFill="1" applyBorder="1" applyAlignment="1" applyProtection="1">
      <alignment horizontal="left" vertical="center" wrapText="1"/>
    </xf>
    <xf numFmtId="0" fontId="48" fillId="4" borderId="11" xfId="1" applyFont="1" applyFill="1" applyBorder="1" applyAlignment="1" applyProtection="1">
      <alignment horizontal="left" vertical="center" wrapText="1"/>
    </xf>
    <xf numFmtId="0" fontId="12" fillId="0" borderId="5" xfId="0" applyNumberFormat="1" applyFont="1" applyFill="1" applyBorder="1" applyAlignment="1" applyProtection="1">
      <alignment horizontal="left" vertical="center"/>
    </xf>
    <xf numFmtId="0" fontId="12" fillId="0" borderId="3" xfId="0" applyNumberFormat="1" applyFont="1" applyFill="1" applyBorder="1" applyAlignment="1" applyProtection="1">
      <alignment horizontal="left" vertical="center"/>
    </xf>
    <xf numFmtId="0" fontId="12" fillId="0" borderId="11" xfId="0" applyNumberFormat="1" applyFont="1" applyFill="1" applyBorder="1" applyAlignment="1" applyProtection="1">
      <alignment horizontal="left" vertical="center"/>
    </xf>
    <xf numFmtId="0" fontId="48" fillId="2" borderId="22" xfId="1" applyFont="1" applyFill="1" applyBorder="1" applyAlignment="1" applyProtection="1">
      <alignment horizontal="left" vertical="center" wrapText="1"/>
    </xf>
    <xf numFmtId="0" fontId="48" fillId="2" borderId="16" xfId="1" applyFont="1" applyFill="1" applyBorder="1" applyAlignment="1" applyProtection="1">
      <alignment horizontal="left" vertical="center" wrapText="1"/>
    </xf>
    <xf numFmtId="0" fontId="48" fillId="2" borderId="2" xfId="1" applyFont="1" applyFill="1" applyBorder="1" applyAlignment="1" applyProtection="1">
      <alignment horizontal="left" vertical="center" wrapText="1"/>
    </xf>
    <xf numFmtId="0" fontId="48" fillId="2" borderId="3" xfId="1" applyFont="1" applyFill="1" applyBorder="1" applyAlignment="1" applyProtection="1">
      <alignment horizontal="left" vertical="center" wrapText="1"/>
    </xf>
    <xf numFmtId="0" fontId="31" fillId="2" borderId="2" xfId="1" applyFont="1" applyFill="1" applyBorder="1" applyAlignment="1" applyProtection="1">
      <alignment horizontal="left" vertical="center" wrapText="1"/>
    </xf>
    <xf numFmtId="0" fontId="31" fillId="2" borderId="2" xfId="0" applyFont="1" applyFill="1" applyBorder="1" applyAlignment="1" applyProtection="1">
      <alignment horizontal="center" vertical="center" wrapText="1"/>
    </xf>
    <xf numFmtId="0" fontId="31" fillId="2" borderId="3" xfId="0" applyFont="1" applyFill="1" applyBorder="1" applyAlignment="1" applyProtection="1">
      <alignment horizontal="center" vertical="center" wrapText="1"/>
    </xf>
    <xf numFmtId="0" fontId="54" fillId="3" borderId="70" xfId="1" applyFont="1" applyFill="1" applyBorder="1" applyAlignment="1" applyProtection="1">
      <alignment horizontal="left"/>
    </xf>
    <xf numFmtId="0" fontId="54" fillId="0" borderId="70" xfId="1" applyFont="1" applyBorder="1" applyAlignment="1" applyProtection="1">
      <alignment horizontal="left"/>
    </xf>
    <xf numFmtId="0" fontId="31" fillId="0" borderId="2" xfId="0" applyFont="1" applyFill="1" applyBorder="1" applyAlignment="1" applyProtection="1">
      <alignment horizontal="left" vertical="center" wrapText="1"/>
    </xf>
    <xf numFmtId="0" fontId="31" fillId="0" borderId="3" xfId="0" applyFont="1" applyFill="1" applyBorder="1" applyAlignment="1" applyProtection="1">
      <alignment horizontal="left" vertical="center" wrapText="1"/>
    </xf>
    <xf numFmtId="0" fontId="42" fillId="2" borderId="26" xfId="1" applyFont="1" applyFill="1" applyBorder="1" applyAlignment="1" applyProtection="1">
      <alignment horizontal="center" vertical="center"/>
    </xf>
    <xf numFmtId="0" fontId="42" fillId="2" borderId="18" xfId="1" applyFont="1" applyFill="1" applyBorder="1" applyAlignment="1" applyProtection="1">
      <alignment horizontal="center" vertical="center"/>
    </xf>
    <xf numFmtId="0" fontId="48" fillId="2" borderId="26" xfId="1" applyFont="1" applyFill="1" applyBorder="1" applyAlignment="1" applyProtection="1">
      <alignment horizontal="center" vertical="center" wrapText="1"/>
    </xf>
    <xf numFmtId="0" fontId="48" fillId="2" borderId="18" xfId="1" applyFont="1" applyFill="1" applyBorder="1" applyAlignment="1" applyProtection="1">
      <alignment horizontal="center" vertical="center" wrapText="1"/>
    </xf>
    <xf numFmtId="0" fontId="42" fillId="2" borderId="2" xfId="1" applyFont="1" applyFill="1" applyBorder="1" applyAlignment="1" applyProtection="1">
      <alignment horizontal="left" vertical="center"/>
    </xf>
    <xf numFmtId="0" fontId="42" fillId="2" borderId="3" xfId="1" applyFont="1" applyFill="1" applyBorder="1" applyAlignment="1" applyProtection="1">
      <alignment horizontal="left" vertical="center"/>
    </xf>
    <xf numFmtId="0" fontId="31" fillId="2" borderId="1" xfId="0" applyFont="1" applyFill="1" applyBorder="1" applyAlignment="1" applyProtection="1">
      <alignment horizontal="left" vertical="center" wrapText="1"/>
    </xf>
    <xf numFmtId="0" fontId="31" fillId="2" borderId="5" xfId="0" applyFont="1" applyFill="1" applyBorder="1" applyAlignment="1" applyProtection="1">
      <alignment horizontal="left" vertical="center" wrapText="1"/>
    </xf>
    <xf numFmtId="0" fontId="48" fillId="0" borderId="2" xfId="1" applyFont="1" applyBorder="1" applyAlignment="1" applyProtection="1">
      <alignment horizontal="center" vertical="center"/>
    </xf>
    <xf numFmtId="0" fontId="48" fillId="2" borderId="1" xfId="1" applyFont="1" applyFill="1" applyBorder="1" applyAlignment="1" applyProtection="1">
      <alignment horizontal="left" vertical="center" wrapText="1"/>
    </xf>
    <xf numFmtId="0" fontId="48" fillId="2" borderId="5" xfId="1" applyFont="1" applyFill="1" applyBorder="1" applyAlignment="1" applyProtection="1">
      <alignment horizontal="left" vertical="center" wrapText="1"/>
    </xf>
    <xf numFmtId="0" fontId="48" fillId="0" borderId="2" xfId="1" applyFont="1" applyBorder="1" applyAlignment="1" applyProtection="1">
      <alignment horizontal="left" vertical="center" wrapText="1"/>
    </xf>
    <xf numFmtId="0" fontId="48" fillId="0" borderId="3" xfId="1" applyFont="1" applyBorder="1" applyAlignment="1" applyProtection="1">
      <alignment horizontal="left" vertical="center" wrapText="1"/>
    </xf>
    <xf numFmtId="0" fontId="31" fillId="0" borderId="2" xfId="1" applyFont="1" applyBorder="1" applyAlignment="1" applyProtection="1">
      <alignment horizontal="left" vertical="center" wrapText="1"/>
    </xf>
    <xf numFmtId="0" fontId="31" fillId="0" borderId="3" xfId="1" applyFont="1" applyBorder="1" applyAlignment="1" applyProtection="1">
      <alignment horizontal="left" vertical="center" wrapText="1"/>
    </xf>
    <xf numFmtId="0" fontId="48" fillId="2" borderId="1" xfId="1" applyFont="1" applyFill="1" applyBorder="1" applyAlignment="1" applyProtection="1">
      <alignment horizontal="left" vertical="center"/>
    </xf>
    <xf numFmtId="0" fontId="48" fillId="2" borderId="5" xfId="1" applyFont="1" applyFill="1" applyBorder="1" applyAlignment="1" applyProtection="1">
      <alignment horizontal="left" vertical="center"/>
    </xf>
    <xf numFmtId="0" fontId="31" fillId="0" borderId="10" xfId="0" applyFont="1" applyFill="1" applyBorder="1" applyAlignment="1" applyProtection="1">
      <alignment horizontal="left" vertical="center" wrapText="1"/>
    </xf>
    <xf numFmtId="0" fontId="31" fillId="0" borderId="11" xfId="0" applyFont="1" applyFill="1" applyBorder="1" applyAlignment="1" applyProtection="1">
      <alignment horizontal="left" vertical="center" wrapText="1"/>
    </xf>
    <xf numFmtId="0" fontId="61" fillId="5" borderId="13" xfId="1" applyFont="1" applyFill="1" applyBorder="1" applyAlignment="1" applyProtection="1">
      <alignment horizontal="center" vertical="center"/>
    </xf>
    <xf numFmtId="0" fontId="61" fillId="5" borderId="19" xfId="1" applyFont="1" applyFill="1" applyBorder="1" applyAlignment="1" applyProtection="1">
      <alignment horizontal="center" vertical="center"/>
    </xf>
    <xf numFmtId="0" fontId="61" fillId="5" borderId="6" xfId="1" applyFont="1" applyFill="1" applyBorder="1" applyAlignment="1" applyProtection="1">
      <alignment horizontal="center" vertical="center"/>
    </xf>
    <xf numFmtId="0" fontId="61" fillId="0" borderId="37" xfId="1" applyFont="1" applyBorder="1" applyAlignment="1" applyProtection="1">
      <alignment horizontal="center"/>
    </xf>
    <xf numFmtId="0" fontId="61" fillId="0" borderId="26" xfId="1" applyFont="1" applyBorder="1" applyAlignment="1" applyProtection="1">
      <alignment horizontal="center"/>
    </xf>
    <xf numFmtId="0" fontId="61" fillId="0" borderId="27" xfId="1" applyFont="1" applyBorder="1" applyAlignment="1" applyProtection="1">
      <alignment horizontal="center"/>
    </xf>
    <xf numFmtId="0" fontId="48" fillId="2" borderId="2" xfId="1" applyFont="1" applyFill="1" applyBorder="1" applyAlignment="1" applyProtection="1">
      <alignment horizontal="left" vertical="center"/>
    </xf>
    <xf numFmtId="0" fontId="48" fillId="2" borderId="3" xfId="1" applyFont="1" applyFill="1" applyBorder="1" applyAlignment="1" applyProtection="1">
      <alignment horizontal="left" vertical="center"/>
    </xf>
    <xf numFmtId="0" fontId="48" fillId="4" borderId="1" xfId="1" applyFont="1" applyFill="1" applyBorder="1" applyAlignment="1" applyProtection="1">
      <alignment horizontal="left" vertical="center" wrapText="1"/>
    </xf>
    <xf numFmtId="0" fontId="48" fillId="4" borderId="45" xfId="1" applyFont="1" applyFill="1" applyBorder="1" applyAlignment="1" applyProtection="1">
      <alignment horizontal="left" vertical="center" wrapText="1"/>
    </xf>
    <xf numFmtId="1" fontId="31" fillId="2" borderId="2" xfId="0" applyNumberFormat="1" applyFont="1" applyFill="1" applyBorder="1" applyAlignment="1" applyProtection="1">
      <alignment horizontal="left" vertical="center" wrapText="1"/>
    </xf>
    <xf numFmtId="1" fontId="31" fillId="2" borderId="3" xfId="0" applyNumberFormat="1" applyFont="1" applyFill="1" applyBorder="1" applyAlignment="1" applyProtection="1">
      <alignment horizontal="left" vertical="center" wrapText="1"/>
    </xf>
    <xf numFmtId="0" fontId="48" fillId="4" borderId="22" xfId="1" applyFont="1" applyFill="1" applyBorder="1" applyAlignment="1" applyProtection="1">
      <alignment horizontal="left" vertical="center" wrapText="1"/>
    </xf>
    <xf numFmtId="0" fontId="48" fillId="4" borderId="16" xfId="1" applyFont="1" applyFill="1" applyBorder="1" applyAlignment="1" applyProtection="1">
      <alignment horizontal="left" vertical="center" wrapText="1"/>
    </xf>
    <xf numFmtId="0" fontId="31" fillId="2" borderId="42" xfId="0" applyFont="1" applyFill="1" applyBorder="1" applyAlignment="1" applyProtection="1">
      <alignment horizontal="left" vertical="center" wrapText="1"/>
    </xf>
    <xf numFmtId="0" fontId="31" fillId="2" borderId="28" xfId="0" applyFont="1" applyFill="1" applyBorder="1" applyAlignment="1" applyProtection="1">
      <alignment horizontal="left" vertical="center" wrapText="1"/>
    </xf>
    <xf numFmtId="0" fontId="48" fillId="2" borderId="10" xfId="1" applyFont="1" applyFill="1" applyBorder="1" applyAlignment="1" applyProtection="1">
      <alignment horizontal="left" vertical="center"/>
    </xf>
    <xf numFmtId="0" fontId="48" fillId="2" borderId="11" xfId="1" applyFont="1" applyFill="1" applyBorder="1" applyAlignment="1" applyProtection="1">
      <alignment horizontal="left" vertical="center"/>
    </xf>
    <xf numFmtId="0" fontId="48" fillId="2" borderId="2" xfId="1" applyNumberFormat="1" applyFont="1" applyFill="1" applyBorder="1" applyAlignment="1" applyProtection="1">
      <alignment horizontal="left" vertical="center"/>
    </xf>
    <xf numFmtId="0" fontId="48" fillId="2" borderId="3" xfId="1" applyNumberFormat="1" applyFont="1" applyFill="1" applyBorder="1" applyAlignment="1" applyProtection="1">
      <alignment horizontal="left" vertical="center"/>
    </xf>
    <xf numFmtId="0" fontId="48" fillId="0" borderId="2" xfId="1" applyFont="1" applyFill="1" applyBorder="1" applyAlignment="1" applyProtection="1">
      <alignment horizontal="left" vertical="center" wrapText="1"/>
    </xf>
    <xf numFmtId="0" fontId="48" fillId="0" borderId="3" xfId="1" applyFont="1" applyFill="1" applyBorder="1" applyAlignment="1" applyProtection="1">
      <alignment horizontal="left" vertical="center" wrapText="1"/>
    </xf>
    <xf numFmtId="0" fontId="48" fillId="0" borderId="10" xfId="1" applyFont="1" applyBorder="1" applyAlignment="1" applyProtection="1">
      <alignment horizontal="left" vertical="center" wrapText="1"/>
    </xf>
    <xf numFmtId="0" fontId="48" fillId="0" borderId="11" xfId="1" applyFont="1" applyBorder="1" applyAlignment="1" applyProtection="1">
      <alignment horizontal="left" vertical="center" wrapText="1"/>
    </xf>
    <xf numFmtId="0" fontId="61" fillId="5" borderId="37" xfId="1" applyFont="1" applyFill="1" applyBorder="1" applyAlignment="1" applyProtection="1">
      <alignment horizontal="center"/>
    </xf>
    <xf numFmtId="0" fontId="61" fillId="5" borderId="26" xfId="1" applyFont="1" applyFill="1" applyBorder="1" applyAlignment="1" applyProtection="1">
      <alignment horizontal="center"/>
    </xf>
    <xf numFmtId="0" fontId="61" fillId="5" borderId="27" xfId="1" applyFont="1" applyFill="1" applyBorder="1" applyAlignment="1" applyProtection="1">
      <alignment horizontal="center"/>
    </xf>
    <xf numFmtId="0" fontId="62" fillId="5" borderId="68" xfId="0" applyFont="1" applyFill="1" applyBorder="1" applyAlignment="1" applyProtection="1">
      <alignment horizontal="center"/>
    </xf>
    <xf numFmtId="0" fontId="62" fillId="5" borderId="26" xfId="0" applyFont="1" applyFill="1" applyBorder="1" applyAlignment="1" applyProtection="1">
      <alignment horizontal="center"/>
    </xf>
    <xf numFmtId="0" fontId="62" fillId="5" borderId="27" xfId="0" applyFont="1" applyFill="1" applyBorder="1" applyAlignment="1" applyProtection="1">
      <alignment horizontal="center"/>
    </xf>
    <xf numFmtId="0" fontId="61" fillId="5" borderId="13" xfId="1" applyFont="1" applyFill="1" applyBorder="1" applyAlignment="1" applyProtection="1">
      <alignment horizontal="center"/>
    </xf>
    <xf numFmtId="0" fontId="0" fillId="5" borderId="19" xfId="0" applyFill="1" applyBorder="1" applyProtection="1"/>
    <xf numFmtId="0" fontId="0" fillId="5" borderId="6" xfId="0" applyFill="1" applyBorder="1" applyProtection="1"/>
    <xf numFmtId="0" fontId="61" fillId="5" borderId="37" xfId="1" applyFont="1" applyFill="1" applyBorder="1" applyAlignment="1" applyProtection="1">
      <alignment horizontal="center" vertical="center"/>
    </xf>
    <xf numFmtId="0" fontId="61" fillId="5" borderId="26" xfId="1" applyFont="1" applyFill="1" applyBorder="1" applyAlignment="1" applyProtection="1">
      <alignment horizontal="center" vertical="center"/>
    </xf>
    <xf numFmtId="0" fontId="61" fillId="5" borderId="27" xfId="1" applyFont="1" applyFill="1" applyBorder="1" applyAlignment="1" applyProtection="1">
      <alignment horizontal="center" vertical="center"/>
    </xf>
    <xf numFmtId="21" fontId="61" fillId="5" borderId="37" xfId="1" applyNumberFormat="1" applyFont="1" applyFill="1" applyBorder="1" applyAlignment="1" applyProtection="1">
      <alignment horizontal="center" vertical="center"/>
    </xf>
    <xf numFmtId="21" fontId="61" fillId="5" borderId="26" xfId="1" applyNumberFormat="1" applyFont="1" applyFill="1" applyBorder="1" applyAlignment="1" applyProtection="1">
      <alignment horizontal="center" vertical="center"/>
    </xf>
    <xf numFmtId="21" fontId="61" fillId="5" borderId="67" xfId="1" applyNumberFormat="1" applyFont="1" applyFill="1" applyBorder="1" applyAlignment="1" applyProtection="1">
      <alignment horizontal="center" vertical="center"/>
    </xf>
    <xf numFmtId="0" fontId="23" fillId="0" borderId="27" xfId="1" applyFont="1" applyBorder="1" applyAlignment="1" applyProtection="1">
      <alignment horizontal="center"/>
    </xf>
    <xf numFmtId="0" fontId="23" fillId="0" borderId="50" xfId="1" applyFont="1" applyBorder="1" applyAlignment="1" applyProtection="1">
      <alignment horizontal="center"/>
    </xf>
    <xf numFmtId="0" fontId="23" fillId="0" borderId="21" xfId="1" applyFont="1" applyBorder="1" applyAlignment="1" applyProtection="1">
      <alignment horizontal="center"/>
    </xf>
    <xf numFmtId="0" fontId="48" fillId="2" borderId="27" xfId="1" applyFont="1" applyFill="1" applyBorder="1" applyAlignment="1" applyProtection="1">
      <alignment horizontal="center" vertical="center"/>
    </xf>
    <xf numFmtId="0" fontId="48" fillId="2" borderId="21" xfId="1" applyFont="1" applyFill="1" applyBorder="1" applyAlignment="1" applyProtection="1">
      <alignment horizontal="center" vertical="center"/>
    </xf>
    <xf numFmtId="0" fontId="59" fillId="2" borderId="0" xfId="0" applyFont="1" applyFill="1" applyAlignment="1" applyProtection="1">
      <alignment horizontal="left" vertical="center"/>
    </xf>
    <xf numFmtId="0" fontId="61" fillId="0" borderId="43" xfId="1" applyFont="1" applyBorder="1" applyAlignment="1" applyProtection="1">
      <alignment horizontal="left" vertical="center" wrapText="1"/>
    </xf>
    <xf numFmtId="0" fontId="61" fillId="0" borderId="41" xfId="1" applyFont="1" applyBorder="1" applyAlignment="1" applyProtection="1">
      <alignment horizontal="left" vertical="center" wrapText="1"/>
    </xf>
    <xf numFmtId="0" fontId="48" fillId="0" borderId="1" xfId="1" applyFont="1" applyFill="1" applyBorder="1" applyAlignment="1" applyProtection="1">
      <alignment horizontal="left" vertical="center" wrapText="1"/>
    </xf>
    <xf numFmtId="0" fontId="48" fillId="0" borderId="5" xfId="1" applyFont="1" applyFill="1" applyBorder="1" applyAlignment="1" applyProtection="1">
      <alignment horizontal="left" vertical="center" wrapText="1"/>
    </xf>
    <xf numFmtId="0" fontId="48" fillId="0" borderId="22" xfId="1" applyFont="1" applyBorder="1" applyAlignment="1" applyProtection="1">
      <alignment horizontal="left" vertical="center" wrapText="1"/>
    </xf>
    <xf numFmtId="0" fontId="48" fillId="0" borderId="49" xfId="1" applyFont="1" applyBorder="1" applyAlignment="1" applyProtection="1">
      <alignment horizontal="left" vertical="center" wrapText="1"/>
    </xf>
    <xf numFmtId="0" fontId="23" fillId="0" borderId="18" xfId="1" applyFont="1" applyBorder="1" applyProtection="1"/>
    <xf numFmtId="0" fontId="23" fillId="0" borderId="36" xfId="1" applyFont="1" applyBorder="1" applyProtection="1"/>
    <xf numFmtId="0" fontId="12" fillId="2" borderId="3" xfId="0" applyFont="1" applyFill="1" applyBorder="1" applyProtection="1"/>
    <xf numFmtId="0" fontId="12" fillId="2" borderId="28" xfId="0" applyFont="1" applyFill="1" applyBorder="1" applyProtection="1"/>
    <xf numFmtId="0" fontId="12" fillId="0" borderId="3" xfId="0" applyFont="1" applyBorder="1" applyAlignment="1" applyProtection="1">
      <alignment vertical="center"/>
    </xf>
    <xf numFmtId="0" fontId="12" fillId="0" borderId="28" xfId="0" applyFont="1" applyBorder="1" applyAlignment="1" applyProtection="1">
      <alignment vertical="center"/>
    </xf>
    <xf numFmtId="0" fontId="12" fillId="0" borderId="3" xfId="0" applyFont="1" applyBorder="1" applyAlignment="1" applyProtection="1">
      <alignment horizontal="left" vertical="center" wrapText="1"/>
    </xf>
    <xf numFmtId="0" fontId="12" fillId="0" borderId="28" xfId="0" applyFont="1" applyBorder="1" applyAlignment="1" applyProtection="1">
      <alignment horizontal="left" vertical="center" wrapText="1"/>
    </xf>
    <xf numFmtId="0" fontId="12" fillId="0" borderId="3" xfId="0" applyFont="1" applyBorder="1" applyAlignment="1" applyProtection="1">
      <alignment horizontal="left" vertical="center"/>
    </xf>
    <xf numFmtId="0" fontId="12" fillId="0" borderId="28" xfId="0" applyFont="1" applyBorder="1" applyAlignment="1" applyProtection="1">
      <alignment horizontal="left" vertical="center"/>
    </xf>
    <xf numFmtId="0" fontId="23" fillId="2" borderId="3" xfId="1" applyFont="1" applyFill="1" applyBorder="1" applyProtection="1"/>
    <xf numFmtId="0" fontId="23" fillId="2" borderId="28" xfId="1" applyFont="1" applyFill="1" applyBorder="1" applyProtection="1"/>
    <xf numFmtId="167" fontId="0" fillId="0" borderId="29" xfId="0" applyNumberFormat="1" applyBorder="1" applyProtection="1"/>
    <xf numFmtId="167" fontId="0" fillId="0" borderId="52" xfId="0" applyNumberFormat="1" applyBorder="1" applyProtection="1"/>
    <xf numFmtId="0" fontId="23" fillId="0" borderId="3" xfId="1" applyFont="1" applyBorder="1" applyAlignment="1" applyProtection="1">
      <alignment wrapText="1"/>
    </xf>
    <xf numFmtId="0" fontId="23" fillId="0" borderId="28" xfId="1" applyFont="1" applyBorder="1" applyAlignment="1" applyProtection="1">
      <alignment wrapText="1"/>
    </xf>
    <xf numFmtId="0" fontId="23" fillId="2" borderId="1" xfId="1" applyFont="1" applyFill="1" applyBorder="1" applyAlignment="1" applyProtection="1">
      <alignment wrapText="1"/>
    </xf>
    <xf numFmtId="0" fontId="23" fillId="2" borderId="2" xfId="1" applyFont="1" applyFill="1" applyBorder="1" applyAlignment="1" applyProtection="1">
      <alignment wrapText="1"/>
    </xf>
    <xf numFmtId="0" fontId="23" fillId="0" borderId="5" xfId="1" applyFont="1" applyFill="1" applyBorder="1" applyAlignment="1" applyProtection="1"/>
    <xf numFmtId="0" fontId="23" fillId="0" borderId="3" xfId="1" applyFont="1" applyFill="1" applyBorder="1" applyAlignment="1" applyProtection="1"/>
    <xf numFmtId="0" fontId="23" fillId="2" borderId="5" xfId="1" applyFont="1" applyFill="1" applyBorder="1" applyAlignment="1" applyProtection="1"/>
    <xf numFmtId="0" fontId="23" fillId="2" borderId="3" xfId="1" applyFont="1" applyFill="1" applyBorder="1" applyAlignment="1" applyProtection="1"/>
    <xf numFmtId="0" fontId="12" fillId="2" borderId="5" xfId="0" applyFont="1" applyFill="1" applyBorder="1" applyProtection="1"/>
    <xf numFmtId="0" fontId="12" fillId="0" borderId="7" xfId="0" applyFont="1" applyFill="1" applyBorder="1" applyProtection="1"/>
    <xf numFmtId="0" fontId="12" fillId="0" borderId="8" xfId="0" applyFont="1" applyFill="1" applyBorder="1" applyProtection="1"/>
    <xf numFmtId="0" fontId="48" fillId="0" borderId="26" xfId="1" applyFont="1" applyFill="1" applyBorder="1" applyAlignment="1" applyProtection="1">
      <alignment horizontal="center" vertical="center"/>
    </xf>
    <xf numFmtId="0" fontId="48" fillId="0" borderId="18" xfId="1" applyFont="1" applyFill="1" applyBorder="1" applyAlignment="1" applyProtection="1">
      <alignment horizontal="center" vertical="center"/>
    </xf>
    <xf numFmtId="0" fontId="46" fillId="2" borderId="1" xfId="1" applyFont="1" applyFill="1" applyBorder="1" applyAlignment="1" applyProtection="1">
      <alignment horizontal="left" vertical="center" wrapText="1"/>
    </xf>
    <xf numFmtId="0" fontId="46" fillId="2" borderId="5" xfId="1" applyFont="1" applyFill="1" applyBorder="1" applyAlignment="1" applyProtection="1">
      <alignment horizontal="left" vertical="center" wrapText="1"/>
    </xf>
    <xf numFmtId="0" fontId="48" fillId="0" borderId="27" xfId="1" applyFont="1" applyFill="1" applyBorder="1" applyAlignment="1" applyProtection="1">
      <alignment horizontal="center" vertical="center"/>
    </xf>
    <xf numFmtId="0" fontId="48" fillId="0" borderId="21" xfId="1" applyFont="1" applyFill="1" applyBorder="1" applyAlignment="1" applyProtection="1">
      <alignment horizontal="center" vertical="center"/>
    </xf>
    <xf numFmtId="0" fontId="23" fillId="2" borderId="3" xfId="1" applyFont="1" applyFill="1" applyBorder="1" applyAlignment="1" applyProtection="1">
      <alignment horizontal="left" vertical="center"/>
    </xf>
    <xf numFmtId="0" fontId="23" fillId="2" borderId="28" xfId="1" applyFont="1" applyFill="1" applyBorder="1" applyAlignment="1" applyProtection="1">
      <alignment horizontal="left" vertical="center"/>
    </xf>
    <xf numFmtId="0" fontId="12" fillId="2" borderId="3" xfId="0" applyFont="1" applyFill="1" applyBorder="1" applyAlignment="1" applyProtection="1">
      <alignment vertical="center"/>
    </xf>
    <xf numFmtId="0" fontId="12" fillId="2" borderId="28" xfId="0" applyFont="1" applyFill="1" applyBorder="1" applyAlignment="1" applyProtection="1">
      <alignment vertical="center"/>
    </xf>
    <xf numFmtId="0" fontId="61" fillId="5" borderId="67" xfId="1" applyFont="1" applyFill="1" applyBorder="1" applyAlignment="1" applyProtection="1">
      <alignment horizontal="center"/>
    </xf>
    <xf numFmtId="0" fontId="48" fillId="0" borderId="42" xfId="1" applyFont="1" applyFill="1" applyBorder="1" applyAlignment="1" applyProtection="1">
      <alignment horizontal="left" vertical="center" wrapText="1"/>
    </xf>
    <xf numFmtId="0" fontId="48" fillId="0" borderId="28" xfId="1" applyFont="1" applyFill="1" applyBorder="1" applyAlignment="1" applyProtection="1">
      <alignment horizontal="left" vertical="center" wrapText="1"/>
    </xf>
    <xf numFmtId="167" fontId="23" fillId="0" borderId="7" xfId="1" applyNumberFormat="1" applyFont="1" applyBorder="1" applyAlignment="1" applyProtection="1">
      <alignment horizontal="left" vertical="center"/>
    </xf>
    <xf numFmtId="167" fontId="23" fillId="0" borderId="8" xfId="1" applyNumberFormat="1" applyFont="1" applyBorder="1" applyAlignment="1" applyProtection="1">
      <alignment horizontal="left" vertical="center"/>
    </xf>
    <xf numFmtId="167" fontId="23" fillId="0" borderId="12" xfId="1" applyNumberFormat="1" applyFont="1" applyBorder="1" applyAlignment="1" applyProtection="1">
      <alignment horizontal="left" vertical="center"/>
    </xf>
    <xf numFmtId="0" fontId="23" fillId="3" borderId="73" xfId="1" applyFont="1" applyFill="1" applyBorder="1" applyAlignment="1" applyProtection="1">
      <alignment horizontal="center" vertical="center"/>
    </xf>
    <xf numFmtId="0" fontId="23" fillId="3" borderId="76" xfId="1" applyFont="1" applyFill="1" applyBorder="1" applyAlignment="1" applyProtection="1">
      <alignment horizontal="center" vertical="center"/>
    </xf>
    <xf numFmtId="0" fontId="70" fillId="0" borderId="9" xfId="1" applyFont="1" applyBorder="1" applyAlignment="1" applyProtection="1">
      <alignment horizontal="center"/>
    </xf>
    <xf numFmtId="0" fontId="70" fillId="0" borderId="59" xfId="1" applyFont="1" applyBorder="1" applyAlignment="1" applyProtection="1">
      <alignment horizontal="center"/>
    </xf>
    <xf numFmtId="0" fontId="70" fillId="0" borderId="30" xfId="1" applyFont="1" applyBorder="1" applyAlignment="1" applyProtection="1">
      <alignment horizontal="center"/>
    </xf>
    <xf numFmtId="0" fontId="69" fillId="3" borderId="13" xfId="1" applyFont="1" applyFill="1" applyBorder="1" applyProtection="1"/>
    <xf numFmtId="0" fontId="69" fillId="3" borderId="19" xfId="1" applyFont="1" applyFill="1" applyBorder="1" applyProtection="1"/>
    <xf numFmtId="0" fontId="69" fillId="3" borderId="6" xfId="1" applyFont="1" applyFill="1" applyBorder="1" applyProtection="1"/>
    <xf numFmtId="0" fontId="69" fillId="3" borderId="20" xfId="1" applyFont="1" applyFill="1" applyBorder="1" applyAlignment="1" applyProtection="1">
      <alignment horizontal="left" vertical="center"/>
    </xf>
    <xf numFmtId="0" fontId="69" fillId="3" borderId="0" xfId="1" applyFont="1" applyFill="1" applyBorder="1" applyAlignment="1" applyProtection="1">
      <alignment horizontal="left" vertical="center"/>
    </xf>
    <xf numFmtId="0" fontId="69" fillId="3" borderId="25" xfId="1" applyFont="1" applyFill="1" applyBorder="1" applyAlignment="1" applyProtection="1">
      <alignment horizontal="left" vertical="center"/>
    </xf>
    <xf numFmtId="0" fontId="69" fillId="3" borderId="14" xfId="1" applyFont="1" applyFill="1" applyBorder="1" applyAlignment="1" applyProtection="1">
      <alignment horizontal="left" vertical="center"/>
    </xf>
    <xf numFmtId="0" fontId="69" fillId="3" borderId="24" xfId="1" applyFont="1" applyFill="1" applyBorder="1" applyAlignment="1" applyProtection="1">
      <alignment horizontal="left" vertical="center"/>
    </xf>
    <xf numFmtId="0" fontId="69" fillId="3" borderId="15" xfId="1" applyFont="1" applyFill="1" applyBorder="1" applyAlignment="1" applyProtection="1">
      <alignment horizontal="left" vertical="center"/>
    </xf>
    <xf numFmtId="167" fontId="0" fillId="0" borderId="38" xfId="0" applyNumberFormat="1" applyBorder="1" applyProtection="1"/>
    <xf numFmtId="167" fontId="0" fillId="0" borderId="53" xfId="0" applyNumberFormat="1" applyBorder="1" applyProtection="1"/>
    <xf numFmtId="0" fontId="23" fillId="0" borderId="1" xfId="1" applyFont="1" applyFill="1" applyBorder="1" applyProtection="1"/>
    <xf numFmtId="0" fontId="23" fillId="0" borderId="2" xfId="1" applyFont="1" applyFill="1" applyBorder="1" applyProtection="1"/>
    <xf numFmtId="0" fontId="23" fillId="0" borderId="3" xfId="1" applyFont="1" applyBorder="1" applyAlignment="1" applyProtection="1">
      <alignment vertical="center" wrapText="1"/>
    </xf>
    <xf numFmtId="0" fontId="23" fillId="0" borderId="28" xfId="1" applyFont="1" applyBorder="1" applyAlignment="1" applyProtection="1">
      <alignment vertical="center" wrapText="1"/>
    </xf>
    <xf numFmtId="0" fontId="61" fillId="5" borderId="19" xfId="1" applyFont="1" applyFill="1" applyBorder="1" applyAlignment="1" applyProtection="1">
      <alignment horizontal="center"/>
    </xf>
    <xf numFmtId="0" fontId="72" fillId="0" borderId="9" xfId="1" applyFont="1" applyBorder="1" applyAlignment="1" applyProtection="1">
      <alignment horizontal="left" vertical="center"/>
    </xf>
    <xf numFmtId="0" fontId="72" fillId="0" borderId="59" xfId="1" applyFont="1" applyBorder="1" applyAlignment="1" applyProtection="1">
      <alignment horizontal="left" vertical="center"/>
    </xf>
    <xf numFmtId="0" fontId="72" fillId="0" borderId="30" xfId="1" applyFont="1" applyBorder="1" applyAlignment="1" applyProtection="1">
      <alignment horizontal="left" vertical="center"/>
    </xf>
    <xf numFmtId="0" fontId="23" fillId="2" borderId="5" xfId="1" applyFont="1" applyFill="1" applyBorder="1" applyProtection="1"/>
    <xf numFmtId="0" fontId="23" fillId="2" borderId="5" xfId="1" applyFont="1" applyFill="1" applyBorder="1" applyAlignment="1" applyProtection="1">
      <alignment wrapText="1"/>
    </xf>
    <xf numFmtId="0" fontId="23" fillId="2" borderId="3" xfId="1" applyFont="1" applyFill="1" applyBorder="1" applyAlignment="1" applyProtection="1">
      <alignment wrapText="1"/>
    </xf>
    <xf numFmtId="0" fontId="23" fillId="0" borderId="3" xfId="1" applyFont="1" applyBorder="1" applyProtection="1"/>
    <xf numFmtId="0" fontId="23" fillId="0" borderId="28" xfId="1" applyFont="1" applyBorder="1" applyProtection="1"/>
    <xf numFmtId="0" fontId="23" fillId="0" borderId="5" xfId="1" applyFont="1" applyBorder="1" applyAlignment="1" applyProtection="1">
      <alignment horizontal="left" vertical="center"/>
    </xf>
    <xf numFmtId="0" fontId="23" fillId="0" borderId="3" xfId="1" applyFont="1" applyBorder="1" applyAlignment="1" applyProtection="1">
      <alignment horizontal="left" vertical="center"/>
    </xf>
    <xf numFmtId="0" fontId="23" fillId="0" borderId="11" xfId="1" applyFont="1" applyBorder="1" applyAlignment="1" applyProtection="1">
      <alignment horizontal="left" vertical="center"/>
    </xf>
    <xf numFmtId="167" fontId="23" fillId="0" borderId="5" xfId="1" applyNumberFormat="1" applyFont="1" applyFill="1" applyBorder="1" applyAlignment="1" applyProtection="1">
      <alignment horizontal="left" vertical="center"/>
    </xf>
    <xf numFmtId="167" fontId="23" fillId="0" borderId="3" xfId="1" applyNumberFormat="1" applyFont="1" applyFill="1" applyBorder="1" applyAlignment="1" applyProtection="1">
      <alignment horizontal="left" vertical="center"/>
    </xf>
    <xf numFmtId="167" fontId="23" fillId="0" borderId="11" xfId="1" applyNumberFormat="1" applyFont="1" applyFill="1" applyBorder="1" applyAlignment="1" applyProtection="1">
      <alignment horizontal="left" vertical="center"/>
    </xf>
    <xf numFmtId="0" fontId="13" fillId="0" borderId="5" xfId="0" applyFont="1" applyFill="1" applyBorder="1" applyAlignment="1" applyProtection="1">
      <alignment horizontal="left"/>
    </xf>
    <xf numFmtId="0" fontId="13" fillId="0" borderId="3" xfId="0" applyFont="1" applyFill="1" applyBorder="1" applyAlignment="1" applyProtection="1">
      <alignment horizontal="left"/>
    </xf>
    <xf numFmtId="0" fontId="23" fillId="6" borderId="1" xfId="1" applyFont="1" applyFill="1" applyBorder="1" applyAlignment="1" applyProtection="1">
      <alignment horizontal="center" vertical="center"/>
    </xf>
    <xf numFmtId="0" fontId="23" fillId="6" borderId="2" xfId="1" applyFont="1" applyFill="1" applyBorder="1" applyAlignment="1" applyProtection="1">
      <alignment horizontal="center" vertical="center"/>
    </xf>
    <xf numFmtId="0" fontId="13" fillId="2" borderId="20" xfId="0" applyFont="1" applyFill="1" applyBorder="1" applyAlignment="1" applyProtection="1">
      <alignment horizontal="left" vertical="center"/>
    </xf>
    <xf numFmtId="0" fontId="13" fillId="2" borderId="0" xfId="0" applyFont="1" applyFill="1" applyBorder="1" applyAlignment="1" applyProtection="1">
      <alignment horizontal="left" vertical="center"/>
    </xf>
    <xf numFmtId="0" fontId="13" fillId="2" borderId="57" xfId="0" applyFont="1" applyFill="1" applyBorder="1" applyAlignment="1" applyProtection="1">
      <alignment horizontal="left" vertical="center"/>
    </xf>
    <xf numFmtId="0" fontId="13" fillId="2" borderId="51" xfId="0" applyFont="1" applyFill="1" applyBorder="1" applyAlignment="1" applyProtection="1">
      <alignment horizontal="left" vertical="center"/>
    </xf>
    <xf numFmtId="0" fontId="13" fillId="2" borderId="7" xfId="0" applyFont="1" applyFill="1" applyBorder="1" applyAlignment="1" applyProtection="1">
      <alignment horizontal="left" vertical="center"/>
    </xf>
    <xf numFmtId="0" fontId="13" fillId="2" borderId="8" xfId="0" applyFont="1" applyFill="1" applyBorder="1" applyAlignment="1" applyProtection="1">
      <alignment horizontal="left" vertical="center"/>
    </xf>
    <xf numFmtId="0" fontId="56" fillId="6" borderId="78" xfId="1" applyFont="1" applyFill="1" applyBorder="1" applyAlignment="1" applyProtection="1">
      <alignment horizontal="left"/>
    </xf>
    <xf numFmtId="0" fontId="56" fillId="6" borderId="70" xfId="1" applyFont="1" applyFill="1" applyBorder="1" applyAlignment="1" applyProtection="1">
      <alignment horizontal="left"/>
    </xf>
    <xf numFmtId="0" fontId="61" fillId="6" borderId="1" xfId="1" applyFont="1" applyFill="1" applyBorder="1" applyAlignment="1" applyProtection="1">
      <alignment horizontal="left" vertical="center" wrapText="1"/>
    </xf>
    <xf numFmtId="0" fontId="61" fillId="6" borderId="5" xfId="1" applyFont="1" applyFill="1" applyBorder="1" applyAlignment="1" applyProtection="1">
      <alignment horizontal="left" vertical="center" wrapText="1"/>
    </xf>
    <xf numFmtId="0" fontId="48" fillId="6" borderId="2" xfId="1" applyFont="1" applyFill="1" applyBorder="1" applyAlignment="1" applyProtection="1">
      <alignment horizontal="left" vertical="center" wrapText="1"/>
    </xf>
    <xf numFmtId="0" fontId="48" fillId="6" borderId="3" xfId="1" applyFont="1" applyFill="1" applyBorder="1" applyAlignment="1" applyProtection="1">
      <alignment horizontal="left" vertical="center" wrapText="1"/>
    </xf>
    <xf numFmtId="0" fontId="48" fillId="6" borderId="10" xfId="1" applyFont="1" applyFill="1" applyBorder="1" applyAlignment="1" applyProtection="1">
      <alignment horizontal="center" vertical="center" wrapText="1"/>
    </xf>
    <xf numFmtId="0" fontId="48" fillId="6" borderId="11" xfId="1" applyFont="1" applyFill="1" applyBorder="1" applyAlignment="1" applyProtection="1">
      <alignment horizontal="center" vertical="center" wrapText="1"/>
    </xf>
    <xf numFmtId="0" fontId="13" fillId="2" borderId="5" xfId="0" applyFont="1" applyFill="1" applyBorder="1" applyAlignment="1" applyProtection="1">
      <alignment horizontal="left" vertical="center" wrapText="1"/>
    </xf>
    <xf numFmtId="0" fontId="13" fillId="2" borderId="3" xfId="0" applyFont="1" applyFill="1" applyBorder="1" applyAlignment="1" applyProtection="1">
      <alignment horizontal="left" vertical="center" wrapText="1"/>
    </xf>
    <xf numFmtId="0" fontId="13" fillId="0" borderId="5" xfId="0" applyFont="1" applyFill="1" applyBorder="1" applyAlignment="1" applyProtection="1">
      <alignment horizontal="left" wrapText="1"/>
    </xf>
    <xf numFmtId="0" fontId="13" fillId="0" borderId="3" xfId="0" applyFont="1" applyFill="1" applyBorder="1" applyAlignment="1" applyProtection="1">
      <alignment horizontal="left" wrapText="1"/>
    </xf>
    <xf numFmtId="0" fontId="13" fillId="2" borderId="45" xfId="0" applyFont="1" applyFill="1" applyBorder="1" applyAlignment="1" applyProtection="1">
      <alignment horizontal="left" vertical="center"/>
    </xf>
    <xf numFmtId="0" fontId="13" fillId="2" borderId="39" xfId="0" applyFont="1" applyFill="1" applyBorder="1" applyAlignment="1" applyProtection="1">
      <alignment horizontal="left" vertical="center"/>
    </xf>
    <xf numFmtId="0" fontId="13" fillId="2" borderId="55" xfId="0" applyFont="1" applyFill="1" applyBorder="1" applyAlignment="1" applyProtection="1">
      <alignment horizontal="left" vertical="center"/>
    </xf>
    <xf numFmtId="0" fontId="13" fillId="2" borderId="54" xfId="0" applyFont="1" applyFill="1" applyBorder="1" applyAlignment="1" applyProtection="1">
      <alignment horizontal="left" vertical="center"/>
    </xf>
    <xf numFmtId="0" fontId="13" fillId="0" borderId="35" xfId="0" applyFont="1" applyFill="1" applyBorder="1" applyAlignment="1" applyProtection="1">
      <alignment horizontal="left" vertical="center" wrapText="1"/>
    </xf>
    <xf numFmtId="0" fontId="13" fillId="0" borderId="18" xfId="0" applyFont="1" applyFill="1" applyBorder="1" applyAlignment="1" applyProtection="1">
      <alignment horizontal="left" vertical="center" wrapText="1"/>
    </xf>
    <xf numFmtId="0" fontId="13" fillId="2" borderId="1" xfId="0" applyFont="1" applyFill="1" applyBorder="1" applyAlignment="1" applyProtection="1">
      <alignment horizontal="left" vertical="center"/>
    </xf>
    <xf numFmtId="0" fontId="13" fillId="2" borderId="2" xfId="0" applyFont="1" applyFill="1" applyBorder="1" applyAlignment="1" applyProtection="1">
      <alignment horizontal="left" vertical="center"/>
    </xf>
    <xf numFmtId="0" fontId="36" fillId="2" borderId="5" xfId="0" applyFont="1" applyFill="1" applyBorder="1" applyAlignment="1" applyProtection="1">
      <alignment horizontal="left"/>
    </xf>
    <xf numFmtId="0" fontId="36" fillId="2" borderId="3" xfId="0" applyFont="1" applyFill="1" applyBorder="1" applyAlignment="1" applyProtection="1">
      <alignment horizontal="left"/>
    </xf>
    <xf numFmtId="0" fontId="13" fillId="2" borderId="5" xfId="0" applyFont="1" applyFill="1" applyBorder="1" applyAlignment="1" applyProtection="1">
      <alignment horizontal="left"/>
    </xf>
    <xf numFmtId="0" fontId="13" fillId="2" borderId="3" xfId="0" applyFont="1" applyFill="1" applyBorder="1" applyAlignment="1" applyProtection="1">
      <alignment horizontal="left"/>
    </xf>
    <xf numFmtId="0" fontId="43" fillId="6" borderId="0" xfId="1" applyFont="1" applyFill="1" applyBorder="1" applyAlignment="1" applyProtection="1">
      <alignment horizontal="left"/>
    </xf>
    <xf numFmtId="0" fontId="42" fillId="6" borderId="0" xfId="1" applyFont="1" applyFill="1" applyBorder="1" applyAlignment="1" applyProtection="1">
      <alignment vertical="center"/>
    </xf>
    <xf numFmtId="0" fontId="74" fillId="0" borderId="0" xfId="1" applyFont="1" applyBorder="1" applyAlignment="1" applyProtection="1">
      <alignment horizontal="left"/>
    </xf>
    <xf numFmtId="0" fontId="14" fillId="3" borderId="70" xfId="0" applyFont="1" applyFill="1" applyBorder="1" applyAlignment="1" applyProtection="1">
      <alignment horizontal="left"/>
    </xf>
    <xf numFmtId="0" fontId="42" fillId="6" borderId="0" xfId="1" applyFont="1" applyFill="1" applyBorder="1" applyAlignment="1" applyProtection="1">
      <alignment horizontal="left" vertical="center"/>
    </xf>
    <xf numFmtId="0" fontId="23" fillId="3" borderId="5" xfId="1" applyFont="1" applyFill="1" applyBorder="1" applyAlignment="1" applyProtection="1">
      <alignment horizontal="left" vertical="center" wrapText="1"/>
    </xf>
    <xf numFmtId="0" fontId="23" fillId="3" borderId="3" xfId="1" applyFont="1" applyFill="1" applyBorder="1" applyAlignment="1" applyProtection="1">
      <alignment horizontal="left" vertical="center" wrapText="1"/>
    </xf>
    <xf numFmtId="0" fontId="12" fillId="3" borderId="5" xfId="0" applyFont="1" applyFill="1" applyBorder="1" applyAlignment="1" applyProtection="1">
      <alignment horizontal="left" vertical="center"/>
    </xf>
    <xf numFmtId="0" fontId="12" fillId="3" borderId="3" xfId="0" applyFont="1" applyFill="1" applyBorder="1" applyAlignment="1" applyProtection="1">
      <alignment horizontal="left" vertical="center"/>
    </xf>
    <xf numFmtId="0" fontId="23" fillId="3" borderId="5" xfId="1" applyFont="1" applyFill="1" applyBorder="1" applyAlignment="1" applyProtection="1">
      <alignment horizontal="left" vertical="center"/>
    </xf>
    <xf numFmtId="0" fontId="23" fillId="3" borderId="3" xfId="1" applyFont="1" applyFill="1" applyBorder="1" applyAlignment="1" applyProtection="1">
      <alignment horizontal="left" vertical="center"/>
    </xf>
    <xf numFmtId="0" fontId="12" fillId="6" borderId="3" xfId="0" applyFont="1" applyFill="1" applyBorder="1" applyAlignment="1" applyProtection="1">
      <alignment horizontal="center"/>
    </xf>
    <xf numFmtId="0" fontId="23" fillId="6" borderId="28" xfId="1" applyFont="1" applyFill="1" applyBorder="1" applyAlignment="1" applyProtection="1">
      <alignment horizontal="center" vertical="center"/>
    </xf>
    <xf numFmtId="0" fontId="23" fillId="6" borderId="29" xfId="1" applyFont="1" applyFill="1" applyBorder="1" applyAlignment="1" applyProtection="1">
      <alignment horizontal="center" vertical="center"/>
    </xf>
    <xf numFmtId="0" fontId="23" fillId="6" borderId="28" xfId="1" applyFont="1" applyFill="1" applyBorder="1" applyAlignment="1" applyProtection="1">
      <alignment horizontal="left" vertical="center" wrapText="1"/>
    </xf>
    <xf numFmtId="0" fontId="23" fillId="6" borderId="16" xfId="1" applyFont="1" applyFill="1" applyBorder="1" applyAlignment="1" applyProtection="1">
      <alignment horizontal="left" vertical="center" wrapText="1"/>
    </xf>
    <xf numFmtId="49" fontId="54" fillId="5" borderId="64" xfId="1" applyNumberFormat="1" applyFont="1" applyFill="1" applyBorder="1" applyAlignment="1" applyProtection="1">
      <alignment horizontal="center" vertical="center"/>
    </xf>
    <xf numFmtId="49" fontId="54" fillId="5" borderId="66" xfId="1" applyNumberFormat="1" applyFont="1" applyFill="1" applyBorder="1" applyAlignment="1" applyProtection="1">
      <alignment horizontal="center" vertical="center"/>
    </xf>
    <xf numFmtId="0" fontId="12" fillId="6" borderId="28" xfId="0" applyFont="1" applyFill="1" applyBorder="1" applyAlignment="1" applyProtection="1">
      <alignment horizontal="left" vertical="center"/>
    </xf>
    <xf numFmtId="0" fontId="12" fillId="6" borderId="16" xfId="0" applyFont="1" applyFill="1" applyBorder="1" applyAlignment="1" applyProtection="1">
      <alignment horizontal="left" vertical="center"/>
    </xf>
    <xf numFmtId="0" fontId="81" fillId="3" borderId="1" xfId="1" applyFont="1" applyFill="1" applyBorder="1" applyAlignment="1" applyProtection="1">
      <alignment horizontal="left" vertical="center"/>
    </xf>
    <xf numFmtId="0" fontId="81" fillId="3" borderId="2" xfId="1" applyFont="1" applyFill="1" applyBorder="1" applyAlignment="1" applyProtection="1">
      <alignment horizontal="left" vertical="center"/>
    </xf>
    <xf numFmtId="0" fontId="23" fillId="3" borderId="5" xfId="1" applyFont="1" applyFill="1" applyBorder="1" applyAlignment="1" applyProtection="1">
      <alignment horizontal="left"/>
    </xf>
    <xf numFmtId="0" fontId="23" fillId="3" borderId="3" xfId="1" applyFont="1" applyFill="1" applyBorder="1" applyAlignment="1" applyProtection="1">
      <alignment horizontal="left"/>
    </xf>
    <xf numFmtId="0" fontId="12" fillId="3" borderId="7" xfId="0" applyFont="1" applyFill="1" applyBorder="1" applyAlignment="1" applyProtection="1">
      <alignment horizontal="left"/>
    </xf>
    <xf numFmtId="0" fontId="12" fillId="3" borderId="8" xfId="0" applyFont="1" applyFill="1" applyBorder="1" applyAlignment="1" applyProtection="1">
      <alignment horizontal="left"/>
    </xf>
    <xf numFmtId="0" fontId="39" fillId="6" borderId="0" xfId="0" applyFont="1" applyFill="1" applyBorder="1" applyAlignment="1" applyProtection="1">
      <alignment horizontal="left"/>
      <protection locked="0"/>
    </xf>
    <xf numFmtId="0" fontId="82" fillId="6" borderId="64" xfId="1" applyFont="1" applyFill="1" applyBorder="1" applyAlignment="1" applyProtection="1">
      <alignment horizontal="left" vertical="center"/>
    </xf>
    <xf numFmtId="0" fontId="82" fillId="6" borderId="65" xfId="1" applyFont="1" applyFill="1" applyBorder="1" applyAlignment="1" applyProtection="1">
      <alignment horizontal="left" vertical="center"/>
    </xf>
    <xf numFmtId="0" fontId="82" fillId="6" borderId="66" xfId="1" applyFont="1" applyFill="1" applyBorder="1" applyAlignment="1" applyProtection="1">
      <alignment horizontal="left" vertical="center"/>
    </xf>
    <xf numFmtId="0" fontId="56" fillId="6" borderId="64" xfId="6" applyFont="1" applyFill="1" applyBorder="1" applyAlignment="1" applyProtection="1">
      <alignment horizontal="left" vertical="center"/>
    </xf>
    <xf numFmtId="0" fontId="56" fillId="6" borderId="65" xfId="6" applyFont="1" applyFill="1" applyBorder="1" applyAlignment="1" applyProtection="1">
      <alignment horizontal="left" vertical="center"/>
    </xf>
    <xf numFmtId="0" fontId="56" fillId="6" borderId="66" xfId="6" applyFont="1" applyFill="1" applyBorder="1" applyAlignment="1" applyProtection="1">
      <alignment horizontal="left" vertical="center"/>
    </xf>
    <xf numFmtId="0" fontId="23" fillId="6" borderId="5" xfId="6" applyFont="1" applyFill="1" applyBorder="1" applyAlignment="1" applyProtection="1">
      <alignment horizontal="left" vertical="center" wrapText="1"/>
    </xf>
    <xf numFmtId="0" fontId="23" fillId="6" borderId="3" xfId="6" applyFont="1" applyFill="1" applyBorder="1" applyAlignment="1" applyProtection="1">
      <alignment horizontal="left" vertical="center" wrapText="1"/>
    </xf>
    <xf numFmtId="0" fontId="86" fillId="6" borderId="7" xfId="0" applyFont="1" applyFill="1" applyBorder="1" applyAlignment="1" applyProtection="1">
      <alignment horizontal="left" vertical="center" wrapText="1"/>
    </xf>
    <xf numFmtId="0" fontId="86" fillId="6" borderId="8" xfId="0" applyFont="1" applyFill="1" applyBorder="1" applyAlignment="1" applyProtection="1">
      <alignment horizontal="left" vertical="center" wrapText="1"/>
    </xf>
    <xf numFmtId="0" fontId="23" fillId="6" borderId="5" xfId="6" applyFont="1" applyFill="1" applyBorder="1" applyAlignment="1" applyProtection="1">
      <alignment horizontal="right" vertical="center"/>
    </xf>
    <xf numFmtId="0" fontId="23" fillId="6" borderId="3" xfId="6" applyFont="1" applyFill="1" applyBorder="1" applyAlignment="1" applyProtection="1">
      <alignment horizontal="right" vertical="center"/>
    </xf>
    <xf numFmtId="0" fontId="23" fillId="6" borderId="1" xfId="6" applyFont="1" applyFill="1" applyBorder="1" applyAlignment="1" applyProtection="1">
      <alignment horizontal="left" vertical="center" wrapText="1"/>
    </xf>
    <xf numFmtId="0" fontId="23" fillId="6" borderId="2" xfId="6" applyFont="1" applyFill="1" applyBorder="1" applyAlignment="1" applyProtection="1">
      <alignment horizontal="left" vertical="center" wrapText="1"/>
    </xf>
    <xf numFmtId="0" fontId="86" fillId="6" borderId="5" xfId="0" applyFont="1" applyFill="1" applyBorder="1" applyAlignment="1" applyProtection="1">
      <alignment horizontal="left" vertical="center" wrapText="1"/>
    </xf>
    <xf numFmtId="0" fontId="86" fillId="6" borderId="3" xfId="0" applyFont="1" applyFill="1" applyBorder="1" applyAlignment="1" applyProtection="1">
      <alignment horizontal="left" vertical="center" wrapText="1"/>
    </xf>
    <xf numFmtId="0" fontId="12" fillId="6" borderId="5" xfId="0" applyFont="1" applyFill="1" applyBorder="1" applyAlignment="1" applyProtection="1">
      <alignment horizontal="right" vertical="center"/>
    </xf>
    <xf numFmtId="0" fontId="12" fillId="6" borderId="3" xfId="0" applyFont="1" applyFill="1" applyBorder="1" applyAlignment="1" applyProtection="1">
      <alignment horizontal="right" vertical="center"/>
    </xf>
    <xf numFmtId="0" fontId="23" fillId="6" borderId="45" xfId="6" applyFont="1" applyFill="1" applyBorder="1" applyAlignment="1" applyProtection="1">
      <alignment horizontal="right" vertical="center" wrapText="1"/>
    </xf>
    <xf numFmtId="0" fontId="23" fillId="6" borderId="39" xfId="6" applyFont="1" applyFill="1" applyBorder="1" applyAlignment="1" applyProtection="1">
      <alignment horizontal="right" vertical="center" wrapText="1"/>
    </xf>
    <xf numFmtId="0" fontId="12" fillId="6" borderId="5" xfId="0" applyFont="1" applyFill="1" applyBorder="1" applyAlignment="1" applyProtection="1">
      <alignment horizontal="right"/>
    </xf>
    <xf numFmtId="0" fontId="12" fillId="6" borderId="3" xfId="0" applyFont="1" applyFill="1" applyBorder="1" applyAlignment="1" applyProtection="1">
      <alignment horizontal="right"/>
    </xf>
    <xf numFmtId="0" fontId="14" fillId="6" borderId="1" xfId="0" applyFont="1" applyFill="1" applyBorder="1" applyAlignment="1" applyProtection="1">
      <alignment horizontal="center" vertical="center" wrapText="1"/>
    </xf>
    <xf numFmtId="0" fontId="14" fillId="6" borderId="2" xfId="0" applyFont="1" applyFill="1" applyBorder="1" applyAlignment="1" applyProtection="1">
      <alignment horizontal="center" vertical="center" wrapText="1"/>
    </xf>
    <xf numFmtId="0" fontId="14" fillId="6" borderId="13" xfId="0" applyFont="1" applyFill="1" applyBorder="1" applyAlignment="1" applyProtection="1">
      <alignment horizontal="center" vertical="center" wrapText="1"/>
    </xf>
    <xf numFmtId="0" fontId="14" fillId="6" borderId="19" xfId="0" applyFont="1" applyFill="1" applyBorder="1" applyAlignment="1" applyProtection="1">
      <alignment horizontal="center" vertical="center" wrapText="1"/>
    </xf>
    <xf numFmtId="0" fontId="14" fillId="6" borderId="6" xfId="0" applyFont="1" applyFill="1" applyBorder="1" applyAlignment="1" applyProtection="1">
      <alignment horizontal="center" vertical="center" wrapText="1"/>
    </xf>
    <xf numFmtId="0" fontId="23" fillId="6" borderId="5" xfId="6" applyFont="1" applyFill="1" applyBorder="1" applyAlignment="1" applyProtection="1">
      <alignment horizontal="right" vertical="center" wrapText="1"/>
    </xf>
    <xf numFmtId="0" fontId="23" fillId="6" borderId="3" xfId="6" applyFont="1" applyFill="1" applyBorder="1" applyAlignment="1" applyProtection="1">
      <alignment horizontal="right" vertical="center" wrapText="1"/>
    </xf>
    <xf numFmtId="0" fontId="86" fillId="6" borderId="2" xfId="0" applyFont="1" applyFill="1" applyBorder="1" applyAlignment="1" applyProtection="1">
      <alignment horizontal="center" vertical="center" wrapText="1"/>
    </xf>
    <xf numFmtId="0" fontId="14" fillId="6" borderId="20" xfId="0" applyFont="1" applyFill="1" applyBorder="1" applyAlignment="1" applyProtection="1">
      <alignment horizontal="center" vertical="center" wrapText="1"/>
    </xf>
    <xf numFmtId="0" fontId="14" fillId="6" borderId="0" xfId="0" applyFont="1" applyFill="1" applyBorder="1" applyAlignment="1" applyProtection="1">
      <alignment horizontal="center" vertical="center" wrapText="1"/>
    </xf>
    <xf numFmtId="0" fontId="14" fillId="6" borderId="25" xfId="0" applyFont="1" applyFill="1" applyBorder="1" applyAlignment="1" applyProtection="1">
      <alignment horizontal="center" vertical="center" wrapText="1"/>
    </xf>
  </cellXfs>
  <cellStyles count="7">
    <cellStyle name="Currency" xfId="5" builtinId="4"/>
    <cellStyle name="Hyperlink" xfId="2" builtinId="8"/>
    <cellStyle name="Normal" xfId="0" builtinId="0"/>
    <cellStyle name="Normal 2" xfId="1"/>
    <cellStyle name="Normal 2 2" xfId="6"/>
    <cellStyle name="Normal 67" xfId="4"/>
    <cellStyle name="Normal 68" xfId="3"/>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58</xdr:col>
      <xdr:colOff>1098775</xdr:colOff>
      <xdr:row>100</xdr:row>
      <xdr:rowOff>234722</xdr:rowOff>
    </xdr:from>
    <xdr:to>
      <xdr:col>73</xdr:col>
      <xdr:colOff>613836</xdr:colOff>
      <xdr:row>138</xdr:row>
      <xdr:rowOff>95249</xdr:rowOff>
    </xdr:to>
    <xdr:pic>
      <xdr:nvPicPr>
        <xdr:cNvPr id="7396" name="Picture 228"/>
        <xdr:cNvPicPr>
          <a:picLocks noChangeAspect="1" noChangeArrowheads="1"/>
        </xdr:cNvPicPr>
      </xdr:nvPicPr>
      <xdr:blipFill>
        <a:blip xmlns:r="http://schemas.openxmlformats.org/officeDocument/2006/relationships"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324199</xdr:colOff>
      <xdr:row>147</xdr:row>
      <xdr:rowOff>209673</xdr:rowOff>
    </xdr:to>
    <xdr:pic>
      <xdr:nvPicPr>
        <xdr:cNvPr id="7558" name="Picture 390"/>
        <xdr:cNvPicPr>
          <a:picLocks noChangeAspect="1" noChangeArrowheads="1"/>
        </xdr:cNvPicPr>
      </xdr:nvPicPr>
      <xdr:blipFill>
        <a:blip xmlns:r="http://schemas.openxmlformats.org/officeDocument/2006/relationships"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D443"/>
  <sheetViews>
    <sheetView tabSelected="1" zoomScale="70" zoomScaleNormal="70" workbookViewId="0">
      <selection activeCell="H18" sqref="H18"/>
    </sheetView>
  </sheetViews>
  <sheetFormatPr defaultColWidth="10.7109375" defaultRowHeight="18" x14ac:dyDescent="0.2"/>
  <cols>
    <col min="1" max="2" width="10.7109375" style="5"/>
    <col min="3" max="3" width="15.7109375" style="5" customWidth="1"/>
    <col min="4" max="4" width="23.28515625" style="8" customWidth="1"/>
    <col min="5" max="5" width="26.5703125" style="5" customWidth="1"/>
    <col min="6" max="6" width="32.42578125" style="5" customWidth="1"/>
    <col min="7" max="7" width="26.5703125" style="5" customWidth="1"/>
    <col min="8" max="8" width="26.85546875" style="6" customWidth="1"/>
    <col min="9" max="10" width="22.5703125" style="7" customWidth="1"/>
    <col min="11" max="11" width="31.7109375" style="5" customWidth="1"/>
    <col min="12" max="15" width="22.5703125" style="5" customWidth="1"/>
    <col min="16" max="17" width="22.5703125" style="391" customWidth="1"/>
    <col min="18" max="20" width="32.140625" style="391" customWidth="1"/>
    <col min="21" max="25" width="22.5703125" style="7" customWidth="1"/>
    <col min="26" max="28" width="23.7109375" style="7" customWidth="1"/>
    <col min="29" max="29" width="23.7109375" style="392" customWidth="1"/>
    <col min="30" max="30" width="23.7109375" style="7" customWidth="1"/>
    <col min="31" max="31" width="23.7109375" style="5" customWidth="1"/>
    <col min="32" max="36" width="23.7109375" style="7" customWidth="1"/>
    <col min="37" max="37" width="23.7109375" style="5" customWidth="1"/>
    <col min="38" max="38" width="23.7109375" style="393" customWidth="1"/>
    <col min="39" max="39" width="25.85546875" style="393" customWidth="1"/>
    <col min="40" max="47" width="23.7109375" style="393" customWidth="1"/>
    <col min="48" max="57" width="23.7109375" style="5" customWidth="1"/>
    <col min="58" max="58" width="25.140625" style="5" customWidth="1"/>
    <col min="59" max="59" width="22.7109375" style="5" customWidth="1"/>
    <col min="60" max="60" width="23.7109375" style="5" customWidth="1"/>
    <col min="61" max="61" width="22.7109375" style="5" customWidth="1"/>
    <col min="62" max="62" width="18.7109375" style="5" customWidth="1"/>
    <col min="63" max="63" width="22.140625" style="391" customWidth="1"/>
    <col min="64" max="66" width="22.140625" style="5" customWidth="1"/>
    <col min="67" max="68" width="26.5703125" style="5" customWidth="1"/>
    <col min="69" max="69" width="26.5703125" style="49" customWidth="1"/>
    <col min="70" max="70" width="26.5703125" style="5" customWidth="1"/>
    <col min="71" max="71" width="26.5703125" style="49" customWidth="1"/>
    <col min="72" max="73" width="26.5703125" style="5" customWidth="1"/>
    <col min="74" max="75" width="26.5703125" style="49" customWidth="1"/>
    <col min="76" max="76" width="26.5703125" style="5" customWidth="1"/>
    <col min="77" max="77" width="26.5703125" style="7" customWidth="1"/>
    <col min="78" max="80" width="26.5703125" style="5" customWidth="1"/>
    <col min="81" max="81" width="26.5703125" style="7" customWidth="1"/>
    <col min="82" max="82" width="26.5703125" style="5" customWidth="1"/>
    <col min="83" max="83" width="26.5703125" style="7" customWidth="1"/>
    <col min="84" max="84" width="26.5703125" style="394" customWidth="1"/>
    <col min="85" max="97" width="26.5703125" style="5" customWidth="1"/>
    <col min="98" max="100" width="23.7109375" style="5" customWidth="1"/>
    <col min="101" max="102" width="22.140625" style="5" customWidth="1"/>
    <col min="103" max="103" width="22.140625" style="49" customWidth="1"/>
    <col min="104" max="157" width="22.140625" style="5" customWidth="1"/>
    <col min="158" max="16384" width="10.7109375" style="5"/>
  </cols>
  <sheetData>
    <row r="2" spans="3:11" ht="18.75" thickBot="1" x14ac:dyDescent="0.25"/>
    <row r="3" spans="3:11" ht="91.5" thickBot="1" x14ac:dyDescent="1.25">
      <c r="C3" s="900" t="s">
        <v>1354</v>
      </c>
      <c r="D3" s="901"/>
      <c r="E3" s="901"/>
      <c r="F3" s="901"/>
      <c r="G3" s="901"/>
      <c r="H3" s="901"/>
      <c r="I3" s="901"/>
      <c r="J3" s="901"/>
      <c r="K3" s="902"/>
    </row>
    <row r="4" spans="3:11" ht="45.75" thickBot="1" x14ac:dyDescent="0.65">
      <c r="C4" s="3"/>
      <c r="D4" s="4"/>
      <c r="E4" s="3"/>
    </row>
    <row r="5" spans="3:11" ht="45" x14ac:dyDescent="0.6">
      <c r="C5" s="903" t="s">
        <v>1253</v>
      </c>
      <c r="D5" s="904"/>
      <c r="E5" s="904"/>
      <c r="F5" s="904"/>
      <c r="G5" s="904"/>
      <c r="H5" s="904"/>
      <c r="I5" s="904"/>
      <c r="J5" s="904"/>
      <c r="K5" s="905"/>
    </row>
    <row r="6" spans="3:11" ht="51.75" x14ac:dyDescent="0.2">
      <c r="C6" s="906" t="s">
        <v>1256</v>
      </c>
      <c r="D6" s="907"/>
      <c r="E6" s="907"/>
      <c r="F6" s="907"/>
      <c r="G6" s="907"/>
      <c r="H6" s="907"/>
      <c r="I6" s="907"/>
      <c r="J6" s="907"/>
      <c r="K6" s="908"/>
    </row>
    <row r="7" spans="3:11" ht="45" x14ac:dyDescent="0.2">
      <c r="C7" s="906" t="s">
        <v>1254</v>
      </c>
      <c r="D7" s="907"/>
      <c r="E7" s="907"/>
      <c r="F7" s="907"/>
      <c r="G7" s="907"/>
      <c r="H7" s="907"/>
      <c r="I7" s="907"/>
      <c r="J7" s="907"/>
      <c r="K7" s="908"/>
    </row>
    <row r="8" spans="3:11" ht="45.75" thickBot="1" x14ac:dyDescent="0.25">
      <c r="C8" s="909" t="s">
        <v>1255</v>
      </c>
      <c r="D8" s="910"/>
      <c r="E8" s="910"/>
      <c r="F8" s="910"/>
      <c r="G8" s="910"/>
      <c r="H8" s="910"/>
      <c r="I8" s="910"/>
      <c r="J8" s="910"/>
      <c r="K8" s="911"/>
    </row>
    <row r="9" spans="3:11" ht="18.75" thickBot="1" x14ac:dyDescent="0.25"/>
    <row r="10" spans="3:11" ht="38.25" customHeight="1" thickBot="1" x14ac:dyDescent="0.25">
      <c r="C10" s="919" t="s">
        <v>1257</v>
      </c>
      <c r="D10" s="920"/>
      <c r="E10" s="920"/>
      <c r="F10" s="920"/>
      <c r="G10" s="920"/>
      <c r="H10" s="920"/>
      <c r="I10" s="920"/>
      <c r="J10" s="920"/>
      <c r="K10" s="921"/>
    </row>
    <row r="15" spans="3:11" ht="45" x14ac:dyDescent="0.2">
      <c r="C15" s="850" t="s">
        <v>886</v>
      </c>
      <c r="D15" s="850"/>
      <c r="E15" s="850"/>
      <c r="F15" s="850"/>
      <c r="G15" s="850"/>
      <c r="H15" s="850"/>
    </row>
    <row r="16" spans="3:11" ht="18.75" thickBot="1" x14ac:dyDescent="0.25">
      <c r="E16" s="25"/>
      <c r="F16" s="25"/>
      <c r="G16" s="25"/>
      <c r="H16" s="99"/>
    </row>
    <row r="17" spans="2:160" ht="38.25" thickBot="1" x14ac:dyDescent="0.25">
      <c r="B17" s="376" t="s">
        <v>1282</v>
      </c>
      <c r="C17" s="155"/>
      <c r="D17" s="395"/>
      <c r="E17" s="155"/>
      <c r="F17" s="155"/>
      <c r="G17" s="162"/>
      <c r="H17" s="99"/>
    </row>
    <row r="18" spans="2:160" ht="20.25" customHeight="1" x14ac:dyDescent="0.2">
      <c r="B18" s="377"/>
      <c r="C18" s="153"/>
      <c r="D18" s="396"/>
      <c r="E18" s="343" t="s">
        <v>69</v>
      </c>
      <c r="F18" s="344">
        <f>COUNTIF(D32:D51,"*")</f>
        <v>11</v>
      </c>
      <c r="G18" s="161"/>
      <c r="H18" s="99"/>
    </row>
    <row r="19" spans="2:160" ht="20.25" customHeight="1" x14ac:dyDescent="0.35">
      <c r="B19" s="377"/>
      <c r="C19" s="153"/>
      <c r="D19" s="397"/>
      <c r="E19" s="311" t="s">
        <v>889</v>
      </c>
      <c r="F19" s="398">
        <v>60</v>
      </c>
      <c r="G19" s="161"/>
      <c r="H19" s="5"/>
    </row>
    <row r="20" spans="2:160" ht="20.25" customHeight="1" x14ac:dyDescent="0.35">
      <c r="B20" s="377"/>
      <c r="C20" s="153"/>
      <c r="D20" s="397"/>
      <c r="E20" s="311" t="s">
        <v>887</v>
      </c>
      <c r="F20" s="398">
        <v>25</v>
      </c>
      <c r="G20" s="161"/>
      <c r="H20" s="99"/>
    </row>
    <row r="21" spans="2:160" ht="20.25" customHeight="1" x14ac:dyDescent="0.35">
      <c r="B21" s="377"/>
      <c r="C21" s="153"/>
      <c r="D21" s="396"/>
      <c r="E21" s="311" t="s">
        <v>888</v>
      </c>
      <c r="F21" s="398">
        <v>101.325</v>
      </c>
      <c r="G21" s="161"/>
    </row>
    <row r="22" spans="2:160" ht="20.25" customHeight="1" thickBot="1" x14ac:dyDescent="0.25">
      <c r="B22" s="377"/>
      <c r="C22" s="153"/>
      <c r="D22" s="396"/>
      <c r="E22" s="345" t="s">
        <v>820</v>
      </c>
      <c r="F22" s="399">
        <v>8.3140000000000002E-3</v>
      </c>
      <c r="G22" s="161"/>
    </row>
    <row r="23" spans="2:160" ht="18.75" thickBot="1" x14ac:dyDescent="0.25">
      <c r="B23" s="378"/>
      <c r="C23" s="154"/>
      <c r="D23" s="400"/>
      <c r="E23" s="154"/>
      <c r="F23" s="154"/>
      <c r="G23" s="159"/>
    </row>
    <row r="24" spans="2:160" ht="18.75" thickBot="1" x14ac:dyDescent="0.25"/>
    <row r="25" spans="2:160" ht="34.5" customHeight="1" thickBot="1" x14ac:dyDescent="0.55000000000000004">
      <c r="B25" s="376" t="s">
        <v>1281</v>
      </c>
      <c r="C25" s="155"/>
      <c r="D25" s="155"/>
      <c r="E25" s="783" t="s">
        <v>1258</v>
      </c>
      <c r="F25" s="783"/>
      <c r="G25" s="783" t="s">
        <v>1234</v>
      </c>
      <c r="H25" s="783"/>
      <c r="I25" s="401"/>
      <c r="J25" s="401"/>
      <c r="K25" s="155"/>
      <c r="L25" s="155"/>
      <c r="M25" s="155"/>
      <c r="N25" s="155"/>
      <c r="O25" s="155"/>
      <c r="P25" s="402"/>
      <c r="Q25" s="402"/>
      <c r="R25" s="402"/>
      <c r="S25" s="402"/>
      <c r="T25" s="402"/>
      <c r="U25" s="401"/>
      <c r="V25" s="401"/>
      <c r="W25" s="401"/>
      <c r="X25" s="401"/>
      <c r="Y25" s="401"/>
      <c r="Z25" s="401"/>
      <c r="AA25" s="401"/>
      <c r="AB25" s="401"/>
      <c r="AC25" s="403"/>
      <c r="AD25" s="401"/>
      <c r="AE25" s="155"/>
      <c r="AF25" s="401"/>
      <c r="AG25" s="401"/>
      <c r="AH25" s="401"/>
      <c r="AI25" s="401"/>
      <c r="AJ25" s="401"/>
      <c r="AK25" s="155"/>
      <c r="AL25" s="404"/>
      <c r="AM25" s="404"/>
      <c r="AN25" s="404"/>
      <c r="AO25" s="404"/>
      <c r="AP25" s="404"/>
      <c r="AQ25" s="404"/>
      <c r="AR25" s="404"/>
      <c r="AS25" s="404"/>
      <c r="AT25" s="404"/>
      <c r="AU25" s="404"/>
      <c r="AV25" s="155"/>
      <c r="AW25" s="155"/>
      <c r="AX25" s="155"/>
      <c r="AY25" s="155"/>
      <c r="AZ25" s="155"/>
      <c r="BA25" s="155"/>
      <c r="BB25" s="155"/>
      <c r="BC25" s="155"/>
      <c r="BD25" s="155"/>
      <c r="BE25" s="155"/>
      <c r="BF25" s="155"/>
      <c r="BG25" s="155"/>
      <c r="BH25" s="155"/>
      <c r="BI25" s="155"/>
      <c r="BJ25" s="155"/>
      <c r="BK25" s="402"/>
      <c r="BL25" s="155"/>
      <c r="BM25" s="155"/>
      <c r="BN25" s="155"/>
      <c r="BO25" s="155"/>
      <c r="BP25" s="155"/>
      <c r="BQ25" s="175"/>
      <c r="BR25" s="155"/>
      <c r="BS25" s="175"/>
      <c r="BT25" s="155"/>
      <c r="BU25" s="155"/>
      <c r="BV25" s="175"/>
      <c r="BW25" s="175"/>
      <c r="BX25" s="155"/>
      <c r="BY25" s="401"/>
      <c r="BZ25" s="155"/>
      <c r="CA25" s="155"/>
      <c r="CB25" s="155"/>
      <c r="CC25" s="401"/>
      <c r="CD25" s="155"/>
      <c r="CE25" s="401"/>
      <c r="CF25" s="405"/>
      <c r="CG25" s="155"/>
      <c r="CH25" s="155"/>
      <c r="CI25" s="155"/>
      <c r="CJ25" s="155"/>
      <c r="CK25" s="155"/>
      <c r="CL25" s="155"/>
      <c r="CM25" s="155"/>
      <c r="CN25" s="155"/>
      <c r="CO25" s="155"/>
      <c r="CP25" s="155"/>
      <c r="CQ25" s="155"/>
      <c r="CR25" s="155"/>
      <c r="CS25" s="155"/>
      <c r="CT25" s="155"/>
      <c r="CU25" s="155"/>
      <c r="CV25" s="155"/>
      <c r="CW25" s="155"/>
      <c r="CX25" s="155"/>
      <c r="CY25" s="175"/>
      <c r="CZ25" s="155"/>
      <c r="DA25" s="155"/>
      <c r="DB25" s="155"/>
      <c r="DC25" s="155"/>
      <c r="DD25" s="155"/>
      <c r="DE25" s="155"/>
      <c r="DF25" s="155"/>
      <c r="DG25" s="155"/>
      <c r="DH25" s="155"/>
      <c r="DI25" s="155"/>
      <c r="DJ25" s="155"/>
      <c r="DK25" s="155"/>
      <c r="DL25" s="155"/>
      <c r="DM25" s="155"/>
      <c r="DN25" s="155"/>
      <c r="DO25" s="155"/>
      <c r="DP25" s="155"/>
      <c r="DQ25" s="155"/>
      <c r="DR25" s="155"/>
      <c r="DS25" s="155"/>
      <c r="DT25" s="155"/>
      <c r="DU25" s="155"/>
      <c r="DV25" s="155"/>
      <c r="DW25" s="155"/>
      <c r="DX25" s="162"/>
      <c r="FB25" s="25"/>
      <c r="FC25" s="25"/>
      <c r="FD25" s="25"/>
    </row>
    <row r="26" spans="2:160" ht="34.5" customHeight="1" thickBot="1" x14ac:dyDescent="0.55000000000000004">
      <c r="B26" s="377"/>
      <c r="C26" s="153"/>
      <c r="D26" s="406"/>
      <c r="E26" s="346"/>
      <c r="F26" s="346"/>
      <c r="G26" s="346"/>
      <c r="H26" s="346"/>
      <c r="I26" s="349"/>
      <c r="J26" s="349"/>
      <c r="K26" s="153"/>
      <c r="L26" s="153"/>
      <c r="M26" s="153"/>
      <c r="N26" s="153"/>
      <c r="O26" s="153"/>
      <c r="P26" s="407"/>
      <c r="Q26" s="407"/>
      <c r="R26" s="407"/>
      <c r="S26" s="407"/>
      <c r="T26" s="407"/>
      <c r="U26" s="349"/>
      <c r="V26" s="349"/>
      <c r="W26" s="349"/>
      <c r="X26" s="349"/>
      <c r="Y26" s="349"/>
      <c r="Z26" s="349"/>
      <c r="AA26" s="349"/>
      <c r="AB26" s="349"/>
      <c r="AC26" s="408"/>
      <c r="AD26" s="349"/>
      <c r="AE26" s="153"/>
      <c r="AF26" s="349"/>
      <c r="AG26" s="349"/>
      <c r="AH26" s="349"/>
      <c r="AI26" s="349"/>
      <c r="AJ26" s="349"/>
      <c r="AK26" s="153"/>
      <c r="AL26" s="409"/>
      <c r="AM26" s="409"/>
      <c r="AN26" s="409"/>
      <c r="AO26" s="409"/>
      <c r="AP26" s="409"/>
      <c r="AQ26" s="409"/>
      <c r="AR26" s="409"/>
      <c r="AS26" s="409"/>
      <c r="AT26" s="409"/>
      <c r="AU26" s="409"/>
      <c r="AV26" s="153"/>
      <c r="AW26" s="153"/>
      <c r="AX26" s="153"/>
      <c r="AY26" s="153"/>
      <c r="AZ26" s="153"/>
      <c r="BA26" s="153"/>
      <c r="BB26" s="153"/>
      <c r="BC26" s="153"/>
      <c r="BD26" s="153"/>
      <c r="BE26" s="153"/>
      <c r="BF26" s="153"/>
      <c r="BG26" s="153"/>
      <c r="BH26" s="153"/>
      <c r="BI26" s="153"/>
      <c r="BJ26" s="153"/>
      <c r="BK26" s="407"/>
      <c r="BL26" s="153"/>
      <c r="BM26" s="153"/>
      <c r="BN26" s="153"/>
      <c r="BO26" s="153"/>
      <c r="BP26" s="153"/>
      <c r="BQ26" s="323"/>
      <c r="BR26" s="153"/>
      <c r="BS26" s="323"/>
      <c r="BT26" s="153"/>
      <c r="BU26" s="153"/>
      <c r="BV26" s="323"/>
      <c r="BW26" s="323"/>
      <c r="BX26" s="153"/>
      <c r="BY26" s="349"/>
      <c r="BZ26" s="153"/>
      <c r="CA26" s="153"/>
      <c r="CB26" s="153"/>
      <c r="CC26" s="349"/>
      <c r="CD26" s="153"/>
      <c r="CE26" s="349"/>
      <c r="CF26" s="410"/>
      <c r="CG26" s="153"/>
      <c r="CH26" s="153"/>
      <c r="CI26" s="153"/>
      <c r="CJ26" s="153"/>
      <c r="CK26" s="153"/>
      <c r="CL26" s="153"/>
      <c r="CM26" s="153"/>
      <c r="CN26" s="153"/>
      <c r="CO26" s="153"/>
      <c r="CP26" s="153"/>
      <c r="CQ26" s="153"/>
      <c r="CR26" s="153"/>
      <c r="CS26" s="153"/>
      <c r="CT26" s="153"/>
      <c r="CU26" s="153"/>
      <c r="CV26" s="153"/>
      <c r="CW26" s="153"/>
      <c r="CX26" s="153"/>
      <c r="CY26" s="323"/>
      <c r="CZ26" s="153"/>
      <c r="DA26" s="153"/>
      <c r="DB26" s="153"/>
      <c r="DC26" s="153"/>
      <c r="DD26" s="153"/>
      <c r="DE26" s="153"/>
      <c r="DF26" s="153"/>
      <c r="DG26" s="153"/>
      <c r="DH26" s="153"/>
      <c r="DI26" s="153"/>
      <c r="DJ26" s="153"/>
      <c r="DK26" s="153"/>
      <c r="DL26" s="153"/>
      <c r="DM26" s="153"/>
      <c r="DN26" s="153"/>
      <c r="DO26" s="153"/>
      <c r="DP26" s="153"/>
      <c r="DQ26" s="153"/>
      <c r="DR26" s="153"/>
      <c r="DS26" s="153"/>
      <c r="DT26" s="153"/>
      <c r="DU26" s="153"/>
      <c r="DV26" s="153"/>
      <c r="DW26" s="153"/>
      <c r="DX26" s="161"/>
      <c r="FB26" s="25"/>
      <c r="FC26" s="25"/>
      <c r="FD26" s="25"/>
    </row>
    <row r="27" spans="2:160" ht="21" thickBot="1" x14ac:dyDescent="0.25">
      <c r="B27" s="377"/>
      <c r="C27" s="153"/>
      <c r="D27" s="396"/>
      <c r="E27" s="153"/>
      <c r="F27" s="153"/>
      <c r="G27" s="153"/>
      <c r="H27" s="760">
        <v>1</v>
      </c>
      <c r="I27" s="761"/>
      <c r="J27" s="762"/>
      <c r="K27" s="760">
        <v>2</v>
      </c>
      <c r="L27" s="761"/>
      <c r="M27" s="762"/>
      <c r="N27" s="760">
        <v>3</v>
      </c>
      <c r="O27" s="761"/>
      <c r="P27" s="762"/>
      <c r="Q27" s="760">
        <v>4</v>
      </c>
      <c r="R27" s="761"/>
      <c r="S27" s="762"/>
      <c r="T27" s="760">
        <v>5</v>
      </c>
      <c r="U27" s="761"/>
      <c r="V27" s="762"/>
      <c r="W27" s="760">
        <v>6</v>
      </c>
      <c r="X27" s="761"/>
      <c r="Y27" s="762"/>
      <c r="Z27" s="760">
        <v>7</v>
      </c>
      <c r="AA27" s="761"/>
      <c r="AB27" s="762"/>
      <c r="AC27" s="760">
        <v>8</v>
      </c>
      <c r="AD27" s="761"/>
      <c r="AE27" s="762"/>
      <c r="AF27" s="760">
        <v>9</v>
      </c>
      <c r="AG27" s="761"/>
      <c r="AH27" s="762"/>
      <c r="AI27" s="760">
        <v>10</v>
      </c>
      <c r="AJ27" s="761"/>
      <c r="AK27" s="762"/>
      <c r="AL27" s="760">
        <v>11</v>
      </c>
      <c r="AM27" s="761"/>
      <c r="AN27" s="762"/>
      <c r="AO27" s="760">
        <v>12</v>
      </c>
      <c r="AP27" s="761"/>
      <c r="AQ27" s="762"/>
      <c r="AR27" s="760">
        <v>13</v>
      </c>
      <c r="AS27" s="761"/>
      <c r="AT27" s="762"/>
      <c r="AU27" s="760">
        <v>14</v>
      </c>
      <c r="AV27" s="761"/>
      <c r="AW27" s="762"/>
      <c r="AX27" s="760">
        <v>15</v>
      </c>
      <c r="AY27" s="761"/>
      <c r="AZ27" s="762"/>
      <c r="BA27" s="760">
        <v>16</v>
      </c>
      <c r="BB27" s="761"/>
      <c r="BC27" s="762"/>
      <c r="BD27" s="760">
        <v>17</v>
      </c>
      <c r="BE27" s="761"/>
      <c r="BF27" s="762"/>
      <c r="BG27" s="760">
        <v>18</v>
      </c>
      <c r="BH27" s="761"/>
      <c r="BI27" s="762"/>
      <c r="BJ27" s="760">
        <v>19</v>
      </c>
      <c r="BK27" s="761"/>
      <c r="BL27" s="762"/>
      <c r="BM27" s="760">
        <v>20</v>
      </c>
      <c r="BN27" s="761"/>
      <c r="BO27" s="762"/>
      <c r="BP27" s="760">
        <v>21</v>
      </c>
      <c r="BQ27" s="761"/>
      <c r="BR27" s="762"/>
      <c r="BS27" s="760">
        <v>22</v>
      </c>
      <c r="BT27" s="761"/>
      <c r="BU27" s="762"/>
      <c r="BV27" s="760">
        <v>23</v>
      </c>
      <c r="BW27" s="761"/>
      <c r="BX27" s="762"/>
      <c r="BY27" s="760">
        <v>24</v>
      </c>
      <c r="BZ27" s="761"/>
      <c r="CA27" s="762"/>
      <c r="CB27" s="760">
        <v>25</v>
      </c>
      <c r="CC27" s="761"/>
      <c r="CD27" s="762"/>
      <c r="CE27" s="760">
        <v>26</v>
      </c>
      <c r="CF27" s="761"/>
      <c r="CG27" s="762"/>
      <c r="CH27" s="760">
        <v>27</v>
      </c>
      <c r="CI27" s="761"/>
      <c r="CJ27" s="762"/>
      <c r="CK27" s="760">
        <v>28</v>
      </c>
      <c r="CL27" s="761"/>
      <c r="CM27" s="762"/>
      <c r="CN27" s="760">
        <v>29</v>
      </c>
      <c r="CO27" s="761"/>
      <c r="CP27" s="762"/>
      <c r="CQ27" s="760">
        <v>30</v>
      </c>
      <c r="CR27" s="761"/>
      <c r="CS27" s="762"/>
      <c r="CT27" s="760">
        <v>31</v>
      </c>
      <c r="CU27" s="761"/>
      <c r="CV27" s="762"/>
      <c r="CW27" s="760">
        <v>32</v>
      </c>
      <c r="CX27" s="761"/>
      <c r="CY27" s="762"/>
      <c r="CZ27" s="760">
        <v>33</v>
      </c>
      <c r="DA27" s="761"/>
      <c r="DB27" s="762"/>
      <c r="DC27" s="760">
        <v>34</v>
      </c>
      <c r="DD27" s="761"/>
      <c r="DE27" s="762"/>
      <c r="DF27" s="760">
        <v>35</v>
      </c>
      <c r="DG27" s="761"/>
      <c r="DH27" s="762"/>
      <c r="DI27" s="760">
        <v>36</v>
      </c>
      <c r="DJ27" s="761"/>
      <c r="DK27" s="762"/>
      <c r="DL27" s="760">
        <v>37</v>
      </c>
      <c r="DM27" s="761"/>
      <c r="DN27" s="762"/>
      <c r="DO27" s="760">
        <v>38</v>
      </c>
      <c r="DP27" s="761"/>
      <c r="DQ27" s="762"/>
      <c r="DR27" s="760">
        <v>39</v>
      </c>
      <c r="DS27" s="761"/>
      <c r="DT27" s="762"/>
      <c r="DU27" s="760">
        <v>40</v>
      </c>
      <c r="DV27" s="761"/>
      <c r="DW27" s="762"/>
      <c r="DX27" s="411"/>
      <c r="DY27" s="412"/>
      <c r="DZ27" s="412"/>
      <c r="EA27" s="412"/>
      <c r="EB27" s="412"/>
      <c r="EC27" s="412"/>
      <c r="ED27" s="412"/>
      <c r="EE27" s="412"/>
      <c r="EF27" s="412"/>
      <c r="EG27" s="412"/>
      <c r="EH27" s="412"/>
      <c r="EI27" s="412"/>
      <c r="EJ27" s="412"/>
      <c r="EK27" s="412"/>
      <c r="EL27" s="412"/>
      <c r="EM27" s="412"/>
      <c r="EN27" s="412"/>
      <c r="EO27" s="412"/>
      <c r="EP27" s="412"/>
      <c r="EQ27" s="412"/>
      <c r="ER27" s="412"/>
      <c r="ES27" s="412"/>
      <c r="ET27" s="412"/>
      <c r="EU27" s="412"/>
      <c r="EV27" s="412"/>
      <c r="EW27" s="412"/>
      <c r="EX27" s="412"/>
      <c r="EY27" s="412"/>
      <c r="EZ27" s="412"/>
      <c r="FA27" s="412"/>
      <c r="FB27" s="412"/>
      <c r="FC27" s="412"/>
      <c r="FD27" s="412"/>
    </row>
    <row r="28" spans="2:160" x14ac:dyDescent="0.25">
      <c r="B28" s="377"/>
      <c r="C28" s="153"/>
      <c r="D28" s="396"/>
      <c r="E28" s="153"/>
      <c r="F28" s="153"/>
      <c r="G28" s="153"/>
      <c r="H28" s="29" t="s">
        <v>794</v>
      </c>
      <c r="I28" s="413">
        <v>101</v>
      </c>
      <c r="J28" s="744"/>
      <c r="K28" s="29" t="s">
        <v>794</v>
      </c>
      <c r="L28" s="413">
        <v>102</v>
      </c>
      <c r="M28" s="744"/>
      <c r="N28" s="29" t="s">
        <v>794</v>
      </c>
      <c r="O28" s="413">
        <v>104</v>
      </c>
      <c r="P28" s="744"/>
      <c r="Q28" s="29" t="s">
        <v>794</v>
      </c>
      <c r="R28" s="413">
        <v>203</v>
      </c>
      <c r="S28" s="744"/>
      <c r="T28" s="29" t="s">
        <v>794</v>
      </c>
      <c r="U28" s="413">
        <v>204</v>
      </c>
      <c r="V28" s="744"/>
      <c r="W28" s="33" t="s">
        <v>794</v>
      </c>
      <c r="X28" s="123">
        <v>103</v>
      </c>
      <c r="Y28" s="744"/>
      <c r="Z28" s="29" t="s">
        <v>794</v>
      </c>
      <c r="AA28" s="414">
        <v>105</v>
      </c>
      <c r="AB28" s="415"/>
      <c r="AC28" s="33" t="s">
        <v>794</v>
      </c>
      <c r="AD28" s="413"/>
      <c r="AE28" s="744"/>
      <c r="AF28" s="29" t="s">
        <v>794</v>
      </c>
      <c r="AG28" s="413"/>
      <c r="AH28" s="744"/>
      <c r="AI28" s="29" t="s">
        <v>794</v>
      </c>
      <c r="AJ28" s="413"/>
      <c r="AK28" s="744"/>
      <c r="AL28" s="29" t="s">
        <v>794</v>
      </c>
      <c r="AM28" s="413"/>
      <c r="AN28" s="744"/>
      <c r="AO28" s="29" t="s">
        <v>794</v>
      </c>
      <c r="AP28" s="413"/>
      <c r="AQ28" s="744"/>
      <c r="AR28" s="29" t="s">
        <v>794</v>
      </c>
      <c r="AS28" s="413"/>
      <c r="AT28" s="744"/>
      <c r="AU28" s="29" t="s">
        <v>794</v>
      </c>
      <c r="AV28" s="413"/>
      <c r="AW28" s="744"/>
      <c r="AX28" s="29" t="s">
        <v>794</v>
      </c>
      <c r="AY28" s="413"/>
      <c r="AZ28" s="744"/>
      <c r="BA28" s="29" t="s">
        <v>794</v>
      </c>
      <c r="BB28" s="413"/>
      <c r="BC28" s="744"/>
      <c r="BD28" s="29" t="s">
        <v>794</v>
      </c>
      <c r="BE28" s="413"/>
      <c r="BF28" s="744"/>
      <c r="BG28" s="29" t="s">
        <v>794</v>
      </c>
      <c r="BH28" s="413"/>
      <c r="BI28" s="744"/>
      <c r="BJ28" s="29" t="s">
        <v>794</v>
      </c>
      <c r="BK28" s="413"/>
      <c r="BL28" s="744"/>
      <c r="BM28" s="29" t="s">
        <v>794</v>
      </c>
      <c r="BN28" s="413"/>
      <c r="BO28" s="744"/>
      <c r="BP28" s="29" t="s">
        <v>794</v>
      </c>
      <c r="BQ28" s="413"/>
      <c r="BR28" s="744"/>
      <c r="BS28" s="29" t="s">
        <v>794</v>
      </c>
      <c r="BT28" s="413"/>
      <c r="BU28" s="744"/>
      <c r="BV28" s="29" t="s">
        <v>794</v>
      </c>
      <c r="BW28" s="413"/>
      <c r="BX28" s="744"/>
      <c r="BY28" s="29" t="s">
        <v>794</v>
      </c>
      <c r="BZ28" s="413"/>
      <c r="CA28" s="744"/>
      <c r="CB28" s="29" t="s">
        <v>794</v>
      </c>
      <c r="CC28" s="413"/>
      <c r="CD28" s="744"/>
      <c r="CE28" s="29" t="s">
        <v>794</v>
      </c>
      <c r="CF28" s="413"/>
      <c r="CG28" s="744"/>
      <c r="CH28" s="29" t="s">
        <v>794</v>
      </c>
      <c r="CI28" s="413"/>
      <c r="CJ28" s="744"/>
      <c r="CK28" s="29" t="s">
        <v>794</v>
      </c>
      <c r="CL28" s="413"/>
      <c r="CM28" s="744"/>
      <c r="CN28" s="29" t="s">
        <v>794</v>
      </c>
      <c r="CO28" s="413"/>
      <c r="CP28" s="744"/>
      <c r="CQ28" s="29" t="s">
        <v>794</v>
      </c>
      <c r="CR28" s="413"/>
      <c r="CS28" s="744"/>
      <c r="CT28" s="29" t="s">
        <v>794</v>
      </c>
      <c r="CU28" s="413"/>
      <c r="CV28" s="744"/>
      <c r="CW28" s="29" t="s">
        <v>794</v>
      </c>
      <c r="CX28" s="413"/>
      <c r="CY28" s="744"/>
      <c r="CZ28" s="29" t="s">
        <v>794</v>
      </c>
      <c r="DA28" s="413"/>
      <c r="DB28" s="744"/>
      <c r="DC28" s="29" t="s">
        <v>794</v>
      </c>
      <c r="DD28" s="413"/>
      <c r="DE28" s="744"/>
      <c r="DF28" s="29" t="s">
        <v>794</v>
      </c>
      <c r="DG28" s="413"/>
      <c r="DH28" s="744"/>
      <c r="DI28" s="29" t="s">
        <v>794</v>
      </c>
      <c r="DJ28" s="413"/>
      <c r="DK28" s="744"/>
      <c r="DL28" s="29" t="s">
        <v>794</v>
      </c>
      <c r="DM28" s="413"/>
      <c r="DN28" s="744"/>
      <c r="DO28" s="29" t="s">
        <v>794</v>
      </c>
      <c r="DP28" s="413"/>
      <c r="DQ28" s="744"/>
      <c r="DR28" s="29" t="s">
        <v>794</v>
      </c>
      <c r="DS28" s="413"/>
      <c r="DT28" s="744"/>
      <c r="DU28" s="29" t="s">
        <v>794</v>
      </c>
      <c r="DV28" s="413"/>
      <c r="DW28" s="744"/>
      <c r="DX28" s="161"/>
      <c r="FB28" s="25"/>
      <c r="FC28" s="25"/>
      <c r="FD28" s="25"/>
    </row>
    <row r="29" spans="2:160" x14ac:dyDescent="0.2">
      <c r="B29" s="377"/>
      <c r="C29" s="153"/>
      <c r="D29" s="396"/>
      <c r="E29" s="153"/>
      <c r="F29" s="153"/>
      <c r="G29" s="153"/>
      <c r="H29" s="15" t="s">
        <v>756</v>
      </c>
      <c r="I29" s="59" t="s">
        <v>920</v>
      </c>
      <c r="J29" s="745"/>
      <c r="K29" s="15" t="s">
        <v>756</v>
      </c>
      <c r="L29" s="129" t="s">
        <v>7</v>
      </c>
      <c r="M29" s="745"/>
      <c r="N29" s="15" t="s">
        <v>756</v>
      </c>
      <c r="O29" s="129" t="s">
        <v>795</v>
      </c>
      <c r="P29" s="745"/>
      <c r="Q29" s="15" t="s">
        <v>756</v>
      </c>
      <c r="R29" s="129" t="s">
        <v>5</v>
      </c>
      <c r="S29" s="745"/>
      <c r="T29" s="15" t="s">
        <v>756</v>
      </c>
      <c r="U29" s="129" t="s">
        <v>673</v>
      </c>
      <c r="V29" s="745"/>
      <c r="W29" s="34" t="s">
        <v>756</v>
      </c>
      <c r="X29" s="129" t="s">
        <v>902</v>
      </c>
      <c r="Y29" s="745"/>
      <c r="Z29" s="15" t="s">
        <v>756</v>
      </c>
      <c r="AA29" s="416" t="s">
        <v>8</v>
      </c>
      <c r="AB29" s="417"/>
      <c r="AC29" s="34" t="s">
        <v>756</v>
      </c>
      <c r="AD29" s="129"/>
      <c r="AE29" s="745"/>
      <c r="AF29" s="15" t="s">
        <v>756</v>
      </c>
      <c r="AG29" s="129"/>
      <c r="AH29" s="745"/>
      <c r="AI29" s="15" t="s">
        <v>756</v>
      </c>
      <c r="AJ29" s="129"/>
      <c r="AK29" s="745"/>
      <c r="AL29" s="15" t="s">
        <v>756</v>
      </c>
      <c r="AM29" s="129"/>
      <c r="AN29" s="745"/>
      <c r="AO29" s="15" t="s">
        <v>756</v>
      </c>
      <c r="AP29" s="129"/>
      <c r="AQ29" s="745"/>
      <c r="AR29" s="15" t="s">
        <v>756</v>
      </c>
      <c r="AS29" s="129"/>
      <c r="AT29" s="745"/>
      <c r="AU29" s="15" t="s">
        <v>756</v>
      </c>
      <c r="AV29" s="129"/>
      <c r="AW29" s="745"/>
      <c r="AX29" s="15" t="s">
        <v>756</v>
      </c>
      <c r="AY29" s="129"/>
      <c r="AZ29" s="745"/>
      <c r="BA29" s="15" t="s">
        <v>756</v>
      </c>
      <c r="BB29" s="129"/>
      <c r="BC29" s="745"/>
      <c r="BD29" s="15" t="s">
        <v>756</v>
      </c>
      <c r="BE29" s="129"/>
      <c r="BF29" s="745"/>
      <c r="BG29" s="15" t="s">
        <v>756</v>
      </c>
      <c r="BH29" s="129"/>
      <c r="BI29" s="745"/>
      <c r="BJ29" s="15" t="s">
        <v>756</v>
      </c>
      <c r="BK29" s="129"/>
      <c r="BL29" s="745"/>
      <c r="BM29" s="15" t="s">
        <v>756</v>
      </c>
      <c r="BN29" s="129"/>
      <c r="BO29" s="745"/>
      <c r="BP29" s="15" t="s">
        <v>756</v>
      </c>
      <c r="BQ29" s="129"/>
      <c r="BR29" s="745"/>
      <c r="BS29" s="15" t="s">
        <v>756</v>
      </c>
      <c r="BT29" s="129"/>
      <c r="BU29" s="745"/>
      <c r="BV29" s="15" t="s">
        <v>756</v>
      </c>
      <c r="BW29" s="129"/>
      <c r="BX29" s="745"/>
      <c r="BY29" s="15" t="s">
        <v>756</v>
      </c>
      <c r="BZ29" s="129"/>
      <c r="CA29" s="745"/>
      <c r="CB29" s="15" t="s">
        <v>756</v>
      </c>
      <c r="CC29" s="129"/>
      <c r="CD29" s="745"/>
      <c r="CE29" s="15" t="s">
        <v>756</v>
      </c>
      <c r="CF29" s="129"/>
      <c r="CG29" s="745"/>
      <c r="CH29" s="15" t="s">
        <v>756</v>
      </c>
      <c r="CI29" s="129"/>
      <c r="CJ29" s="745"/>
      <c r="CK29" s="15" t="s">
        <v>756</v>
      </c>
      <c r="CL29" s="129"/>
      <c r="CM29" s="745"/>
      <c r="CN29" s="15" t="s">
        <v>756</v>
      </c>
      <c r="CO29" s="129"/>
      <c r="CP29" s="745"/>
      <c r="CQ29" s="15" t="s">
        <v>756</v>
      </c>
      <c r="CR29" s="129"/>
      <c r="CS29" s="745"/>
      <c r="CT29" s="15" t="s">
        <v>756</v>
      </c>
      <c r="CU29" s="129"/>
      <c r="CV29" s="745"/>
      <c r="CW29" s="15" t="s">
        <v>756</v>
      </c>
      <c r="CX29" s="129"/>
      <c r="CY29" s="745"/>
      <c r="CZ29" s="15" t="s">
        <v>756</v>
      </c>
      <c r="DA29" s="129"/>
      <c r="DB29" s="745"/>
      <c r="DC29" s="15" t="s">
        <v>756</v>
      </c>
      <c r="DD29" s="129"/>
      <c r="DE29" s="745"/>
      <c r="DF29" s="15" t="s">
        <v>756</v>
      </c>
      <c r="DG29" s="129"/>
      <c r="DH29" s="745"/>
      <c r="DI29" s="15" t="s">
        <v>756</v>
      </c>
      <c r="DJ29" s="129"/>
      <c r="DK29" s="745"/>
      <c r="DL29" s="15" t="s">
        <v>756</v>
      </c>
      <c r="DM29" s="129"/>
      <c r="DN29" s="745"/>
      <c r="DO29" s="15" t="s">
        <v>756</v>
      </c>
      <c r="DP29" s="129"/>
      <c r="DQ29" s="745"/>
      <c r="DR29" s="15" t="s">
        <v>756</v>
      </c>
      <c r="DS29" s="129"/>
      <c r="DT29" s="745"/>
      <c r="DU29" s="15" t="s">
        <v>756</v>
      </c>
      <c r="DV29" s="129"/>
      <c r="DW29" s="745"/>
      <c r="DX29" s="161"/>
      <c r="FB29" s="25"/>
      <c r="FC29" s="25"/>
      <c r="FD29" s="25"/>
    </row>
    <row r="30" spans="2:160" x14ac:dyDescent="0.2">
      <c r="B30" s="377"/>
      <c r="C30" s="153"/>
      <c r="D30" s="396"/>
      <c r="E30" s="153"/>
      <c r="F30" s="153"/>
      <c r="G30" s="153"/>
      <c r="H30" s="15" t="s">
        <v>0</v>
      </c>
      <c r="I30" s="129" t="s">
        <v>32</v>
      </c>
      <c r="J30" s="746"/>
      <c r="K30" s="15" t="s">
        <v>0</v>
      </c>
      <c r="L30" s="129" t="s">
        <v>725</v>
      </c>
      <c r="M30" s="746"/>
      <c r="N30" s="15" t="s">
        <v>0</v>
      </c>
      <c r="O30" s="129" t="s">
        <v>725</v>
      </c>
      <c r="P30" s="746"/>
      <c r="Q30" s="15" t="s">
        <v>0</v>
      </c>
      <c r="R30" s="129" t="s">
        <v>725</v>
      </c>
      <c r="S30" s="746"/>
      <c r="T30" s="15" t="s">
        <v>0</v>
      </c>
      <c r="U30" s="129" t="s">
        <v>725</v>
      </c>
      <c r="V30" s="746"/>
      <c r="W30" s="34" t="s">
        <v>0</v>
      </c>
      <c r="X30" s="129" t="s">
        <v>725</v>
      </c>
      <c r="Y30" s="746"/>
      <c r="Z30" s="15" t="s">
        <v>0</v>
      </c>
      <c r="AA30" s="129" t="s">
        <v>32</v>
      </c>
      <c r="AB30" s="32"/>
      <c r="AC30" s="34" t="s">
        <v>0</v>
      </c>
      <c r="AD30" s="129"/>
      <c r="AE30" s="746"/>
      <c r="AF30" s="15" t="s">
        <v>0</v>
      </c>
      <c r="AG30" s="129"/>
      <c r="AH30" s="746"/>
      <c r="AI30" s="15" t="s">
        <v>0</v>
      </c>
      <c r="AJ30" s="129"/>
      <c r="AK30" s="746"/>
      <c r="AL30" s="15" t="s">
        <v>0</v>
      </c>
      <c r="AM30" s="129"/>
      <c r="AN30" s="746"/>
      <c r="AO30" s="15" t="s">
        <v>0</v>
      </c>
      <c r="AP30" s="129"/>
      <c r="AQ30" s="746"/>
      <c r="AR30" s="15" t="s">
        <v>0</v>
      </c>
      <c r="AS30" s="129"/>
      <c r="AT30" s="746"/>
      <c r="AU30" s="15" t="s">
        <v>0</v>
      </c>
      <c r="AV30" s="129"/>
      <c r="AW30" s="746"/>
      <c r="AX30" s="15" t="s">
        <v>0</v>
      </c>
      <c r="AY30" s="129"/>
      <c r="AZ30" s="746"/>
      <c r="BA30" s="15" t="s">
        <v>0</v>
      </c>
      <c r="BB30" s="129"/>
      <c r="BC30" s="746"/>
      <c r="BD30" s="15" t="s">
        <v>0</v>
      </c>
      <c r="BE30" s="129"/>
      <c r="BF30" s="746"/>
      <c r="BG30" s="15" t="s">
        <v>0</v>
      </c>
      <c r="BH30" s="129"/>
      <c r="BI30" s="746"/>
      <c r="BJ30" s="15" t="s">
        <v>0</v>
      </c>
      <c r="BK30" s="129"/>
      <c r="BL30" s="746"/>
      <c r="BM30" s="15" t="s">
        <v>0</v>
      </c>
      <c r="BN30" s="129"/>
      <c r="BO30" s="746"/>
      <c r="BP30" s="15" t="s">
        <v>0</v>
      </c>
      <c r="BQ30" s="129"/>
      <c r="BR30" s="746"/>
      <c r="BS30" s="15" t="s">
        <v>0</v>
      </c>
      <c r="BT30" s="129"/>
      <c r="BU30" s="746"/>
      <c r="BV30" s="15" t="s">
        <v>0</v>
      </c>
      <c r="BW30" s="129"/>
      <c r="BX30" s="746"/>
      <c r="BY30" s="15" t="s">
        <v>0</v>
      </c>
      <c r="BZ30" s="129"/>
      <c r="CA30" s="746"/>
      <c r="CB30" s="15" t="s">
        <v>0</v>
      </c>
      <c r="CC30" s="129"/>
      <c r="CD30" s="746"/>
      <c r="CE30" s="15" t="s">
        <v>0</v>
      </c>
      <c r="CF30" s="129"/>
      <c r="CG30" s="746"/>
      <c r="CH30" s="15" t="s">
        <v>0</v>
      </c>
      <c r="CI30" s="129"/>
      <c r="CJ30" s="746"/>
      <c r="CK30" s="15" t="s">
        <v>0</v>
      </c>
      <c r="CL30" s="129"/>
      <c r="CM30" s="746"/>
      <c r="CN30" s="15" t="s">
        <v>0</v>
      </c>
      <c r="CO30" s="129"/>
      <c r="CP30" s="746"/>
      <c r="CQ30" s="15" t="s">
        <v>0</v>
      </c>
      <c r="CR30" s="129"/>
      <c r="CS30" s="746"/>
      <c r="CT30" s="15" t="s">
        <v>0</v>
      </c>
      <c r="CU30" s="129"/>
      <c r="CV30" s="746"/>
      <c r="CW30" s="15" t="s">
        <v>0</v>
      </c>
      <c r="CX30" s="129"/>
      <c r="CY30" s="746"/>
      <c r="CZ30" s="15" t="s">
        <v>0</v>
      </c>
      <c r="DA30" s="129"/>
      <c r="DB30" s="746"/>
      <c r="DC30" s="15" t="s">
        <v>0</v>
      </c>
      <c r="DD30" s="129"/>
      <c r="DE30" s="746"/>
      <c r="DF30" s="15" t="s">
        <v>0</v>
      </c>
      <c r="DG30" s="129"/>
      <c r="DH30" s="746"/>
      <c r="DI30" s="15" t="s">
        <v>0</v>
      </c>
      <c r="DJ30" s="129"/>
      <c r="DK30" s="746"/>
      <c r="DL30" s="15" t="s">
        <v>0</v>
      </c>
      <c r="DM30" s="129"/>
      <c r="DN30" s="746"/>
      <c r="DO30" s="15" t="s">
        <v>0</v>
      </c>
      <c r="DP30" s="129"/>
      <c r="DQ30" s="746"/>
      <c r="DR30" s="15" t="s">
        <v>0</v>
      </c>
      <c r="DS30" s="129"/>
      <c r="DT30" s="746"/>
      <c r="DU30" s="15" t="s">
        <v>0</v>
      </c>
      <c r="DV30" s="129"/>
      <c r="DW30" s="746"/>
      <c r="DX30" s="161"/>
    </row>
    <row r="31" spans="2:160" ht="18.75" x14ac:dyDescent="0.2">
      <c r="B31" s="377"/>
      <c r="C31" s="347" t="s">
        <v>768</v>
      </c>
      <c r="D31" s="26" t="s">
        <v>1232</v>
      </c>
      <c r="E31" s="27" t="s">
        <v>1231</v>
      </c>
      <c r="F31" s="27" t="s">
        <v>50</v>
      </c>
      <c r="G31" s="28" t="s">
        <v>33</v>
      </c>
      <c r="H31" s="30" t="s">
        <v>774</v>
      </c>
      <c r="I31" s="57" t="s">
        <v>776</v>
      </c>
      <c r="J31" s="2" t="s">
        <v>777</v>
      </c>
      <c r="K31" s="30" t="s">
        <v>774</v>
      </c>
      <c r="L31" s="57" t="s">
        <v>776</v>
      </c>
      <c r="M31" s="2" t="s">
        <v>777</v>
      </c>
      <c r="N31" s="30" t="s">
        <v>774</v>
      </c>
      <c r="O31" s="57" t="s">
        <v>776</v>
      </c>
      <c r="P31" s="2" t="s">
        <v>777</v>
      </c>
      <c r="Q31" s="30" t="s">
        <v>774</v>
      </c>
      <c r="R31" s="57" t="s">
        <v>776</v>
      </c>
      <c r="S31" s="127" t="s">
        <v>777</v>
      </c>
      <c r="T31" s="30" t="s">
        <v>774</v>
      </c>
      <c r="U31" s="57" t="s">
        <v>776</v>
      </c>
      <c r="V31" s="2" t="s">
        <v>777</v>
      </c>
      <c r="W31" s="31" t="s">
        <v>774</v>
      </c>
      <c r="X31" s="57" t="s">
        <v>776</v>
      </c>
      <c r="Y31" s="2" t="s">
        <v>777</v>
      </c>
      <c r="Z31" s="30" t="s">
        <v>774</v>
      </c>
      <c r="AA31" s="57" t="s">
        <v>776</v>
      </c>
      <c r="AB31" s="32" t="s">
        <v>777</v>
      </c>
      <c r="AC31" s="31" t="s">
        <v>774</v>
      </c>
      <c r="AD31" s="57" t="s">
        <v>776</v>
      </c>
      <c r="AE31" s="2" t="s">
        <v>777</v>
      </c>
      <c r="AF31" s="30" t="s">
        <v>774</v>
      </c>
      <c r="AG31" s="57" t="s">
        <v>776</v>
      </c>
      <c r="AH31" s="2" t="s">
        <v>777</v>
      </c>
      <c r="AI31" s="30" t="s">
        <v>774</v>
      </c>
      <c r="AJ31" s="57" t="s">
        <v>776</v>
      </c>
      <c r="AK31" s="2" t="s">
        <v>777</v>
      </c>
      <c r="AL31" s="30" t="s">
        <v>774</v>
      </c>
      <c r="AM31" s="57" t="s">
        <v>776</v>
      </c>
      <c r="AN31" s="2" t="s">
        <v>777</v>
      </c>
      <c r="AO31" s="30" t="s">
        <v>774</v>
      </c>
      <c r="AP31" s="57" t="s">
        <v>776</v>
      </c>
      <c r="AQ31" s="2" t="s">
        <v>777</v>
      </c>
      <c r="AR31" s="30" t="s">
        <v>774</v>
      </c>
      <c r="AS31" s="57" t="s">
        <v>776</v>
      </c>
      <c r="AT31" s="2" t="s">
        <v>777</v>
      </c>
      <c r="AU31" s="30" t="s">
        <v>774</v>
      </c>
      <c r="AV31" s="57" t="s">
        <v>776</v>
      </c>
      <c r="AW31" s="2" t="s">
        <v>777</v>
      </c>
      <c r="AX31" s="30" t="s">
        <v>774</v>
      </c>
      <c r="AY31" s="57" t="s">
        <v>776</v>
      </c>
      <c r="AZ31" s="2" t="s">
        <v>777</v>
      </c>
      <c r="BA31" s="30" t="s">
        <v>774</v>
      </c>
      <c r="BB31" s="57" t="s">
        <v>776</v>
      </c>
      <c r="BC31" s="2" t="s">
        <v>777</v>
      </c>
      <c r="BD31" s="30" t="s">
        <v>774</v>
      </c>
      <c r="BE31" s="57" t="s">
        <v>776</v>
      </c>
      <c r="BF31" s="2" t="s">
        <v>777</v>
      </c>
      <c r="BG31" s="30" t="s">
        <v>774</v>
      </c>
      <c r="BH31" s="57" t="s">
        <v>776</v>
      </c>
      <c r="BI31" s="2" t="s">
        <v>777</v>
      </c>
      <c r="BJ31" s="30" t="s">
        <v>774</v>
      </c>
      <c r="BK31" s="57" t="s">
        <v>776</v>
      </c>
      <c r="BL31" s="2" t="s">
        <v>777</v>
      </c>
      <c r="BM31" s="30" t="s">
        <v>774</v>
      </c>
      <c r="BN31" s="57" t="s">
        <v>776</v>
      </c>
      <c r="BO31" s="2" t="s">
        <v>777</v>
      </c>
      <c r="BP31" s="30" t="s">
        <v>774</v>
      </c>
      <c r="BQ31" s="57" t="s">
        <v>776</v>
      </c>
      <c r="BR31" s="2" t="s">
        <v>777</v>
      </c>
      <c r="BS31" s="30" t="s">
        <v>774</v>
      </c>
      <c r="BT31" s="57" t="s">
        <v>776</v>
      </c>
      <c r="BU31" s="2" t="s">
        <v>777</v>
      </c>
      <c r="BV31" s="30" t="s">
        <v>774</v>
      </c>
      <c r="BW31" s="57" t="s">
        <v>776</v>
      </c>
      <c r="BX31" s="2" t="s">
        <v>777</v>
      </c>
      <c r="BY31" s="30" t="s">
        <v>774</v>
      </c>
      <c r="BZ31" s="57" t="s">
        <v>776</v>
      </c>
      <c r="CA31" s="2" t="s">
        <v>777</v>
      </c>
      <c r="CB31" s="30" t="s">
        <v>774</v>
      </c>
      <c r="CC31" s="57" t="s">
        <v>776</v>
      </c>
      <c r="CD31" s="2" t="s">
        <v>777</v>
      </c>
      <c r="CE31" s="30" t="s">
        <v>774</v>
      </c>
      <c r="CF31" s="57" t="s">
        <v>776</v>
      </c>
      <c r="CG31" s="2" t="s">
        <v>777</v>
      </c>
      <c r="CH31" s="30" t="s">
        <v>774</v>
      </c>
      <c r="CI31" s="57" t="s">
        <v>776</v>
      </c>
      <c r="CJ31" s="2" t="s">
        <v>777</v>
      </c>
      <c r="CK31" s="30" t="s">
        <v>774</v>
      </c>
      <c r="CL31" s="57" t="s">
        <v>776</v>
      </c>
      <c r="CM31" s="2" t="s">
        <v>777</v>
      </c>
      <c r="CN31" s="30" t="s">
        <v>774</v>
      </c>
      <c r="CO31" s="57" t="s">
        <v>776</v>
      </c>
      <c r="CP31" s="2" t="s">
        <v>777</v>
      </c>
      <c r="CQ31" s="30" t="s">
        <v>774</v>
      </c>
      <c r="CR31" s="57" t="s">
        <v>776</v>
      </c>
      <c r="CS31" s="2" t="s">
        <v>777</v>
      </c>
      <c r="CT31" s="30" t="s">
        <v>774</v>
      </c>
      <c r="CU31" s="57" t="s">
        <v>776</v>
      </c>
      <c r="CV31" s="2" t="s">
        <v>777</v>
      </c>
      <c r="CW31" s="30" t="s">
        <v>774</v>
      </c>
      <c r="CX31" s="57" t="s">
        <v>776</v>
      </c>
      <c r="CY31" s="2" t="s">
        <v>777</v>
      </c>
      <c r="CZ31" s="30" t="s">
        <v>774</v>
      </c>
      <c r="DA31" s="57" t="s">
        <v>776</v>
      </c>
      <c r="DB31" s="2" t="s">
        <v>777</v>
      </c>
      <c r="DC31" s="30" t="s">
        <v>774</v>
      </c>
      <c r="DD31" s="57" t="s">
        <v>776</v>
      </c>
      <c r="DE31" s="2" t="s">
        <v>777</v>
      </c>
      <c r="DF31" s="30" t="s">
        <v>774</v>
      </c>
      <c r="DG31" s="57" t="s">
        <v>776</v>
      </c>
      <c r="DH31" s="2" t="s">
        <v>777</v>
      </c>
      <c r="DI31" s="30" t="s">
        <v>774</v>
      </c>
      <c r="DJ31" s="57" t="s">
        <v>776</v>
      </c>
      <c r="DK31" s="2" t="s">
        <v>777</v>
      </c>
      <c r="DL31" s="30" t="s">
        <v>774</v>
      </c>
      <c r="DM31" s="57" t="s">
        <v>776</v>
      </c>
      <c r="DN31" s="2" t="s">
        <v>777</v>
      </c>
      <c r="DO31" s="30" t="s">
        <v>774</v>
      </c>
      <c r="DP31" s="57" t="s">
        <v>776</v>
      </c>
      <c r="DQ31" s="2" t="s">
        <v>777</v>
      </c>
      <c r="DR31" s="30" t="s">
        <v>774</v>
      </c>
      <c r="DS31" s="57" t="s">
        <v>776</v>
      </c>
      <c r="DT31" s="2" t="s">
        <v>777</v>
      </c>
      <c r="DU31" s="30" t="s">
        <v>774</v>
      </c>
      <c r="DV31" s="57" t="s">
        <v>776</v>
      </c>
      <c r="DW31" s="2" t="s">
        <v>777</v>
      </c>
      <c r="DX31" s="161"/>
    </row>
    <row r="32" spans="2:160" ht="23.25" customHeight="1" x14ac:dyDescent="0.2">
      <c r="B32" s="377"/>
      <c r="C32" s="348">
        <v>1</v>
      </c>
      <c r="D32" s="418" t="s">
        <v>48</v>
      </c>
      <c r="E32" s="419" t="s">
        <v>25</v>
      </c>
      <c r="F32" s="77">
        <v>296.488</v>
      </c>
      <c r="G32" s="420" t="s">
        <v>49</v>
      </c>
      <c r="H32" s="421">
        <v>0</v>
      </c>
      <c r="I32" s="129">
        <f t="shared" ref="I32:I51" si="0">IF(F32&gt;0,H32/F32,"")</f>
        <v>0</v>
      </c>
      <c r="J32" s="97">
        <f t="shared" ref="J32:J51" si="1">IF(I32="","",IF(I$82=0,0,I32/I$82))</f>
        <v>0</v>
      </c>
      <c r="K32" s="421">
        <v>0</v>
      </c>
      <c r="L32" s="59">
        <f t="shared" ref="L32:L51" si="2">IF($F32&gt;0,K32/$F32,"")</f>
        <v>0</v>
      </c>
      <c r="M32" s="60">
        <f t="shared" ref="M32:M51" si="3">IF(L32="","",IF(L$82=0,0,L32/L$82))</f>
        <v>0</v>
      </c>
      <c r="N32" s="421">
        <v>0</v>
      </c>
      <c r="O32" s="59">
        <f t="shared" ref="O32:O51" si="4">IF($F32&gt;0,N32/$F32,"")</f>
        <v>0</v>
      </c>
      <c r="P32" s="60">
        <f t="shared" ref="P32:P51" si="5">IF(O32="","",IF(O$82=0,0,O32/O$82))</f>
        <v>0</v>
      </c>
      <c r="Q32" s="421">
        <v>0</v>
      </c>
      <c r="R32" s="59">
        <f t="shared" ref="R32:R51" si="6">IF($F32&gt;0,Q32/$F32,"")</f>
        <v>0</v>
      </c>
      <c r="S32" s="61">
        <f t="shared" ref="S32:S51" si="7">IF(R32="","",IF(R$82=0,0,R32/R$82))</f>
        <v>0</v>
      </c>
      <c r="T32" s="421">
        <v>0</v>
      </c>
      <c r="U32" s="59">
        <f t="shared" ref="U32:U51" si="8">IF($F32&gt;0,T32/$F32,"")</f>
        <v>0</v>
      </c>
      <c r="V32" s="60">
        <f t="shared" ref="V32:V51" si="9">IF(U32="","",IF(U$82=0,0,U32/U$82))</f>
        <v>0</v>
      </c>
      <c r="W32" s="422"/>
      <c r="X32" s="59">
        <f t="shared" ref="X32:X51" si="10">IF($F32&gt;0,W32/$F32,"")</f>
        <v>0</v>
      </c>
      <c r="Y32" s="62">
        <f t="shared" ref="Y32:Y51" si="11">IF(X32="","",IF(X$82=0,0,X32/X$82))</f>
        <v>0</v>
      </c>
      <c r="Z32" s="421"/>
      <c r="AA32" s="59">
        <f t="shared" ref="AA32:AA51" si="12">IF($F32&gt;0,Z32/$F32,"")</f>
        <v>0</v>
      </c>
      <c r="AB32" s="62">
        <f t="shared" ref="AB32:AB51" si="13">IF(AA32="","",IF(AA$82=0,0,AA32/AA$82))</f>
        <v>0</v>
      </c>
      <c r="AC32" s="422"/>
      <c r="AD32" s="59">
        <f>IF($F32&gt;0,AC32/$F32,"")</f>
        <v>0</v>
      </c>
      <c r="AE32" s="62">
        <f t="shared" ref="AE32:AE51" si="14">IF(AD32="","",IF(AD$82=0,0,AD32/AD$82))</f>
        <v>0</v>
      </c>
      <c r="AF32" s="421"/>
      <c r="AG32" s="59">
        <f t="shared" ref="AG32:AG51" si="15">IF($F32&gt;0,AF32/$F32,"")</f>
        <v>0</v>
      </c>
      <c r="AH32" s="62">
        <f t="shared" ref="AH32:AH51" si="16">IF(AG32="","",IF(AG$82=0,0,AG32/AG$82))</f>
        <v>0</v>
      </c>
      <c r="AI32" s="421"/>
      <c r="AJ32" s="59">
        <f t="shared" ref="AJ32:AJ51" si="17">IF($F32&gt;0,AI32/$F32,"")</f>
        <v>0</v>
      </c>
      <c r="AK32" s="62">
        <f t="shared" ref="AK32:AK51" si="18">IF(AJ32="","",IF(AJ$82=0,0,AJ32/AJ$82))</f>
        <v>0</v>
      </c>
      <c r="AL32" s="421"/>
      <c r="AM32" s="59">
        <f t="shared" ref="AM32:AM51" si="19">IF($F32&gt;0,AL32/$F32,"")</f>
        <v>0</v>
      </c>
      <c r="AN32" s="62">
        <f t="shared" ref="AN32:AN51" si="20">IF(AM32="","",IF(AM$82=0,0,AM32/AM$82))</f>
        <v>0</v>
      </c>
      <c r="AO32" s="421"/>
      <c r="AP32" s="59">
        <f t="shared" ref="AP32:AP51" si="21">IF($F32&gt;0,AO32/$F32,"")</f>
        <v>0</v>
      </c>
      <c r="AQ32" s="62">
        <f t="shared" ref="AQ32:AQ51" si="22">IF(AP32="","",IF(AP$82=0,0,AP32/AP$82))</f>
        <v>0</v>
      </c>
      <c r="AR32" s="421"/>
      <c r="AS32" s="59">
        <f t="shared" ref="AS32:AS51" si="23">IF($F32&gt;0,AR32/$F32,"")</f>
        <v>0</v>
      </c>
      <c r="AT32" s="62">
        <f t="shared" ref="AT32:AT51" si="24">IF(AS32="","",IF(AS$82=0,0,AS32/AS$82))</f>
        <v>0</v>
      </c>
      <c r="AU32" s="421"/>
      <c r="AV32" s="59">
        <f t="shared" ref="AV32:AV51" si="25">IF($F32&gt;0,AU32/$F32,"")</f>
        <v>0</v>
      </c>
      <c r="AW32" s="62">
        <f t="shared" ref="AW32:AW51" si="26">IF(AV32="","",IF(AV$82=0,0,AV32/AV$82))</f>
        <v>0</v>
      </c>
      <c r="AX32" s="421"/>
      <c r="AY32" s="59">
        <f t="shared" ref="AY32:AY51" si="27">IF($F32&gt;0,AX32/$F32,"")</f>
        <v>0</v>
      </c>
      <c r="AZ32" s="62">
        <f t="shared" ref="AZ32:AZ51" si="28">IF(AY32="","",IF(AY$82=0,0,AY32/AY$82))</f>
        <v>0</v>
      </c>
      <c r="BA32" s="421"/>
      <c r="BB32" s="59">
        <f t="shared" ref="BB32:BB51" si="29">IF($F32&gt;0,BA32/$F32,"")</f>
        <v>0</v>
      </c>
      <c r="BC32" s="62">
        <f t="shared" ref="BC32:BC51" si="30">IF(BB32="","",IF(BB$82=0,0,BB32/BB$82))</f>
        <v>0</v>
      </c>
      <c r="BD32" s="421"/>
      <c r="BE32" s="59">
        <f t="shared" ref="BE32:BE51" si="31">IF($F32&gt;0,BD32/$F32,"")</f>
        <v>0</v>
      </c>
      <c r="BF32" s="62">
        <f t="shared" ref="BF32:BF51" si="32">IF(BE32="","",IF(BE$82=0,0,BE32/BE$82))</f>
        <v>0</v>
      </c>
      <c r="BG32" s="421"/>
      <c r="BH32" s="59">
        <f t="shared" ref="BH32:BH51" si="33">IF($F32&gt;0,BG32/$F32,"")</f>
        <v>0</v>
      </c>
      <c r="BI32" s="62">
        <f t="shared" ref="BI32:BI51" si="34">IF(BH32="","",IF(BH$82=0,0,BH32/BH$82))</f>
        <v>0</v>
      </c>
      <c r="BJ32" s="421"/>
      <c r="BK32" s="59">
        <f t="shared" ref="BK32:BK51" si="35">IF($F32&gt;0,BJ32/$F32,"")</f>
        <v>0</v>
      </c>
      <c r="BL32" s="62">
        <f t="shared" ref="BL32:BL51" si="36">IF(BK32="","",IF(BK$82=0,0,BK32/BK$82))</f>
        <v>0</v>
      </c>
      <c r="BM32" s="421"/>
      <c r="BN32" s="59">
        <f t="shared" ref="BN32:BN51" si="37">IF($F32&gt;0,BM32/$F32,"")</f>
        <v>0</v>
      </c>
      <c r="BO32" s="62">
        <f t="shared" ref="BO32:BO51" si="38">IF(BN32="","",IF(BN$82=0,0,BN32/BN$82))</f>
        <v>0</v>
      </c>
      <c r="BP32" s="421"/>
      <c r="BQ32" s="59">
        <f t="shared" ref="BQ32:BQ51" si="39">IF($F32&gt;0,BP32/$F32,"")</f>
        <v>0</v>
      </c>
      <c r="BR32" s="62">
        <f t="shared" ref="BR32:BR51" si="40">IF(BQ32="","",IF(BQ$82=0,0,BQ32/BQ$82))</f>
        <v>0</v>
      </c>
      <c r="BS32" s="421"/>
      <c r="BT32" s="59">
        <f t="shared" ref="BT32:BT51" si="41">IF($F32&gt;0,BS32/$F32,"")</f>
        <v>0</v>
      </c>
      <c r="BU32" s="62">
        <f t="shared" ref="BU32:BU51" si="42">IF(BT32="","",IF(BT$82=0,0,BT32/BT$82))</f>
        <v>0</v>
      </c>
      <c r="BV32" s="421"/>
      <c r="BW32" s="59">
        <f t="shared" ref="BW32:BW51" si="43">IF($F32&gt;0,BV32/$F32,"")</f>
        <v>0</v>
      </c>
      <c r="BX32" s="62">
        <f t="shared" ref="BX32:BX51" si="44">IF(BW32="","",IF(BW$82=0,0,BW32/BW$82))</f>
        <v>0</v>
      </c>
      <c r="BY32" s="421"/>
      <c r="BZ32" s="59">
        <f t="shared" ref="BZ32:BZ51" si="45">IF($F32&gt;0,BY32/$F32,"")</f>
        <v>0</v>
      </c>
      <c r="CA32" s="62">
        <f t="shared" ref="CA32:CA51" si="46">IF(BZ32="","",IF(BZ$82=0,0,BZ32/BZ$82))</f>
        <v>0</v>
      </c>
      <c r="CB32" s="421"/>
      <c r="CC32" s="59">
        <f t="shared" ref="CC32:CC51" si="47">IF($F32&gt;0,CB32/$F32,"")</f>
        <v>0</v>
      </c>
      <c r="CD32" s="62">
        <f t="shared" ref="CD32:CD51" si="48">IF(CC32="","",IF(CC$82=0,0,CC32/CC$82))</f>
        <v>0</v>
      </c>
      <c r="CE32" s="421"/>
      <c r="CF32" s="59">
        <f t="shared" ref="CF32:CF51" si="49">IF($F32&gt;0,CE32/$F32,"")</f>
        <v>0</v>
      </c>
      <c r="CG32" s="62">
        <f t="shared" ref="CG32:CG51" si="50">IF(CF32="","",IF(CF$82=0,0,CF32/CF$82))</f>
        <v>0</v>
      </c>
      <c r="CH32" s="421"/>
      <c r="CI32" s="59">
        <f t="shared" ref="CI32:CI51" si="51">IF($F32&gt;0,CH32/$F32,"")</f>
        <v>0</v>
      </c>
      <c r="CJ32" s="62">
        <f t="shared" ref="CJ32:CJ51" si="52">IF(CI32="","",IF(CI$82=0,0,CI32/CI$82))</f>
        <v>0</v>
      </c>
      <c r="CK32" s="421"/>
      <c r="CL32" s="59">
        <f t="shared" ref="CL32:CL51" si="53">IF($F32&gt;0,CK32/$F32,"")</f>
        <v>0</v>
      </c>
      <c r="CM32" s="62">
        <f t="shared" ref="CM32:CM51" si="54">IF(CL32="","",IF(CL$82=0,0,CL32/CL$82))</f>
        <v>0</v>
      </c>
      <c r="CN32" s="421"/>
      <c r="CO32" s="59">
        <f t="shared" ref="CO32:CO51" si="55">IF($F32&gt;0,CN32/$F32,"")</f>
        <v>0</v>
      </c>
      <c r="CP32" s="62">
        <f t="shared" ref="CP32:CP51" si="56">IF(CO32="","",IF(CO$82=0,0,CO32/CO$82))</f>
        <v>0</v>
      </c>
      <c r="CQ32" s="421"/>
      <c r="CR32" s="59">
        <f t="shared" ref="CR32:CR51" si="57">IF($F32&gt;0,CQ32/$F32,"")</f>
        <v>0</v>
      </c>
      <c r="CS32" s="62">
        <f t="shared" ref="CS32:CS51" si="58">IF(CR32="","",IF(CR$82=0,0,CR32/CR$82))</f>
        <v>0</v>
      </c>
      <c r="CT32" s="421"/>
      <c r="CU32" s="59">
        <f t="shared" ref="CU32:CU51" si="59">IF($F32&gt;0,CT32/$F32,"")</f>
        <v>0</v>
      </c>
      <c r="CV32" s="62">
        <f t="shared" ref="CV32:CV51" si="60">IF(CU32="","",IF(CU$82=0,0,CU32/CU$82))</f>
        <v>0</v>
      </c>
      <c r="CW32" s="421"/>
      <c r="CX32" s="59">
        <f t="shared" ref="CX32:CX51" si="61">IF($F32&gt;0,CW32/$F32,"")</f>
        <v>0</v>
      </c>
      <c r="CY32" s="62">
        <f t="shared" ref="CY32:CY51" si="62">IF(CX32="","",IF(CX$82=0,0,CX32/CX$82))</f>
        <v>0</v>
      </c>
      <c r="CZ32" s="421"/>
      <c r="DA32" s="59">
        <f t="shared" ref="DA32:DA51" si="63">IF($F32&gt;0,CZ32/$F32,"")</f>
        <v>0</v>
      </c>
      <c r="DB32" s="62">
        <f t="shared" ref="DB32:DB51" si="64">IF(DA32="","",IF(DA$82=0,0,DA32/DA$82))</f>
        <v>0</v>
      </c>
      <c r="DC32" s="421"/>
      <c r="DD32" s="59">
        <f t="shared" ref="DD32:DD51" si="65">IF($F32&gt;0,DC32/$F32,"")</f>
        <v>0</v>
      </c>
      <c r="DE32" s="62">
        <f t="shared" ref="DE32:DE51" si="66">IF(DD32="","",IF(DD$82=0,0,DD32/DD$82))</f>
        <v>0</v>
      </c>
      <c r="DF32" s="421"/>
      <c r="DG32" s="59">
        <f t="shared" ref="DG32:DG51" si="67">IF($F32&gt;0,DF32/$F32,"")</f>
        <v>0</v>
      </c>
      <c r="DH32" s="62">
        <f t="shared" ref="DH32:DH51" si="68">IF(DG32="","",IF(DG$82=0,0,DG32/DG$82))</f>
        <v>0</v>
      </c>
      <c r="DI32" s="421"/>
      <c r="DJ32" s="59">
        <f t="shared" ref="DJ32:DJ51" si="69">IF($F32&gt;0,DI32/$F32,"")</f>
        <v>0</v>
      </c>
      <c r="DK32" s="62">
        <f t="shared" ref="DK32:DK51" si="70">IF(DJ32="","",IF(DJ$82=0,0,DJ32/DJ$82))</f>
        <v>0</v>
      </c>
      <c r="DL32" s="421"/>
      <c r="DM32" s="59">
        <f t="shared" ref="DM32:DM51" si="71">IF($F32&gt;0,DL32/$F32,"")</f>
        <v>0</v>
      </c>
      <c r="DN32" s="62">
        <f t="shared" ref="DN32:DN51" si="72">IF(DM32="","",IF(DM$82=0,0,DM32/DM$82))</f>
        <v>0</v>
      </c>
      <c r="DO32" s="421"/>
      <c r="DP32" s="59">
        <f t="shared" ref="DP32:DP51" si="73">IF($F32&gt;0,DO32/$F32,"")</f>
        <v>0</v>
      </c>
      <c r="DQ32" s="62">
        <f t="shared" ref="DQ32:DQ51" si="74">IF(DP32="","",IF(DP$82=0,0,DP32/DP$82))</f>
        <v>0</v>
      </c>
      <c r="DR32" s="421"/>
      <c r="DS32" s="59">
        <f t="shared" ref="DS32:DS51" si="75">IF($F32&gt;0,DR32/$F32,"")</f>
        <v>0</v>
      </c>
      <c r="DT32" s="62">
        <f t="shared" ref="DT32:DT51" si="76">IF(DS32="","",IF(DS$82=0,0,DS32/DS$82))</f>
        <v>0</v>
      </c>
      <c r="DU32" s="421"/>
      <c r="DV32" s="59">
        <f t="shared" ref="DV32:DV51" si="77">IF($F32&gt;0,DU32/$F32,"")</f>
        <v>0</v>
      </c>
      <c r="DW32" s="62">
        <f t="shared" ref="DW32:DW51" si="78">IF(DV32="","",IF(DV$82=0,0,DV32/DV$82))</f>
        <v>0</v>
      </c>
      <c r="DX32" s="161"/>
    </row>
    <row r="33" spans="1:128" ht="23.25" customHeight="1" x14ac:dyDescent="0.2">
      <c r="B33" s="377"/>
      <c r="C33" s="348">
        <f t="shared" ref="C33:C39" si="79">C32+1</f>
        <v>2</v>
      </c>
      <c r="D33" s="418" t="s">
        <v>8</v>
      </c>
      <c r="E33" s="419" t="s">
        <v>24</v>
      </c>
      <c r="F33" s="77">
        <v>92.093800000000002</v>
      </c>
      <c r="G33" s="420" t="s">
        <v>35</v>
      </c>
      <c r="H33" s="421">
        <v>0</v>
      </c>
      <c r="I33" s="129">
        <f t="shared" si="0"/>
        <v>0</v>
      </c>
      <c r="J33" s="97">
        <f t="shared" si="1"/>
        <v>0</v>
      </c>
      <c r="K33" s="421">
        <v>0</v>
      </c>
      <c r="L33" s="59">
        <f t="shared" si="2"/>
        <v>0</v>
      </c>
      <c r="M33" s="60">
        <f t="shared" si="3"/>
        <v>0</v>
      </c>
      <c r="N33" s="421">
        <v>0</v>
      </c>
      <c r="O33" s="59">
        <f t="shared" si="4"/>
        <v>0</v>
      </c>
      <c r="P33" s="60">
        <f t="shared" si="5"/>
        <v>0</v>
      </c>
      <c r="Q33" s="421">
        <v>0</v>
      </c>
      <c r="R33" s="59">
        <f t="shared" si="6"/>
        <v>0</v>
      </c>
      <c r="S33" s="61">
        <f t="shared" si="7"/>
        <v>0</v>
      </c>
      <c r="T33" s="421">
        <v>0</v>
      </c>
      <c r="U33" s="59">
        <f t="shared" si="8"/>
        <v>0</v>
      </c>
      <c r="V33" s="60">
        <f t="shared" si="9"/>
        <v>0</v>
      </c>
      <c r="W33" s="422"/>
      <c r="X33" s="59">
        <f t="shared" si="10"/>
        <v>0</v>
      </c>
      <c r="Y33" s="62">
        <f t="shared" si="11"/>
        <v>0</v>
      </c>
      <c r="Z33" s="421">
        <v>110</v>
      </c>
      <c r="AA33" s="59">
        <f t="shared" si="12"/>
        <v>1.1944343701747566</v>
      </c>
      <c r="AB33" s="62">
        <f t="shared" si="13"/>
        <v>1</v>
      </c>
      <c r="AC33" s="422"/>
      <c r="AD33" s="59">
        <f t="shared" ref="AD33:AD51" si="80">IF($F33&gt;0,AC33/$F33,"")</f>
        <v>0</v>
      </c>
      <c r="AE33" s="62">
        <f t="shared" si="14"/>
        <v>0</v>
      </c>
      <c r="AF33" s="421"/>
      <c r="AG33" s="59">
        <f t="shared" si="15"/>
        <v>0</v>
      </c>
      <c r="AH33" s="62">
        <f t="shared" si="16"/>
        <v>0</v>
      </c>
      <c r="AI33" s="421"/>
      <c r="AJ33" s="59">
        <f t="shared" si="17"/>
        <v>0</v>
      </c>
      <c r="AK33" s="62">
        <f t="shared" si="18"/>
        <v>0</v>
      </c>
      <c r="AL33" s="421"/>
      <c r="AM33" s="59">
        <f t="shared" si="19"/>
        <v>0</v>
      </c>
      <c r="AN33" s="62">
        <f t="shared" si="20"/>
        <v>0</v>
      </c>
      <c r="AO33" s="421"/>
      <c r="AP33" s="59">
        <f t="shared" si="21"/>
        <v>0</v>
      </c>
      <c r="AQ33" s="62">
        <f t="shared" si="22"/>
        <v>0</v>
      </c>
      <c r="AR33" s="421"/>
      <c r="AS33" s="59">
        <f t="shared" si="23"/>
        <v>0</v>
      </c>
      <c r="AT33" s="62">
        <f t="shared" si="24"/>
        <v>0</v>
      </c>
      <c r="AU33" s="421"/>
      <c r="AV33" s="59">
        <f t="shared" si="25"/>
        <v>0</v>
      </c>
      <c r="AW33" s="62">
        <f t="shared" si="26"/>
        <v>0</v>
      </c>
      <c r="AX33" s="421"/>
      <c r="AY33" s="59">
        <f t="shared" si="27"/>
        <v>0</v>
      </c>
      <c r="AZ33" s="62">
        <f t="shared" si="28"/>
        <v>0</v>
      </c>
      <c r="BA33" s="421"/>
      <c r="BB33" s="59">
        <f t="shared" si="29"/>
        <v>0</v>
      </c>
      <c r="BC33" s="62">
        <f t="shared" si="30"/>
        <v>0</v>
      </c>
      <c r="BD33" s="421"/>
      <c r="BE33" s="59">
        <f t="shared" si="31"/>
        <v>0</v>
      </c>
      <c r="BF33" s="62">
        <f t="shared" si="32"/>
        <v>0</v>
      </c>
      <c r="BG33" s="421"/>
      <c r="BH33" s="59">
        <f t="shared" si="33"/>
        <v>0</v>
      </c>
      <c r="BI33" s="62">
        <f t="shared" si="34"/>
        <v>0</v>
      </c>
      <c r="BJ33" s="421"/>
      <c r="BK33" s="59">
        <f t="shared" si="35"/>
        <v>0</v>
      </c>
      <c r="BL33" s="62">
        <f t="shared" si="36"/>
        <v>0</v>
      </c>
      <c r="BM33" s="421"/>
      <c r="BN33" s="59">
        <f t="shared" si="37"/>
        <v>0</v>
      </c>
      <c r="BO33" s="62">
        <f t="shared" si="38"/>
        <v>0</v>
      </c>
      <c r="BP33" s="421"/>
      <c r="BQ33" s="59">
        <f t="shared" si="39"/>
        <v>0</v>
      </c>
      <c r="BR33" s="62">
        <f t="shared" si="40"/>
        <v>0</v>
      </c>
      <c r="BS33" s="421"/>
      <c r="BT33" s="59">
        <f t="shared" si="41"/>
        <v>0</v>
      </c>
      <c r="BU33" s="62">
        <f t="shared" si="42"/>
        <v>0</v>
      </c>
      <c r="BV33" s="421"/>
      <c r="BW33" s="59">
        <f t="shared" si="43"/>
        <v>0</v>
      </c>
      <c r="BX33" s="62">
        <f t="shared" si="44"/>
        <v>0</v>
      </c>
      <c r="BY33" s="421"/>
      <c r="BZ33" s="59">
        <f t="shared" si="45"/>
        <v>0</v>
      </c>
      <c r="CA33" s="62">
        <f t="shared" si="46"/>
        <v>0</v>
      </c>
      <c r="CB33" s="421"/>
      <c r="CC33" s="59">
        <f t="shared" si="47"/>
        <v>0</v>
      </c>
      <c r="CD33" s="62">
        <f t="shared" si="48"/>
        <v>0</v>
      </c>
      <c r="CE33" s="421"/>
      <c r="CF33" s="59">
        <f t="shared" si="49"/>
        <v>0</v>
      </c>
      <c r="CG33" s="62">
        <f t="shared" si="50"/>
        <v>0</v>
      </c>
      <c r="CH33" s="421"/>
      <c r="CI33" s="59">
        <f t="shared" si="51"/>
        <v>0</v>
      </c>
      <c r="CJ33" s="62">
        <f t="shared" si="52"/>
        <v>0</v>
      </c>
      <c r="CK33" s="421"/>
      <c r="CL33" s="59">
        <f t="shared" si="53"/>
        <v>0</v>
      </c>
      <c r="CM33" s="62">
        <f t="shared" si="54"/>
        <v>0</v>
      </c>
      <c r="CN33" s="421"/>
      <c r="CO33" s="59">
        <f t="shared" si="55"/>
        <v>0</v>
      </c>
      <c r="CP33" s="62">
        <f t="shared" si="56"/>
        <v>0</v>
      </c>
      <c r="CQ33" s="421"/>
      <c r="CR33" s="59">
        <f t="shared" si="57"/>
        <v>0</v>
      </c>
      <c r="CS33" s="62">
        <f t="shared" si="58"/>
        <v>0</v>
      </c>
      <c r="CT33" s="421"/>
      <c r="CU33" s="59">
        <f t="shared" si="59"/>
        <v>0</v>
      </c>
      <c r="CV33" s="62">
        <f t="shared" si="60"/>
        <v>0</v>
      </c>
      <c r="CW33" s="421"/>
      <c r="CX33" s="59">
        <f t="shared" si="61"/>
        <v>0</v>
      </c>
      <c r="CY33" s="62">
        <f t="shared" si="62"/>
        <v>0</v>
      </c>
      <c r="CZ33" s="421"/>
      <c r="DA33" s="59">
        <f t="shared" si="63"/>
        <v>0</v>
      </c>
      <c r="DB33" s="62">
        <f t="shared" si="64"/>
        <v>0</v>
      </c>
      <c r="DC33" s="421"/>
      <c r="DD33" s="59">
        <f t="shared" si="65"/>
        <v>0</v>
      </c>
      <c r="DE33" s="62">
        <f t="shared" si="66"/>
        <v>0</v>
      </c>
      <c r="DF33" s="421"/>
      <c r="DG33" s="59">
        <f t="shared" si="67"/>
        <v>0</v>
      </c>
      <c r="DH33" s="62">
        <f t="shared" si="68"/>
        <v>0</v>
      </c>
      <c r="DI33" s="421"/>
      <c r="DJ33" s="59">
        <f t="shared" si="69"/>
        <v>0</v>
      </c>
      <c r="DK33" s="62">
        <f t="shared" si="70"/>
        <v>0</v>
      </c>
      <c r="DL33" s="421"/>
      <c r="DM33" s="59">
        <f t="shared" si="71"/>
        <v>0</v>
      </c>
      <c r="DN33" s="62">
        <f t="shared" si="72"/>
        <v>0</v>
      </c>
      <c r="DO33" s="421"/>
      <c r="DP33" s="59">
        <f t="shared" si="73"/>
        <v>0</v>
      </c>
      <c r="DQ33" s="62">
        <f t="shared" si="74"/>
        <v>0</v>
      </c>
      <c r="DR33" s="421"/>
      <c r="DS33" s="59">
        <f t="shared" si="75"/>
        <v>0</v>
      </c>
      <c r="DT33" s="62">
        <f t="shared" si="76"/>
        <v>0</v>
      </c>
      <c r="DU33" s="421"/>
      <c r="DV33" s="59">
        <f t="shared" si="77"/>
        <v>0</v>
      </c>
      <c r="DW33" s="62">
        <f t="shared" si="78"/>
        <v>0</v>
      </c>
      <c r="DX33" s="161"/>
    </row>
    <row r="34" spans="1:128" ht="23.25" customHeight="1" x14ac:dyDescent="0.2">
      <c r="B34" s="377"/>
      <c r="C34" s="348">
        <f t="shared" si="79"/>
        <v>3</v>
      </c>
      <c r="D34" s="418" t="s">
        <v>7</v>
      </c>
      <c r="E34" s="419" t="s">
        <v>23</v>
      </c>
      <c r="F34" s="77">
        <v>32.041899999999998</v>
      </c>
      <c r="G34" s="420" t="s">
        <v>36</v>
      </c>
      <c r="H34" s="421">
        <v>0</v>
      </c>
      <c r="I34" s="129">
        <f t="shared" si="0"/>
        <v>0</v>
      </c>
      <c r="J34" s="97">
        <f t="shared" si="1"/>
        <v>0</v>
      </c>
      <c r="K34" s="421">
        <v>147.19999999999999</v>
      </c>
      <c r="L34" s="59">
        <f t="shared" si="2"/>
        <v>4.5939847512163761</v>
      </c>
      <c r="M34" s="60">
        <f t="shared" si="3"/>
        <v>1</v>
      </c>
      <c r="N34" s="421">
        <v>0</v>
      </c>
      <c r="O34" s="59">
        <f t="shared" si="4"/>
        <v>0</v>
      </c>
      <c r="P34" s="60">
        <f t="shared" si="5"/>
        <v>0</v>
      </c>
      <c r="Q34" s="421">
        <v>0</v>
      </c>
      <c r="R34" s="59">
        <f t="shared" si="6"/>
        <v>0</v>
      </c>
      <c r="S34" s="61">
        <f t="shared" si="7"/>
        <v>0</v>
      </c>
      <c r="T34" s="421">
        <v>0</v>
      </c>
      <c r="U34" s="59">
        <f t="shared" si="8"/>
        <v>0</v>
      </c>
      <c r="V34" s="60">
        <f t="shared" si="9"/>
        <v>0</v>
      </c>
      <c r="W34" s="422"/>
      <c r="X34" s="59">
        <f t="shared" si="10"/>
        <v>0</v>
      </c>
      <c r="Y34" s="62">
        <f t="shared" si="11"/>
        <v>0</v>
      </c>
      <c r="Z34" s="421"/>
      <c r="AA34" s="59">
        <f t="shared" si="12"/>
        <v>0</v>
      </c>
      <c r="AB34" s="62">
        <f t="shared" si="13"/>
        <v>0</v>
      </c>
      <c r="AC34" s="422"/>
      <c r="AD34" s="59">
        <f t="shared" si="80"/>
        <v>0</v>
      </c>
      <c r="AE34" s="62">
        <f t="shared" si="14"/>
        <v>0</v>
      </c>
      <c r="AF34" s="421"/>
      <c r="AG34" s="59">
        <f t="shared" si="15"/>
        <v>0</v>
      </c>
      <c r="AH34" s="62">
        <f t="shared" si="16"/>
        <v>0</v>
      </c>
      <c r="AI34" s="421"/>
      <c r="AJ34" s="59">
        <f t="shared" si="17"/>
        <v>0</v>
      </c>
      <c r="AK34" s="62">
        <f t="shared" si="18"/>
        <v>0</v>
      </c>
      <c r="AL34" s="421"/>
      <c r="AM34" s="59">
        <f t="shared" si="19"/>
        <v>0</v>
      </c>
      <c r="AN34" s="62">
        <f t="shared" si="20"/>
        <v>0</v>
      </c>
      <c r="AO34" s="421"/>
      <c r="AP34" s="59">
        <f t="shared" si="21"/>
        <v>0</v>
      </c>
      <c r="AQ34" s="62">
        <f t="shared" si="22"/>
        <v>0</v>
      </c>
      <c r="AR34" s="421"/>
      <c r="AS34" s="59">
        <f t="shared" si="23"/>
        <v>0</v>
      </c>
      <c r="AT34" s="62">
        <f t="shared" si="24"/>
        <v>0</v>
      </c>
      <c r="AU34" s="421"/>
      <c r="AV34" s="59">
        <f t="shared" si="25"/>
        <v>0</v>
      </c>
      <c r="AW34" s="62">
        <f t="shared" si="26"/>
        <v>0</v>
      </c>
      <c r="AX34" s="421"/>
      <c r="AY34" s="59">
        <f t="shared" si="27"/>
        <v>0</v>
      </c>
      <c r="AZ34" s="62">
        <f t="shared" si="28"/>
        <v>0</v>
      </c>
      <c r="BA34" s="421"/>
      <c r="BB34" s="59">
        <f t="shared" si="29"/>
        <v>0</v>
      </c>
      <c r="BC34" s="62">
        <f t="shared" si="30"/>
        <v>0</v>
      </c>
      <c r="BD34" s="421"/>
      <c r="BE34" s="59">
        <f t="shared" si="31"/>
        <v>0</v>
      </c>
      <c r="BF34" s="62">
        <f t="shared" si="32"/>
        <v>0</v>
      </c>
      <c r="BG34" s="421"/>
      <c r="BH34" s="59">
        <f t="shared" si="33"/>
        <v>0</v>
      </c>
      <c r="BI34" s="62">
        <f t="shared" si="34"/>
        <v>0</v>
      </c>
      <c r="BJ34" s="421"/>
      <c r="BK34" s="59">
        <f t="shared" si="35"/>
        <v>0</v>
      </c>
      <c r="BL34" s="62">
        <f t="shared" si="36"/>
        <v>0</v>
      </c>
      <c r="BM34" s="421"/>
      <c r="BN34" s="59">
        <f t="shared" si="37"/>
        <v>0</v>
      </c>
      <c r="BO34" s="62">
        <f t="shared" si="38"/>
        <v>0</v>
      </c>
      <c r="BP34" s="421"/>
      <c r="BQ34" s="59">
        <f t="shared" si="39"/>
        <v>0</v>
      </c>
      <c r="BR34" s="62">
        <f t="shared" si="40"/>
        <v>0</v>
      </c>
      <c r="BS34" s="421"/>
      <c r="BT34" s="59">
        <f t="shared" si="41"/>
        <v>0</v>
      </c>
      <c r="BU34" s="62">
        <f t="shared" si="42"/>
        <v>0</v>
      </c>
      <c r="BV34" s="421"/>
      <c r="BW34" s="59">
        <f t="shared" si="43"/>
        <v>0</v>
      </c>
      <c r="BX34" s="62">
        <f t="shared" si="44"/>
        <v>0</v>
      </c>
      <c r="BY34" s="421"/>
      <c r="BZ34" s="59">
        <f t="shared" si="45"/>
        <v>0</v>
      </c>
      <c r="CA34" s="62">
        <f t="shared" si="46"/>
        <v>0</v>
      </c>
      <c r="CB34" s="421"/>
      <c r="CC34" s="59">
        <f t="shared" si="47"/>
        <v>0</v>
      </c>
      <c r="CD34" s="62">
        <f t="shared" si="48"/>
        <v>0</v>
      </c>
      <c r="CE34" s="421"/>
      <c r="CF34" s="59">
        <f t="shared" si="49"/>
        <v>0</v>
      </c>
      <c r="CG34" s="62">
        <f t="shared" si="50"/>
        <v>0</v>
      </c>
      <c r="CH34" s="421"/>
      <c r="CI34" s="59">
        <f t="shared" si="51"/>
        <v>0</v>
      </c>
      <c r="CJ34" s="62">
        <f t="shared" si="52"/>
        <v>0</v>
      </c>
      <c r="CK34" s="421"/>
      <c r="CL34" s="59">
        <f t="shared" si="53"/>
        <v>0</v>
      </c>
      <c r="CM34" s="62">
        <f t="shared" si="54"/>
        <v>0</v>
      </c>
      <c r="CN34" s="421"/>
      <c r="CO34" s="59">
        <f t="shared" si="55"/>
        <v>0</v>
      </c>
      <c r="CP34" s="62">
        <f t="shared" si="56"/>
        <v>0</v>
      </c>
      <c r="CQ34" s="421"/>
      <c r="CR34" s="59">
        <f t="shared" si="57"/>
        <v>0</v>
      </c>
      <c r="CS34" s="62">
        <f t="shared" si="58"/>
        <v>0</v>
      </c>
      <c r="CT34" s="421"/>
      <c r="CU34" s="59">
        <f t="shared" si="59"/>
        <v>0</v>
      </c>
      <c r="CV34" s="62">
        <f t="shared" si="60"/>
        <v>0</v>
      </c>
      <c r="CW34" s="421"/>
      <c r="CX34" s="59">
        <f t="shared" si="61"/>
        <v>0</v>
      </c>
      <c r="CY34" s="62">
        <f t="shared" si="62"/>
        <v>0</v>
      </c>
      <c r="CZ34" s="421"/>
      <c r="DA34" s="59">
        <f t="shared" si="63"/>
        <v>0</v>
      </c>
      <c r="DB34" s="62">
        <f t="shared" si="64"/>
        <v>0</v>
      </c>
      <c r="DC34" s="421"/>
      <c r="DD34" s="59">
        <f t="shared" si="65"/>
        <v>0</v>
      </c>
      <c r="DE34" s="62">
        <f t="shared" si="66"/>
        <v>0</v>
      </c>
      <c r="DF34" s="421"/>
      <c r="DG34" s="59">
        <f t="shared" si="67"/>
        <v>0</v>
      </c>
      <c r="DH34" s="62">
        <f t="shared" si="68"/>
        <v>0</v>
      </c>
      <c r="DI34" s="421"/>
      <c r="DJ34" s="59">
        <f t="shared" si="69"/>
        <v>0</v>
      </c>
      <c r="DK34" s="62">
        <f t="shared" si="70"/>
        <v>0</v>
      </c>
      <c r="DL34" s="421"/>
      <c r="DM34" s="59">
        <f t="shared" si="71"/>
        <v>0</v>
      </c>
      <c r="DN34" s="62">
        <f t="shared" si="72"/>
        <v>0</v>
      </c>
      <c r="DO34" s="421"/>
      <c r="DP34" s="59">
        <f t="shared" si="73"/>
        <v>0</v>
      </c>
      <c r="DQ34" s="62">
        <f t="shared" si="74"/>
        <v>0</v>
      </c>
      <c r="DR34" s="421"/>
      <c r="DS34" s="59">
        <f t="shared" si="75"/>
        <v>0</v>
      </c>
      <c r="DT34" s="62">
        <f t="shared" si="76"/>
        <v>0</v>
      </c>
      <c r="DU34" s="421"/>
      <c r="DV34" s="59">
        <f t="shared" si="77"/>
        <v>0</v>
      </c>
      <c r="DW34" s="62">
        <f t="shared" si="78"/>
        <v>0</v>
      </c>
      <c r="DX34" s="161"/>
    </row>
    <row r="35" spans="1:128" ht="23.25" customHeight="1" x14ac:dyDescent="0.2">
      <c r="B35" s="377"/>
      <c r="C35" s="348">
        <f t="shared" si="79"/>
        <v>4</v>
      </c>
      <c r="D35" s="418" t="s">
        <v>6</v>
      </c>
      <c r="E35" s="419" t="s">
        <v>22</v>
      </c>
      <c r="F35" s="77">
        <v>97.995199999999997</v>
      </c>
      <c r="G35" s="420" t="s">
        <v>37</v>
      </c>
      <c r="H35" s="421">
        <v>0</v>
      </c>
      <c r="I35" s="129">
        <f t="shared" si="0"/>
        <v>0</v>
      </c>
      <c r="J35" s="97">
        <f t="shared" si="1"/>
        <v>0</v>
      </c>
      <c r="K35" s="421">
        <v>0</v>
      </c>
      <c r="L35" s="59">
        <f t="shared" si="2"/>
        <v>0</v>
      </c>
      <c r="M35" s="60">
        <f t="shared" si="3"/>
        <v>0</v>
      </c>
      <c r="N35" s="421">
        <v>0</v>
      </c>
      <c r="O35" s="59">
        <f t="shared" si="4"/>
        <v>0</v>
      </c>
      <c r="P35" s="60">
        <f t="shared" si="5"/>
        <v>0</v>
      </c>
      <c r="Q35" s="421">
        <v>0</v>
      </c>
      <c r="R35" s="59">
        <f t="shared" si="6"/>
        <v>0</v>
      </c>
      <c r="S35" s="61">
        <f t="shared" si="7"/>
        <v>0</v>
      </c>
      <c r="T35" s="421">
        <v>10</v>
      </c>
      <c r="U35" s="59">
        <f t="shared" si="8"/>
        <v>0.10204581448887293</v>
      </c>
      <c r="V35" s="60">
        <f t="shared" si="9"/>
        <v>1</v>
      </c>
      <c r="W35" s="422"/>
      <c r="X35" s="59">
        <f t="shared" si="10"/>
        <v>0</v>
      </c>
      <c r="Y35" s="62">
        <f t="shared" si="11"/>
        <v>0</v>
      </c>
      <c r="Z35" s="421"/>
      <c r="AA35" s="59">
        <f t="shared" si="12"/>
        <v>0</v>
      </c>
      <c r="AB35" s="62">
        <f t="shared" si="13"/>
        <v>0</v>
      </c>
      <c r="AC35" s="422"/>
      <c r="AD35" s="59">
        <f t="shared" si="80"/>
        <v>0</v>
      </c>
      <c r="AE35" s="62">
        <f t="shared" si="14"/>
        <v>0</v>
      </c>
      <c r="AF35" s="421"/>
      <c r="AG35" s="59">
        <f t="shared" si="15"/>
        <v>0</v>
      </c>
      <c r="AH35" s="62">
        <f t="shared" si="16"/>
        <v>0</v>
      </c>
      <c r="AI35" s="421"/>
      <c r="AJ35" s="59">
        <f t="shared" si="17"/>
        <v>0</v>
      </c>
      <c r="AK35" s="62">
        <f t="shared" si="18"/>
        <v>0</v>
      </c>
      <c r="AL35" s="421"/>
      <c r="AM35" s="59">
        <f t="shared" si="19"/>
        <v>0</v>
      </c>
      <c r="AN35" s="62">
        <f t="shared" si="20"/>
        <v>0</v>
      </c>
      <c r="AO35" s="421"/>
      <c r="AP35" s="59">
        <f t="shared" si="21"/>
        <v>0</v>
      </c>
      <c r="AQ35" s="62">
        <f t="shared" si="22"/>
        <v>0</v>
      </c>
      <c r="AR35" s="421"/>
      <c r="AS35" s="59">
        <f t="shared" si="23"/>
        <v>0</v>
      </c>
      <c r="AT35" s="62">
        <f t="shared" si="24"/>
        <v>0</v>
      </c>
      <c r="AU35" s="421"/>
      <c r="AV35" s="59">
        <f t="shared" si="25"/>
        <v>0</v>
      </c>
      <c r="AW35" s="62">
        <f t="shared" si="26"/>
        <v>0</v>
      </c>
      <c r="AX35" s="421"/>
      <c r="AY35" s="59">
        <f t="shared" si="27"/>
        <v>0</v>
      </c>
      <c r="AZ35" s="62">
        <f t="shared" si="28"/>
        <v>0</v>
      </c>
      <c r="BA35" s="421"/>
      <c r="BB35" s="59">
        <f t="shared" si="29"/>
        <v>0</v>
      </c>
      <c r="BC35" s="62">
        <f t="shared" si="30"/>
        <v>0</v>
      </c>
      <c r="BD35" s="421"/>
      <c r="BE35" s="59">
        <f t="shared" si="31"/>
        <v>0</v>
      </c>
      <c r="BF35" s="62">
        <f t="shared" si="32"/>
        <v>0</v>
      </c>
      <c r="BG35" s="421"/>
      <c r="BH35" s="59">
        <f t="shared" si="33"/>
        <v>0</v>
      </c>
      <c r="BI35" s="62">
        <f t="shared" si="34"/>
        <v>0</v>
      </c>
      <c r="BJ35" s="421"/>
      <c r="BK35" s="59">
        <f t="shared" si="35"/>
        <v>0</v>
      </c>
      <c r="BL35" s="62">
        <f t="shared" si="36"/>
        <v>0</v>
      </c>
      <c r="BM35" s="421"/>
      <c r="BN35" s="59">
        <f t="shared" si="37"/>
        <v>0</v>
      </c>
      <c r="BO35" s="62">
        <f t="shared" si="38"/>
        <v>0</v>
      </c>
      <c r="BP35" s="421"/>
      <c r="BQ35" s="59">
        <f t="shared" si="39"/>
        <v>0</v>
      </c>
      <c r="BR35" s="62">
        <f t="shared" si="40"/>
        <v>0</v>
      </c>
      <c r="BS35" s="421"/>
      <c r="BT35" s="59">
        <f t="shared" si="41"/>
        <v>0</v>
      </c>
      <c r="BU35" s="62">
        <f t="shared" si="42"/>
        <v>0</v>
      </c>
      <c r="BV35" s="421"/>
      <c r="BW35" s="59">
        <f t="shared" si="43"/>
        <v>0</v>
      </c>
      <c r="BX35" s="62">
        <f t="shared" si="44"/>
        <v>0</v>
      </c>
      <c r="BY35" s="421"/>
      <c r="BZ35" s="59">
        <f t="shared" si="45"/>
        <v>0</v>
      </c>
      <c r="CA35" s="62">
        <f t="shared" si="46"/>
        <v>0</v>
      </c>
      <c r="CB35" s="421"/>
      <c r="CC35" s="59">
        <f t="shared" si="47"/>
        <v>0</v>
      </c>
      <c r="CD35" s="62">
        <f t="shared" si="48"/>
        <v>0</v>
      </c>
      <c r="CE35" s="421"/>
      <c r="CF35" s="59">
        <f t="shared" si="49"/>
        <v>0</v>
      </c>
      <c r="CG35" s="62">
        <f t="shared" si="50"/>
        <v>0</v>
      </c>
      <c r="CH35" s="421"/>
      <c r="CI35" s="59">
        <f t="shared" si="51"/>
        <v>0</v>
      </c>
      <c r="CJ35" s="62">
        <f t="shared" si="52"/>
        <v>0</v>
      </c>
      <c r="CK35" s="421"/>
      <c r="CL35" s="59">
        <f t="shared" si="53"/>
        <v>0</v>
      </c>
      <c r="CM35" s="62">
        <f t="shared" si="54"/>
        <v>0</v>
      </c>
      <c r="CN35" s="421"/>
      <c r="CO35" s="59">
        <f t="shared" si="55"/>
        <v>0</v>
      </c>
      <c r="CP35" s="62">
        <f t="shared" si="56"/>
        <v>0</v>
      </c>
      <c r="CQ35" s="421"/>
      <c r="CR35" s="59">
        <f t="shared" si="57"/>
        <v>0</v>
      </c>
      <c r="CS35" s="62">
        <f t="shared" si="58"/>
        <v>0</v>
      </c>
      <c r="CT35" s="421"/>
      <c r="CU35" s="59">
        <f t="shared" si="59"/>
        <v>0</v>
      </c>
      <c r="CV35" s="62">
        <f t="shared" si="60"/>
        <v>0</v>
      </c>
      <c r="CW35" s="421"/>
      <c r="CX35" s="59">
        <f t="shared" si="61"/>
        <v>0</v>
      </c>
      <c r="CY35" s="62">
        <f t="shared" si="62"/>
        <v>0</v>
      </c>
      <c r="CZ35" s="421"/>
      <c r="DA35" s="59">
        <f t="shared" si="63"/>
        <v>0</v>
      </c>
      <c r="DB35" s="62">
        <f t="shared" si="64"/>
        <v>0</v>
      </c>
      <c r="DC35" s="421"/>
      <c r="DD35" s="59">
        <f t="shared" si="65"/>
        <v>0</v>
      </c>
      <c r="DE35" s="62">
        <f t="shared" si="66"/>
        <v>0</v>
      </c>
      <c r="DF35" s="421"/>
      <c r="DG35" s="59">
        <f t="shared" si="67"/>
        <v>0</v>
      </c>
      <c r="DH35" s="62">
        <f t="shared" si="68"/>
        <v>0</v>
      </c>
      <c r="DI35" s="421"/>
      <c r="DJ35" s="59">
        <f t="shared" si="69"/>
        <v>0</v>
      </c>
      <c r="DK35" s="62">
        <f t="shared" si="70"/>
        <v>0</v>
      </c>
      <c r="DL35" s="421"/>
      <c r="DM35" s="59">
        <f t="shared" si="71"/>
        <v>0</v>
      </c>
      <c r="DN35" s="62">
        <f t="shared" si="72"/>
        <v>0</v>
      </c>
      <c r="DO35" s="421"/>
      <c r="DP35" s="59">
        <f t="shared" si="73"/>
        <v>0</v>
      </c>
      <c r="DQ35" s="62">
        <f t="shared" si="74"/>
        <v>0</v>
      </c>
      <c r="DR35" s="421"/>
      <c r="DS35" s="59">
        <f t="shared" si="75"/>
        <v>0</v>
      </c>
      <c r="DT35" s="62">
        <f t="shared" si="76"/>
        <v>0</v>
      </c>
      <c r="DU35" s="421"/>
      <c r="DV35" s="59">
        <f t="shared" si="77"/>
        <v>0</v>
      </c>
      <c r="DW35" s="62">
        <f t="shared" si="78"/>
        <v>0</v>
      </c>
      <c r="DX35" s="161"/>
    </row>
    <row r="36" spans="1:128" ht="23.25" customHeight="1" x14ac:dyDescent="0.2">
      <c r="B36" s="377"/>
      <c r="C36" s="348">
        <f t="shared" si="79"/>
        <v>5</v>
      </c>
      <c r="D36" s="418" t="s">
        <v>38</v>
      </c>
      <c r="E36" s="419" t="s">
        <v>21</v>
      </c>
      <c r="F36" s="77">
        <v>163.941</v>
      </c>
      <c r="G36" s="420" t="s">
        <v>39</v>
      </c>
      <c r="H36" s="421">
        <v>0</v>
      </c>
      <c r="I36" s="129">
        <f t="shared" si="0"/>
        <v>0</v>
      </c>
      <c r="J36" s="97">
        <f t="shared" si="1"/>
        <v>0</v>
      </c>
      <c r="K36" s="421">
        <v>0</v>
      </c>
      <c r="L36" s="59">
        <f t="shared" si="2"/>
        <v>0</v>
      </c>
      <c r="M36" s="60">
        <f t="shared" si="3"/>
        <v>0</v>
      </c>
      <c r="N36" s="421">
        <v>0</v>
      </c>
      <c r="O36" s="59">
        <f t="shared" si="4"/>
        <v>0</v>
      </c>
      <c r="P36" s="60">
        <f t="shared" si="5"/>
        <v>0</v>
      </c>
      <c r="Q36" s="421">
        <v>0</v>
      </c>
      <c r="R36" s="59">
        <f t="shared" si="6"/>
        <v>0</v>
      </c>
      <c r="S36" s="61">
        <f t="shared" si="7"/>
        <v>0</v>
      </c>
      <c r="T36" s="421">
        <v>0</v>
      </c>
      <c r="U36" s="59">
        <f t="shared" si="8"/>
        <v>0</v>
      </c>
      <c r="V36" s="60">
        <f t="shared" si="9"/>
        <v>0</v>
      </c>
      <c r="W36" s="422"/>
      <c r="X36" s="59">
        <f t="shared" si="10"/>
        <v>0</v>
      </c>
      <c r="Y36" s="62">
        <f t="shared" si="11"/>
        <v>0</v>
      </c>
      <c r="Z36" s="421"/>
      <c r="AA36" s="59">
        <f t="shared" si="12"/>
        <v>0</v>
      </c>
      <c r="AB36" s="62">
        <f t="shared" si="13"/>
        <v>0</v>
      </c>
      <c r="AC36" s="422"/>
      <c r="AD36" s="59">
        <f t="shared" si="80"/>
        <v>0</v>
      </c>
      <c r="AE36" s="62">
        <f t="shared" si="14"/>
        <v>0</v>
      </c>
      <c r="AF36" s="421"/>
      <c r="AG36" s="59">
        <f t="shared" si="15"/>
        <v>0</v>
      </c>
      <c r="AH36" s="62">
        <f t="shared" si="16"/>
        <v>0</v>
      </c>
      <c r="AI36" s="421"/>
      <c r="AJ36" s="59">
        <f t="shared" si="17"/>
        <v>0</v>
      </c>
      <c r="AK36" s="62">
        <f t="shared" si="18"/>
        <v>0</v>
      </c>
      <c r="AL36" s="421"/>
      <c r="AM36" s="59">
        <f t="shared" si="19"/>
        <v>0</v>
      </c>
      <c r="AN36" s="62">
        <f t="shared" si="20"/>
        <v>0</v>
      </c>
      <c r="AO36" s="421"/>
      <c r="AP36" s="59">
        <f t="shared" si="21"/>
        <v>0</v>
      </c>
      <c r="AQ36" s="62">
        <f t="shared" si="22"/>
        <v>0</v>
      </c>
      <c r="AR36" s="421"/>
      <c r="AS36" s="59">
        <f t="shared" si="23"/>
        <v>0</v>
      </c>
      <c r="AT36" s="62">
        <f t="shared" si="24"/>
        <v>0</v>
      </c>
      <c r="AU36" s="421"/>
      <c r="AV36" s="59">
        <f t="shared" si="25"/>
        <v>0</v>
      </c>
      <c r="AW36" s="62">
        <f t="shared" si="26"/>
        <v>0</v>
      </c>
      <c r="AX36" s="421"/>
      <c r="AY36" s="59">
        <f t="shared" si="27"/>
        <v>0</v>
      </c>
      <c r="AZ36" s="62">
        <f t="shared" si="28"/>
        <v>0</v>
      </c>
      <c r="BA36" s="421"/>
      <c r="BB36" s="59">
        <f t="shared" si="29"/>
        <v>0</v>
      </c>
      <c r="BC36" s="62">
        <f t="shared" si="30"/>
        <v>0</v>
      </c>
      <c r="BD36" s="421"/>
      <c r="BE36" s="59">
        <f t="shared" si="31"/>
        <v>0</v>
      </c>
      <c r="BF36" s="62">
        <f t="shared" si="32"/>
        <v>0</v>
      </c>
      <c r="BG36" s="421"/>
      <c r="BH36" s="59">
        <f t="shared" si="33"/>
        <v>0</v>
      </c>
      <c r="BI36" s="62">
        <f t="shared" si="34"/>
        <v>0</v>
      </c>
      <c r="BJ36" s="421"/>
      <c r="BK36" s="59">
        <f t="shared" si="35"/>
        <v>0</v>
      </c>
      <c r="BL36" s="62">
        <f t="shared" si="36"/>
        <v>0</v>
      </c>
      <c r="BM36" s="421"/>
      <c r="BN36" s="59">
        <f t="shared" si="37"/>
        <v>0</v>
      </c>
      <c r="BO36" s="62">
        <f t="shared" si="38"/>
        <v>0</v>
      </c>
      <c r="BP36" s="421"/>
      <c r="BQ36" s="59">
        <f t="shared" si="39"/>
        <v>0</v>
      </c>
      <c r="BR36" s="62">
        <f t="shared" si="40"/>
        <v>0</v>
      </c>
      <c r="BS36" s="421"/>
      <c r="BT36" s="59">
        <f t="shared" si="41"/>
        <v>0</v>
      </c>
      <c r="BU36" s="62">
        <f t="shared" si="42"/>
        <v>0</v>
      </c>
      <c r="BV36" s="421"/>
      <c r="BW36" s="59">
        <f t="shared" si="43"/>
        <v>0</v>
      </c>
      <c r="BX36" s="62">
        <f t="shared" si="44"/>
        <v>0</v>
      </c>
      <c r="BY36" s="421"/>
      <c r="BZ36" s="59">
        <f t="shared" si="45"/>
        <v>0</v>
      </c>
      <c r="CA36" s="62">
        <f t="shared" si="46"/>
        <v>0</v>
      </c>
      <c r="CB36" s="421"/>
      <c r="CC36" s="59">
        <f t="shared" si="47"/>
        <v>0</v>
      </c>
      <c r="CD36" s="62">
        <f t="shared" si="48"/>
        <v>0</v>
      </c>
      <c r="CE36" s="421"/>
      <c r="CF36" s="59">
        <f t="shared" si="49"/>
        <v>0</v>
      </c>
      <c r="CG36" s="62">
        <f t="shared" si="50"/>
        <v>0</v>
      </c>
      <c r="CH36" s="421"/>
      <c r="CI36" s="59">
        <f t="shared" si="51"/>
        <v>0</v>
      </c>
      <c r="CJ36" s="62">
        <f t="shared" si="52"/>
        <v>0</v>
      </c>
      <c r="CK36" s="421"/>
      <c r="CL36" s="59">
        <f t="shared" si="53"/>
        <v>0</v>
      </c>
      <c r="CM36" s="62">
        <f t="shared" si="54"/>
        <v>0</v>
      </c>
      <c r="CN36" s="421"/>
      <c r="CO36" s="59">
        <f t="shared" si="55"/>
        <v>0</v>
      </c>
      <c r="CP36" s="62">
        <f t="shared" si="56"/>
        <v>0</v>
      </c>
      <c r="CQ36" s="421"/>
      <c r="CR36" s="59">
        <f t="shared" si="57"/>
        <v>0</v>
      </c>
      <c r="CS36" s="62">
        <f t="shared" si="58"/>
        <v>0</v>
      </c>
      <c r="CT36" s="421"/>
      <c r="CU36" s="59">
        <f t="shared" si="59"/>
        <v>0</v>
      </c>
      <c r="CV36" s="62">
        <f t="shared" si="60"/>
        <v>0</v>
      </c>
      <c r="CW36" s="421"/>
      <c r="CX36" s="59">
        <f t="shared" si="61"/>
        <v>0</v>
      </c>
      <c r="CY36" s="62">
        <f t="shared" si="62"/>
        <v>0</v>
      </c>
      <c r="CZ36" s="421"/>
      <c r="DA36" s="59">
        <f t="shared" si="63"/>
        <v>0</v>
      </c>
      <c r="DB36" s="62">
        <f t="shared" si="64"/>
        <v>0</v>
      </c>
      <c r="DC36" s="421"/>
      <c r="DD36" s="59">
        <f t="shared" si="65"/>
        <v>0</v>
      </c>
      <c r="DE36" s="62">
        <f t="shared" si="66"/>
        <v>0</v>
      </c>
      <c r="DF36" s="421"/>
      <c r="DG36" s="59">
        <f t="shared" si="67"/>
        <v>0</v>
      </c>
      <c r="DH36" s="62">
        <f t="shared" si="68"/>
        <v>0</v>
      </c>
      <c r="DI36" s="421"/>
      <c r="DJ36" s="59">
        <f t="shared" si="69"/>
        <v>0</v>
      </c>
      <c r="DK36" s="62">
        <f t="shared" si="70"/>
        <v>0</v>
      </c>
      <c r="DL36" s="421"/>
      <c r="DM36" s="59">
        <f t="shared" si="71"/>
        <v>0</v>
      </c>
      <c r="DN36" s="62">
        <f t="shared" si="72"/>
        <v>0</v>
      </c>
      <c r="DO36" s="421"/>
      <c r="DP36" s="59">
        <f t="shared" si="73"/>
        <v>0</v>
      </c>
      <c r="DQ36" s="62">
        <f t="shared" si="74"/>
        <v>0</v>
      </c>
      <c r="DR36" s="421"/>
      <c r="DS36" s="59">
        <f t="shared" si="75"/>
        <v>0</v>
      </c>
      <c r="DT36" s="62">
        <f t="shared" si="76"/>
        <v>0</v>
      </c>
      <c r="DU36" s="421"/>
      <c r="DV36" s="59">
        <f t="shared" si="77"/>
        <v>0</v>
      </c>
      <c r="DW36" s="62">
        <f t="shared" si="78"/>
        <v>0</v>
      </c>
      <c r="DX36" s="161"/>
    </row>
    <row r="37" spans="1:128" s="424" customFormat="1" ht="23.25" customHeight="1" x14ac:dyDescent="0.2">
      <c r="A37" s="5"/>
      <c r="B37" s="377"/>
      <c r="C37" s="348">
        <f t="shared" si="79"/>
        <v>6</v>
      </c>
      <c r="D37" s="418" t="s">
        <v>47</v>
      </c>
      <c r="E37" s="419" t="s">
        <v>20</v>
      </c>
      <c r="F37" s="77">
        <v>885.43200000000002</v>
      </c>
      <c r="G37" s="420" t="s">
        <v>46</v>
      </c>
      <c r="H37" s="421">
        <v>987</v>
      </c>
      <c r="I37" s="129">
        <f t="shared" si="0"/>
        <v>1.1147101076084893</v>
      </c>
      <c r="J37" s="97">
        <f t="shared" si="1"/>
        <v>0.83327203080910039</v>
      </c>
      <c r="K37" s="421">
        <v>0</v>
      </c>
      <c r="L37" s="59">
        <f t="shared" si="2"/>
        <v>0</v>
      </c>
      <c r="M37" s="60">
        <f t="shared" si="3"/>
        <v>0</v>
      </c>
      <c r="N37" s="421">
        <v>0</v>
      </c>
      <c r="O37" s="59">
        <f t="shared" si="4"/>
        <v>0</v>
      </c>
      <c r="P37" s="60">
        <f t="shared" si="5"/>
        <v>0</v>
      </c>
      <c r="Q37" s="421">
        <v>0</v>
      </c>
      <c r="R37" s="59">
        <f t="shared" si="6"/>
        <v>0</v>
      </c>
      <c r="S37" s="61">
        <f t="shared" si="7"/>
        <v>0</v>
      </c>
      <c r="T37" s="421">
        <v>0</v>
      </c>
      <c r="U37" s="59">
        <f t="shared" si="8"/>
        <v>0</v>
      </c>
      <c r="V37" s="60">
        <f t="shared" si="9"/>
        <v>0</v>
      </c>
      <c r="W37" s="422"/>
      <c r="X37" s="59">
        <f t="shared" si="10"/>
        <v>0</v>
      </c>
      <c r="Y37" s="62">
        <f t="shared" si="11"/>
        <v>0</v>
      </c>
      <c r="Z37" s="421"/>
      <c r="AA37" s="59">
        <f t="shared" si="12"/>
        <v>0</v>
      </c>
      <c r="AB37" s="62">
        <f t="shared" si="13"/>
        <v>0</v>
      </c>
      <c r="AC37" s="422"/>
      <c r="AD37" s="59">
        <f t="shared" si="80"/>
        <v>0</v>
      </c>
      <c r="AE37" s="62">
        <f t="shared" si="14"/>
        <v>0</v>
      </c>
      <c r="AF37" s="421"/>
      <c r="AG37" s="59">
        <f t="shared" si="15"/>
        <v>0</v>
      </c>
      <c r="AH37" s="62">
        <f t="shared" si="16"/>
        <v>0</v>
      </c>
      <c r="AI37" s="421"/>
      <c r="AJ37" s="59">
        <f t="shared" si="17"/>
        <v>0</v>
      </c>
      <c r="AK37" s="62">
        <f t="shared" si="18"/>
        <v>0</v>
      </c>
      <c r="AL37" s="421"/>
      <c r="AM37" s="59">
        <f t="shared" si="19"/>
        <v>0</v>
      </c>
      <c r="AN37" s="62">
        <f t="shared" si="20"/>
        <v>0</v>
      </c>
      <c r="AO37" s="421"/>
      <c r="AP37" s="59">
        <f t="shared" si="21"/>
        <v>0</v>
      </c>
      <c r="AQ37" s="62">
        <f t="shared" si="22"/>
        <v>0</v>
      </c>
      <c r="AR37" s="421"/>
      <c r="AS37" s="59">
        <f t="shared" si="23"/>
        <v>0</v>
      </c>
      <c r="AT37" s="62">
        <f t="shared" si="24"/>
        <v>0</v>
      </c>
      <c r="AU37" s="421"/>
      <c r="AV37" s="59">
        <f t="shared" si="25"/>
        <v>0</v>
      </c>
      <c r="AW37" s="62">
        <f t="shared" si="26"/>
        <v>0</v>
      </c>
      <c r="AX37" s="421"/>
      <c r="AY37" s="59">
        <f t="shared" si="27"/>
        <v>0</v>
      </c>
      <c r="AZ37" s="62">
        <f t="shared" si="28"/>
        <v>0</v>
      </c>
      <c r="BA37" s="421"/>
      <c r="BB37" s="59">
        <f t="shared" si="29"/>
        <v>0</v>
      </c>
      <c r="BC37" s="62">
        <f t="shared" si="30"/>
        <v>0</v>
      </c>
      <c r="BD37" s="421"/>
      <c r="BE37" s="59">
        <f t="shared" si="31"/>
        <v>0</v>
      </c>
      <c r="BF37" s="62">
        <f t="shared" si="32"/>
        <v>0</v>
      </c>
      <c r="BG37" s="421"/>
      <c r="BH37" s="59">
        <f t="shared" si="33"/>
        <v>0</v>
      </c>
      <c r="BI37" s="62">
        <f t="shared" si="34"/>
        <v>0</v>
      </c>
      <c r="BJ37" s="421"/>
      <c r="BK37" s="59">
        <f t="shared" si="35"/>
        <v>0</v>
      </c>
      <c r="BL37" s="62">
        <f t="shared" si="36"/>
        <v>0</v>
      </c>
      <c r="BM37" s="421"/>
      <c r="BN37" s="59">
        <f t="shared" si="37"/>
        <v>0</v>
      </c>
      <c r="BO37" s="62">
        <f t="shared" si="38"/>
        <v>0</v>
      </c>
      <c r="BP37" s="421"/>
      <c r="BQ37" s="59">
        <f t="shared" si="39"/>
        <v>0</v>
      </c>
      <c r="BR37" s="62">
        <f t="shared" si="40"/>
        <v>0</v>
      </c>
      <c r="BS37" s="421"/>
      <c r="BT37" s="59">
        <f t="shared" si="41"/>
        <v>0</v>
      </c>
      <c r="BU37" s="62">
        <f t="shared" si="42"/>
        <v>0</v>
      </c>
      <c r="BV37" s="421"/>
      <c r="BW37" s="59">
        <f t="shared" si="43"/>
        <v>0</v>
      </c>
      <c r="BX37" s="62">
        <f t="shared" si="44"/>
        <v>0</v>
      </c>
      <c r="BY37" s="421"/>
      <c r="BZ37" s="59">
        <f t="shared" si="45"/>
        <v>0</v>
      </c>
      <c r="CA37" s="62">
        <f t="shared" si="46"/>
        <v>0</v>
      </c>
      <c r="CB37" s="421"/>
      <c r="CC37" s="59">
        <f t="shared" si="47"/>
        <v>0</v>
      </c>
      <c r="CD37" s="62">
        <f t="shared" si="48"/>
        <v>0</v>
      </c>
      <c r="CE37" s="421"/>
      <c r="CF37" s="59">
        <f t="shared" si="49"/>
        <v>0</v>
      </c>
      <c r="CG37" s="62">
        <f t="shared" si="50"/>
        <v>0</v>
      </c>
      <c r="CH37" s="421"/>
      <c r="CI37" s="59">
        <f t="shared" si="51"/>
        <v>0</v>
      </c>
      <c r="CJ37" s="62">
        <f t="shared" si="52"/>
        <v>0</v>
      </c>
      <c r="CK37" s="421"/>
      <c r="CL37" s="59">
        <f t="shared" si="53"/>
        <v>0</v>
      </c>
      <c r="CM37" s="62">
        <f t="shared" si="54"/>
        <v>0</v>
      </c>
      <c r="CN37" s="421"/>
      <c r="CO37" s="59">
        <f t="shared" si="55"/>
        <v>0</v>
      </c>
      <c r="CP37" s="62">
        <f t="shared" si="56"/>
        <v>0</v>
      </c>
      <c r="CQ37" s="421"/>
      <c r="CR37" s="59">
        <f t="shared" si="57"/>
        <v>0</v>
      </c>
      <c r="CS37" s="62">
        <f t="shared" si="58"/>
        <v>0</v>
      </c>
      <c r="CT37" s="421"/>
      <c r="CU37" s="59">
        <f t="shared" si="59"/>
        <v>0</v>
      </c>
      <c r="CV37" s="62">
        <f t="shared" si="60"/>
        <v>0</v>
      </c>
      <c r="CW37" s="421"/>
      <c r="CX37" s="59">
        <f t="shared" si="61"/>
        <v>0</v>
      </c>
      <c r="CY37" s="62">
        <f t="shared" si="62"/>
        <v>0</v>
      </c>
      <c r="CZ37" s="421"/>
      <c r="DA37" s="59">
        <f t="shared" si="63"/>
        <v>0</v>
      </c>
      <c r="DB37" s="62">
        <f t="shared" si="64"/>
        <v>0</v>
      </c>
      <c r="DC37" s="421"/>
      <c r="DD37" s="59">
        <f t="shared" si="65"/>
        <v>0</v>
      </c>
      <c r="DE37" s="62">
        <f t="shared" si="66"/>
        <v>0</v>
      </c>
      <c r="DF37" s="421"/>
      <c r="DG37" s="59">
        <f t="shared" si="67"/>
        <v>0</v>
      </c>
      <c r="DH37" s="62">
        <f t="shared" si="68"/>
        <v>0</v>
      </c>
      <c r="DI37" s="421"/>
      <c r="DJ37" s="59">
        <f t="shared" si="69"/>
        <v>0</v>
      </c>
      <c r="DK37" s="62">
        <f t="shared" si="70"/>
        <v>0</v>
      </c>
      <c r="DL37" s="421"/>
      <c r="DM37" s="59">
        <f t="shared" si="71"/>
        <v>0</v>
      </c>
      <c r="DN37" s="62">
        <f t="shared" si="72"/>
        <v>0</v>
      </c>
      <c r="DO37" s="421"/>
      <c r="DP37" s="59">
        <f t="shared" si="73"/>
        <v>0</v>
      </c>
      <c r="DQ37" s="62">
        <f t="shared" si="74"/>
        <v>0</v>
      </c>
      <c r="DR37" s="421"/>
      <c r="DS37" s="59">
        <f t="shared" si="75"/>
        <v>0</v>
      </c>
      <c r="DT37" s="62">
        <f t="shared" si="76"/>
        <v>0</v>
      </c>
      <c r="DU37" s="421"/>
      <c r="DV37" s="59">
        <f t="shared" si="77"/>
        <v>0</v>
      </c>
      <c r="DW37" s="62">
        <f t="shared" si="78"/>
        <v>0</v>
      </c>
      <c r="DX37" s="423"/>
    </row>
    <row r="38" spans="1:128" ht="23.25" customHeight="1" x14ac:dyDescent="0.2">
      <c r="B38" s="377"/>
      <c r="C38" s="348">
        <f t="shared" si="79"/>
        <v>7</v>
      </c>
      <c r="D38" s="418" t="s">
        <v>5</v>
      </c>
      <c r="E38" s="419" t="s">
        <v>19</v>
      </c>
      <c r="F38" s="77">
        <v>18.0153</v>
      </c>
      <c r="G38" s="420" t="s">
        <v>45</v>
      </c>
      <c r="H38" s="421">
        <v>0</v>
      </c>
      <c r="I38" s="129">
        <f>IF(F38&gt;0,H38/F38,"")</f>
        <v>0</v>
      </c>
      <c r="J38" s="97">
        <f t="shared" si="1"/>
        <v>0</v>
      </c>
      <c r="K38" s="421">
        <v>0</v>
      </c>
      <c r="L38" s="59">
        <f t="shared" si="2"/>
        <v>0</v>
      </c>
      <c r="M38" s="60">
        <f t="shared" si="3"/>
        <v>0</v>
      </c>
      <c r="N38" s="421">
        <v>0</v>
      </c>
      <c r="O38" s="59">
        <f t="shared" si="4"/>
        <v>0</v>
      </c>
      <c r="P38" s="60">
        <f t="shared" si="5"/>
        <v>0</v>
      </c>
      <c r="Q38" s="421">
        <v>11</v>
      </c>
      <c r="R38" s="59">
        <f t="shared" si="6"/>
        <v>0.6105921078194646</v>
      </c>
      <c r="S38" s="61">
        <f t="shared" si="7"/>
        <v>1</v>
      </c>
      <c r="T38" s="421">
        <v>0</v>
      </c>
      <c r="U38" s="59">
        <f t="shared" si="8"/>
        <v>0</v>
      </c>
      <c r="V38" s="60">
        <f t="shared" si="9"/>
        <v>0</v>
      </c>
      <c r="W38" s="422"/>
      <c r="X38" s="59">
        <f t="shared" si="10"/>
        <v>0</v>
      </c>
      <c r="Y38" s="62">
        <f t="shared" si="11"/>
        <v>0</v>
      </c>
      <c r="Z38" s="421"/>
      <c r="AA38" s="59">
        <f t="shared" si="12"/>
        <v>0</v>
      </c>
      <c r="AB38" s="62">
        <f t="shared" si="13"/>
        <v>0</v>
      </c>
      <c r="AC38" s="422"/>
      <c r="AD38" s="59">
        <f t="shared" si="80"/>
        <v>0</v>
      </c>
      <c r="AE38" s="62">
        <f t="shared" si="14"/>
        <v>0</v>
      </c>
      <c r="AF38" s="421"/>
      <c r="AG38" s="59">
        <f t="shared" si="15"/>
        <v>0</v>
      </c>
      <c r="AH38" s="62">
        <f t="shared" si="16"/>
        <v>0</v>
      </c>
      <c r="AI38" s="421"/>
      <c r="AJ38" s="59">
        <f t="shared" si="17"/>
        <v>0</v>
      </c>
      <c r="AK38" s="62">
        <f t="shared" si="18"/>
        <v>0</v>
      </c>
      <c r="AL38" s="421"/>
      <c r="AM38" s="59">
        <f t="shared" si="19"/>
        <v>0</v>
      </c>
      <c r="AN38" s="62">
        <f t="shared" si="20"/>
        <v>0</v>
      </c>
      <c r="AO38" s="421"/>
      <c r="AP38" s="59">
        <f t="shared" si="21"/>
        <v>0</v>
      </c>
      <c r="AQ38" s="62">
        <f t="shared" si="22"/>
        <v>0</v>
      </c>
      <c r="AR38" s="421"/>
      <c r="AS38" s="59">
        <f t="shared" si="23"/>
        <v>0</v>
      </c>
      <c r="AT38" s="62">
        <f t="shared" si="24"/>
        <v>0</v>
      </c>
      <c r="AU38" s="421"/>
      <c r="AV38" s="59">
        <f t="shared" si="25"/>
        <v>0</v>
      </c>
      <c r="AW38" s="62">
        <f t="shared" si="26"/>
        <v>0</v>
      </c>
      <c r="AX38" s="421"/>
      <c r="AY38" s="59">
        <f t="shared" si="27"/>
        <v>0</v>
      </c>
      <c r="AZ38" s="62">
        <f t="shared" si="28"/>
        <v>0</v>
      </c>
      <c r="BA38" s="421"/>
      <c r="BB38" s="59">
        <f t="shared" si="29"/>
        <v>0</v>
      </c>
      <c r="BC38" s="62">
        <f t="shared" si="30"/>
        <v>0</v>
      </c>
      <c r="BD38" s="421"/>
      <c r="BE38" s="59">
        <f t="shared" si="31"/>
        <v>0</v>
      </c>
      <c r="BF38" s="62">
        <f t="shared" si="32"/>
        <v>0</v>
      </c>
      <c r="BG38" s="421"/>
      <c r="BH38" s="59">
        <f t="shared" si="33"/>
        <v>0</v>
      </c>
      <c r="BI38" s="62">
        <f t="shared" si="34"/>
        <v>0</v>
      </c>
      <c r="BJ38" s="421"/>
      <c r="BK38" s="59">
        <f t="shared" si="35"/>
        <v>0</v>
      </c>
      <c r="BL38" s="62">
        <f t="shared" si="36"/>
        <v>0</v>
      </c>
      <c r="BM38" s="421"/>
      <c r="BN38" s="59">
        <f t="shared" si="37"/>
        <v>0</v>
      </c>
      <c r="BO38" s="62">
        <f t="shared" si="38"/>
        <v>0</v>
      </c>
      <c r="BP38" s="421"/>
      <c r="BQ38" s="59">
        <f t="shared" si="39"/>
        <v>0</v>
      </c>
      <c r="BR38" s="62">
        <f t="shared" si="40"/>
        <v>0</v>
      </c>
      <c r="BS38" s="421"/>
      <c r="BT38" s="59">
        <f t="shared" si="41"/>
        <v>0</v>
      </c>
      <c r="BU38" s="62">
        <f t="shared" si="42"/>
        <v>0</v>
      </c>
      <c r="BV38" s="421"/>
      <c r="BW38" s="59">
        <f t="shared" si="43"/>
        <v>0</v>
      </c>
      <c r="BX38" s="62">
        <f t="shared" si="44"/>
        <v>0</v>
      </c>
      <c r="BY38" s="421"/>
      <c r="BZ38" s="59">
        <f t="shared" si="45"/>
        <v>0</v>
      </c>
      <c r="CA38" s="62">
        <f t="shared" si="46"/>
        <v>0</v>
      </c>
      <c r="CB38" s="421"/>
      <c r="CC38" s="59">
        <f t="shared" si="47"/>
        <v>0</v>
      </c>
      <c r="CD38" s="62">
        <f t="shared" si="48"/>
        <v>0</v>
      </c>
      <c r="CE38" s="421"/>
      <c r="CF38" s="59">
        <f t="shared" si="49"/>
        <v>0</v>
      </c>
      <c r="CG38" s="62">
        <f t="shared" si="50"/>
        <v>0</v>
      </c>
      <c r="CH38" s="421"/>
      <c r="CI38" s="59">
        <f t="shared" si="51"/>
        <v>0</v>
      </c>
      <c r="CJ38" s="62">
        <f t="shared" si="52"/>
        <v>0</v>
      </c>
      <c r="CK38" s="421"/>
      <c r="CL38" s="59">
        <f t="shared" si="53"/>
        <v>0</v>
      </c>
      <c r="CM38" s="62">
        <f t="shared" si="54"/>
        <v>0</v>
      </c>
      <c r="CN38" s="421"/>
      <c r="CO38" s="59">
        <f t="shared" si="55"/>
        <v>0</v>
      </c>
      <c r="CP38" s="62">
        <f t="shared" si="56"/>
        <v>0</v>
      </c>
      <c r="CQ38" s="421"/>
      <c r="CR38" s="59">
        <f t="shared" si="57"/>
        <v>0</v>
      </c>
      <c r="CS38" s="62">
        <f t="shared" si="58"/>
        <v>0</v>
      </c>
      <c r="CT38" s="421"/>
      <c r="CU38" s="59">
        <f t="shared" si="59"/>
        <v>0</v>
      </c>
      <c r="CV38" s="62">
        <f t="shared" si="60"/>
        <v>0</v>
      </c>
      <c r="CW38" s="421"/>
      <c r="CX38" s="59">
        <f t="shared" si="61"/>
        <v>0</v>
      </c>
      <c r="CY38" s="62">
        <f t="shared" si="62"/>
        <v>0</v>
      </c>
      <c r="CZ38" s="421"/>
      <c r="DA38" s="59">
        <f t="shared" si="63"/>
        <v>0</v>
      </c>
      <c r="DB38" s="62">
        <f t="shared" si="64"/>
        <v>0</v>
      </c>
      <c r="DC38" s="421"/>
      <c r="DD38" s="59">
        <f t="shared" si="65"/>
        <v>0</v>
      </c>
      <c r="DE38" s="62">
        <f t="shared" si="66"/>
        <v>0</v>
      </c>
      <c r="DF38" s="421"/>
      <c r="DG38" s="59">
        <f t="shared" si="67"/>
        <v>0</v>
      </c>
      <c r="DH38" s="62">
        <f t="shared" si="68"/>
        <v>0</v>
      </c>
      <c r="DI38" s="421"/>
      <c r="DJ38" s="59">
        <f t="shared" si="69"/>
        <v>0</v>
      </c>
      <c r="DK38" s="62">
        <f t="shared" si="70"/>
        <v>0</v>
      </c>
      <c r="DL38" s="421"/>
      <c r="DM38" s="59">
        <f t="shared" si="71"/>
        <v>0</v>
      </c>
      <c r="DN38" s="62">
        <f t="shared" si="72"/>
        <v>0</v>
      </c>
      <c r="DO38" s="421"/>
      <c r="DP38" s="59">
        <f t="shared" si="73"/>
        <v>0</v>
      </c>
      <c r="DQ38" s="62">
        <f t="shared" si="74"/>
        <v>0</v>
      </c>
      <c r="DR38" s="421"/>
      <c r="DS38" s="59">
        <f t="shared" si="75"/>
        <v>0</v>
      </c>
      <c r="DT38" s="62">
        <f t="shared" si="76"/>
        <v>0</v>
      </c>
      <c r="DU38" s="421"/>
      <c r="DV38" s="59">
        <f t="shared" si="77"/>
        <v>0</v>
      </c>
      <c r="DW38" s="62">
        <f t="shared" si="78"/>
        <v>0</v>
      </c>
      <c r="DX38" s="161"/>
    </row>
    <row r="39" spans="1:128" ht="23.25" customHeight="1" x14ac:dyDescent="0.2">
      <c r="B39" s="377"/>
      <c r="C39" s="348">
        <f t="shared" si="79"/>
        <v>8</v>
      </c>
      <c r="D39" s="418" t="s">
        <v>4</v>
      </c>
      <c r="E39" s="419" t="s">
        <v>18</v>
      </c>
      <c r="F39" s="77">
        <v>39.997100000000003</v>
      </c>
      <c r="G39" s="420" t="s">
        <v>40</v>
      </c>
      <c r="H39" s="421">
        <v>0</v>
      </c>
      <c r="I39" s="129">
        <f t="shared" si="0"/>
        <v>0</v>
      </c>
      <c r="J39" s="97">
        <f t="shared" si="1"/>
        <v>0</v>
      </c>
      <c r="K39" s="421">
        <v>0</v>
      </c>
      <c r="L39" s="59">
        <f t="shared" si="2"/>
        <v>0</v>
      </c>
      <c r="M39" s="60">
        <f t="shared" si="3"/>
        <v>0</v>
      </c>
      <c r="N39" s="421">
        <v>18.2</v>
      </c>
      <c r="O39" s="59">
        <f t="shared" si="4"/>
        <v>0.4550329898917671</v>
      </c>
      <c r="P39" s="60">
        <f t="shared" si="5"/>
        <v>1</v>
      </c>
      <c r="Q39" s="421">
        <v>0</v>
      </c>
      <c r="R39" s="59">
        <f t="shared" si="6"/>
        <v>0</v>
      </c>
      <c r="S39" s="61">
        <f t="shared" si="7"/>
        <v>0</v>
      </c>
      <c r="T39" s="421">
        <v>0</v>
      </c>
      <c r="U39" s="59">
        <f t="shared" si="8"/>
        <v>0</v>
      </c>
      <c r="V39" s="60">
        <f t="shared" si="9"/>
        <v>0</v>
      </c>
      <c r="W39" s="422"/>
      <c r="X39" s="59">
        <f t="shared" si="10"/>
        <v>0</v>
      </c>
      <c r="Y39" s="62">
        <f t="shared" si="11"/>
        <v>0</v>
      </c>
      <c r="Z39" s="421"/>
      <c r="AA39" s="59">
        <f t="shared" si="12"/>
        <v>0</v>
      </c>
      <c r="AB39" s="62">
        <f t="shared" si="13"/>
        <v>0</v>
      </c>
      <c r="AC39" s="422"/>
      <c r="AD39" s="59">
        <f t="shared" si="80"/>
        <v>0</v>
      </c>
      <c r="AE39" s="62">
        <f t="shared" si="14"/>
        <v>0</v>
      </c>
      <c r="AF39" s="421"/>
      <c r="AG39" s="59">
        <f t="shared" si="15"/>
        <v>0</v>
      </c>
      <c r="AH39" s="62">
        <f t="shared" si="16"/>
        <v>0</v>
      </c>
      <c r="AI39" s="421"/>
      <c r="AJ39" s="59">
        <f t="shared" si="17"/>
        <v>0</v>
      </c>
      <c r="AK39" s="62">
        <f t="shared" si="18"/>
        <v>0</v>
      </c>
      <c r="AL39" s="421"/>
      <c r="AM39" s="59">
        <f t="shared" si="19"/>
        <v>0</v>
      </c>
      <c r="AN39" s="62">
        <f t="shared" si="20"/>
        <v>0</v>
      </c>
      <c r="AO39" s="421"/>
      <c r="AP39" s="59">
        <f t="shared" si="21"/>
        <v>0</v>
      </c>
      <c r="AQ39" s="62">
        <f t="shared" si="22"/>
        <v>0</v>
      </c>
      <c r="AR39" s="421"/>
      <c r="AS39" s="59">
        <f t="shared" si="23"/>
        <v>0</v>
      </c>
      <c r="AT39" s="62">
        <f t="shared" si="24"/>
        <v>0</v>
      </c>
      <c r="AU39" s="421"/>
      <c r="AV39" s="59">
        <f t="shared" si="25"/>
        <v>0</v>
      </c>
      <c r="AW39" s="62">
        <f t="shared" si="26"/>
        <v>0</v>
      </c>
      <c r="AX39" s="421"/>
      <c r="AY39" s="59">
        <f t="shared" si="27"/>
        <v>0</v>
      </c>
      <c r="AZ39" s="62">
        <f t="shared" si="28"/>
        <v>0</v>
      </c>
      <c r="BA39" s="421"/>
      <c r="BB39" s="59">
        <f t="shared" si="29"/>
        <v>0</v>
      </c>
      <c r="BC39" s="62">
        <f t="shared" si="30"/>
        <v>0</v>
      </c>
      <c r="BD39" s="421"/>
      <c r="BE39" s="59">
        <f t="shared" si="31"/>
        <v>0</v>
      </c>
      <c r="BF39" s="62">
        <f t="shared" si="32"/>
        <v>0</v>
      </c>
      <c r="BG39" s="421"/>
      <c r="BH39" s="59">
        <f t="shared" si="33"/>
        <v>0</v>
      </c>
      <c r="BI39" s="62">
        <f t="shared" si="34"/>
        <v>0</v>
      </c>
      <c r="BJ39" s="421"/>
      <c r="BK39" s="59">
        <f t="shared" si="35"/>
        <v>0</v>
      </c>
      <c r="BL39" s="62">
        <f t="shared" si="36"/>
        <v>0</v>
      </c>
      <c r="BM39" s="421"/>
      <c r="BN39" s="59">
        <f t="shared" si="37"/>
        <v>0</v>
      </c>
      <c r="BO39" s="62">
        <f t="shared" si="38"/>
        <v>0</v>
      </c>
      <c r="BP39" s="421"/>
      <c r="BQ39" s="59">
        <f t="shared" si="39"/>
        <v>0</v>
      </c>
      <c r="BR39" s="62">
        <f t="shared" si="40"/>
        <v>0</v>
      </c>
      <c r="BS39" s="421"/>
      <c r="BT39" s="59">
        <f t="shared" si="41"/>
        <v>0</v>
      </c>
      <c r="BU39" s="62">
        <f t="shared" si="42"/>
        <v>0</v>
      </c>
      <c r="BV39" s="421"/>
      <c r="BW39" s="59">
        <f t="shared" si="43"/>
        <v>0</v>
      </c>
      <c r="BX39" s="62">
        <f t="shared" si="44"/>
        <v>0</v>
      </c>
      <c r="BY39" s="421"/>
      <c r="BZ39" s="59">
        <f t="shared" si="45"/>
        <v>0</v>
      </c>
      <c r="CA39" s="62">
        <f t="shared" si="46"/>
        <v>0</v>
      </c>
      <c r="CB39" s="421"/>
      <c r="CC39" s="59">
        <f t="shared" si="47"/>
        <v>0</v>
      </c>
      <c r="CD39" s="62">
        <f t="shared" si="48"/>
        <v>0</v>
      </c>
      <c r="CE39" s="421"/>
      <c r="CF39" s="59">
        <f t="shared" si="49"/>
        <v>0</v>
      </c>
      <c r="CG39" s="62">
        <f t="shared" si="50"/>
        <v>0</v>
      </c>
      <c r="CH39" s="421"/>
      <c r="CI39" s="59">
        <f t="shared" si="51"/>
        <v>0</v>
      </c>
      <c r="CJ39" s="62">
        <f t="shared" si="52"/>
        <v>0</v>
      </c>
      <c r="CK39" s="421"/>
      <c r="CL39" s="59">
        <f t="shared" si="53"/>
        <v>0</v>
      </c>
      <c r="CM39" s="62">
        <f t="shared" si="54"/>
        <v>0</v>
      </c>
      <c r="CN39" s="421"/>
      <c r="CO39" s="59">
        <f t="shared" si="55"/>
        <v>0</v>
      </c>
      <c r="CP39" s="62">
        <f t="shared" si="56"/>
        <v>0</v>
      </c>
      <c r="CQ39" s="421"/>
      <c r="CR39" s="59">
        <f t="shared" si="57"/>
        <v>0</v>
      </c>
      <c r="CS39" s="62">
        <f t="shared" si="58"/>
        <v>0</v>
      </c>
      <c r="CT39" s="421"/>
      <c r="CU39" s="59">
        <f t="shared" si="59"/>
        <v>0</v>
      </c>
      <c r="CV39" s="62">
        <f t="shared" si="60"/>
        <v>0</v>
      </c>
      <c r="CW39" s="421"/>
      <c r="CX39" s="59">
        <f t="shared" si="61"/>
        <v>0</v>
      </c>
      <c r="CY39" s="62">
        <f t="shared" si="62"/>
        <v>0</v>
      </c>
      <c r="CZ39" s="421"/>
      <c r="DA39" s="59">
        <f t="shared" si="63"/>
        <v>0</v>
      </c>
      <c r="DB39" s="62">
        <f t="shared" si="64"/>
        <v>0</v>
      </c>
      <c r="DC39" s="421"/>
      <c r="DD39" s="59">
        <f t="shared" si="65"/>
        <v>0</v>
      </c>
      <c r="DE39" s="62">
        <f t="shared" si="66"/>
        <v>0</v>
      </c>
      <c r="DF39" s="421"/>
      <c r="DG39" s="59">
        <f t="shared" si="67"/>
        <v>0</v>
      </c>
      <c r="DH39" s="62">
        <f t="shared" si="68"/>
        <v>0</v>
      </c>
      <c r="DI39" s="421"/>
      <c r="DJ39" s="59">
        <f t="shared" si="69"/>
        <v>0</v>
      </c>
      <c r="DK39" s="62">
        <f t="shared" si="70"/>
        <v>0</v>
      </c>
      <c r="DL39" s="421"/>
      <c r="DM39" s="59">
        <f t="shared" si="71"/>
        <v>0</v>
      </c>
      <c r="DN39" s="62">
        <f t="shared" si="72"/>
        <v>0</v>
      </c>
      <c r="DO39" s="421"/>
      <c r="DP39" s="59">
        <f t="shared" si="73"/>
        <v>0</v>
      </c>
      <c r="DQ39" s="62">
        <f t="shared" si="74"/>
        <v>0</v>
      </c>
      <c r="DR39" s="421"/>
      <c r="DS39" s="59">
        <f t="shared" si="75"/>
        <v>0</v>
      </c>
      <c r="DT39" s="62">
        <f t="shared" si="76"/>
        <v>0</v>
      </c>
      <c r="DU39" s="421"/>
      <c r="DV39" s="59">
        <f t="shared" si="77"/>
        <v>0</v>
      </c>
      <c r="DW39" s="62">
        <f t="shared" si="78"/>
        <v>0</v>
      </c>
      <c r="DX39" s="161"/>
    </row>
    <row r="40" spans="1:128" ht="23.25" customHeight="1" x14ac:dyDescent="0.2">
      <c r="B40" s="377"/>
      <c r="C40" s="348">
        <f t="shared" ref="C40:C81" si="81">C39+1</f>
        <v>9</v>
      </c>
      <c r="D40" s="425" t="s">
        <v>900</v>
      </c>
      <c r="E40" s="426" t="s">
        <v>901</v>
      </c>
      <c r="F40" s="77">
        <v>98.078999999999994</v>
      </c>
      <c r="G40" s="420" t="s">
        <v>372</v>
      </c>
      <c r="H40" s="421">
        <v>0</v>
      </c>
      <c r="I40" s="129">
        <f t="shared" si="0"/>
        <v>0</v>
      </c>
      <c r="J40" s="97">
        <f t="shared" si="1"/>
        <v>0</v>
      </c>
      <c r="K40" s="421">
        <v>0</v>
      </c>
      <c r="L40" s="59">
        <f t="shared" si="2"/>
        <v>0</v>
      </c>
      <c r="M40" s="60">
        <f t="shared" si="3"/>
        <v>0</v>
      </c>
      <c r="N40" s="421"/>
      <c r="O40" s="59">
        <f t="shared" si="4"/>
        <v>0</v>
      </c>
      <c r="P40" s="60">
        <f t="shared" si="5"/>
        <v>0</v>
      </c>
      <c r="Q40" s="421"/>
      <c r="R40" s="59">
        <f t="shared" si="6"/>
        <v>0</v>
      </c>
      <c r="S40" s="61">
        <f t="shared" si="7"/>
        <v>0</v>
      </c>
      <c r="T40" s="421"/>
      <c r="U40" s="59">
        <f t="shared" si="8"/>
        <v>0</v>
      </c>
      <c r="V40" s="60">
        <f t="shared" si="9"/>
        <v>0</v>
      </c>
      <c r="W40" s="422">
        <v>10</v>
      </c>
      <c r="X40" s="59">
        <f t="shared" si="10"/>
        <v>0.10195862518989794</v>
      </c>
      <c r="Y40" s="62">
        <f t="shared" si="11"/>
        <v>1</v>
      </c>
      <c r="Z40" s="421"/>
      <c r="AA40" s="59">
        <f t="shared" si="12"/>
        <v>0</v>
      </c>
      <c r="AB40" s="62">
        <f t="shared" si="13"/>
        <v>0</v>
      </c>
      <c r="AC40" s="422"/>
      <c r="AD40" s="59">
        <f t="shared" si="80"/>
        <v>0</v>
      </c>
      <c r="AE40" s="62">
        <f t="shared" si="14"/>
        <v>0</v>
      </c>
      <c r="AF40" s="421"/>
      <c r="AG40" s="59">
        <f t="shared" si="15"/>
        <v>0</v>
      </c>
      <c r="AH40" s="62">
        <f t="shared" si="16"/>
        <v>0</v>
      </c>
      <c r="AI40" s="421"/>
      <c r="AJ40" s="59">
        <f t="shared" si="17"/>
        <v>0</v>
      </c>
      <c r="AK40" s="62">
        <f t="shared" si="18"/>
        <v>0</v>
      </c>
      <c r="AL40" s="421"/>
      <c r="AM40" s="59">
        <f t="shared" si="19"/>
        <v>0</v>
      </c>
      <c r="AN40" s="62">
        <f t="shared" si="20"/>
        <v>0</v>
      </c>
      <c r="AO40" s="421"/>
      <c r="AP40" s="59">
        <f t="shared" si="21"/>
        <v>0</v>
      </c>
      <c r="AQ40" s="62">
        <f t="shared" si="22"/>
        <v>0</v>
      </c>
      <c r="AR40" s="421"/>
      <c r="AS40" s="59">
        <f t="shared" si="23"/>
        <v>0</v>
      </c>
      <c r="AT40" s="62">
        <f t="shared" si="24"/>
        <v>0</v>
      </c>
      <c r="AU40" s="421"/>
      <c r="AV40" s="59">
        <f t="shared" si="25"/>
        <v>0</v>
      </c>
      <c r="AW40" s="62">
        <f t="shared" si="26"/>
        <v>0</v>
      </c>
      <c r="AX40" s="421"/>
      <c r="AY40" s="59">
        <f t="shared" si="27"/>
        <v>0</v>
      </c>
      <c r="AZ40" s="62">
        <f t="shared" si="28"/>
        <v>0</v>
      </c>
      <c r="BA40" s="421"/>
      <c r="BB40" s="59">
        <f t="shared" si="29"/>
        <v>0</v>
      </c>
      <c r="BC40" s="62">
        <f t="shared" si="30"/>
        <v>0</v>
      </c>
      <c r="BD40" s="421"/>
      <c r="BE40" s="59">
        <f t="shared" si="31"/>
        <v>0</v>
      </c>
      <c r="BF40" s="62">
        <f t="shared" si="32"/>
        <v>0</v>
      </c>
      <c r="BG40" s="421"/>
      <c r="BH40" s="59">
        <f t="shared" si="33"/>
        <v>0</v>
      </c>
      <c r="BI40" s="62">
        <f t="shared" si="34"/>
        <v>0</v>
      </c>
      <c r="BJ40" s="421"/>
      <c r="BK40" s="59">
        <f t="shared" si="35"/>
        <v>0</v>
      </c>
      <c r="BL40" s="62">
        <f t="shared" si="36"/>
        <v>0</v>
      </c>
      <c r="BM40" s="421"/>
      <c r="BN40" s="59">
        <f t="shared" si="37"/>
        <v>0</v>
      </c>
      <c r="BO40" s="62">
        <f t="shared" si="38"/>
        <v>0</v>
      </c>
      <c r="BP40" s="421"/>
      <c r="BQ40" s="59">
        <f t="shared" si="39"/>
        <v>0</v>
      </c>
      <c r="BR40" s="62">
        <f t="shared" si="40"/>
        <v>0</v>
      </c>
      <c r="BS40" s="421"/>
      <c r="BT40" s="59">
        <f t="shared" si="41"/>
        <v>0</v>
      </c>
      <c r="BU40" s="62">
        <f t="shared" si="42"/>
        <v>0</v>
      </c>
      <c r="BV40" s="421"/>
      <c r="BW40" s="59">
        <f t="shared" si="43"/>
        <v>0</v>
      </c>
      <c r="BX40" s="62">
        <f t="shared" si="44"/>
        <v>0</v>
      </c>
      <c r="BY40" s="421"/>
      <c r="BZ40" s="59">
        <f t="shared" si="45"/>
        <v>0</v>
      </c>
      <c r="CA40" s="62">
        <f t="shared" si="46"/>
        <v>0</v>
      </c>
      <c r="CB40" s="421"/>
      <c r="CC40" s="59">
        <f t="shared" si="47"/>
        <v>0</v>
      </c>
      <c r="CD40" s="62">
        <f t="shared" si="48"/>
        <v>0</v>
      </c>
      <c r="CE40" s="421"/>
      <c r="CF40" s="59">
        <f t="shared" si="49"/>
        <v>0</v>
      </c>
      <c r="CG40" s="62">
        <f t="shared" si="50"/>
        <v>0</v>
      </c>
      <c r="CH40" s="421"/>
      <c r="CI40" s="59">
        <f t="shared" si="51"/>
        <v>0</v>
      </c>
      <c r="CJ40" s="62">
        <f t="shared" si="52"/>
        <v>0</v>
      </c>
      <c r="CK40" s="421"/>
      <c r="CL40" s="59">
        <f t="shared" si="53"/>
        <v>0</v>
      </c>
      <c r="CM40" s="62">
        <f t="shared" si="54"/>
        <v>0</v>
      </c>
      <c r="CN40" s="421"/>
      <c r="CO40" s="59">
        <f t="shared" si="55"/>
        <v>0</v>
      </c>
      <c r="CP40" s="62">
        <f t="shared" si="56"/>
        <v>0</v>
      </c>
      <c r="CQ40" s="421"/>
      <c r="CR40" s="59">
        <f t="shared" si="57"/>
        <v>0</v>
      </c>
      <c r="CS40" s="62">
        <f t="shared" si="58"/>
        <v>0</v>
      </c>
      <c r="CT40" s="421"/>
      <c r="CU40" s="59">
        <f t="shared" si="59"/>
        <v>0</v>
      </c>
      <c r="CV40" s="62">
        <f t="shared" si="60"/>
        <v>0</v>
      </c>
      <c r="CW40" s="421"/>
      <c r="CX40" s="59">
        <f t="shared" si="61"/>
        <v>0</v>
      </c>
      <c r="CY40" s="62">
        <f t="shared" si="62"/>
        <v>0</v>
      </c>
      <c r="CZ40" s="421"/>
      <c r="DA40" s="59">
        <f t="shared" si="63"/>
        <v>0</v>
      </c>
      <c r="DB40" s="62">
        <f t="shared" si="64"/>
        <v>0</v>
      </c>
      <c r="DC40" s="421"/>
      <c r="DD40" s="59">
        <f t="shared" si="65"/>
        <v>0</v>
      </c>
      <c r="DE40" s="62">
        <f t="shared" si="66"/>
        <v>0</v>
      </c>
      <c r="DF40" s="421"/>
      <c r="DG40" s="59">
        <f t="shared" si="67"/>
        <v>0</v>
      </c>
      <c r="DH40" s="62">
        <f t="shared" si="68"/>
        <v>0</v>
      </c>
      <c r="DI40" s="421"/>
      <c r="DJ40" s="59">
        <f t="shared" si="69"/>
        <v>0</v>
      </c>
      <c r="DK40" s="62">
        <f t="shared" si="70"/>
        <v>0</v>
      </c>
      <c r="DL40" s="421"/>
      <c r="DM40" s="59">
        <f t="shared" si="71"/>
        <v>0</v>
      </c>
      <c r="DN40" s="62">
        <f t="shared" si="72"/>
        <v>0</v>
      </c>
      <c r="DO40" s="421"/>
      <c r="DP40" s="59">
        <f t="shared" si="73"/>
        <v>0</v>
      </c>
      <c r="DQ40" s="62">
        <f t="shared" si="74"/>
        <v>0</v>
      </c>
      <c r="DR40" s="421"/>
      <c r="DS40" s="59">
        <f t="shared" si="75"/>
        <v>0</v>
      </c>
      <c r="DT40" s="62">
        <f t="shared" si="76"/>
        <v>0</v>
      </c>
      <c r="DU40" s="421"/>
      <c r="DV40" s="59">
        <f t="shared" si="77"/>
        <v>0</v>
      </c>
      <c r="DW40" s="62">
        <f t="shared" si="78"/>
        <v>0</v>
      </c>
      <c r="DX40" s="161"/>
    </row>
    <row r="41" spans="1:128" ht="23.25" customHeight="1" x14ac:dyDescent="0.2">
      <c r="B41" s="377"/>
      <c r="C41" s="348">
        <f t="shared" si="81"/>
        <v>10</v>
      </c>
      <c r="D41" s="425" t="s">
        <v>923</v>
      </c>
      <c r="E41" s="57" t="s">
        <v>918</v>
      </c>
      <c r="F41" s="57">
        <v>282.45999999999998</v>
      </c>
      <c r="G41" s="420" t="s">
        <v>919</v>
      </c>
      <c r="H41" s="421">
        <v>63</v>
      </c>
      <c r="I41" s="129">
        <f t="shared" si="0"/>
        <v>0.22304043050343414</v>
      </c>
      <c r="J41" s="97">
        <f t="shared" si="1"/>
        <v>0.16672796919089961</v>
      </c>
      <c r="K41" s="421"/>
      <c r="L41" s="59">
        <f t="shared" si="2"/>
        <v>0</v>
      </c>
      <c r="M41" s="60">
        <f t="shared" si="3"/>
        <v>0</v>
      </c>
      <c r="N41" s="421"/>
      <c r="O41" s="59">
        <f t="shared" si="4"/>
        <v>0</v>
      </c>
      <c r="P41" s="60">
        <f t="shared" si="5"/>
        <v>0</v>
      </c>
      <c r="Q41" s="421"/>
      <c r="R41" s="59">
        <f t="shared" si="6"/>
        <v>0</v>
      </c>
      <c r="S41" s="61">
        <f t="shared" si="7"/>
        <v>0</v>
      </c>
      <c r="T41" s="421"/>
      <c r="U41" s="59">
        <f t="shared" si="8"/>
        <v>0</v>
      </c>
      <c r="V41" s="60">
        <f t="shared" si="9"/>
        <v>0</v>
      </c>
      <c r="W41" s="422"/>
      <c r="X41" s="59">
        <f t="shared" si="10"/>
        <v>0</v>
      </c>
      <c r="Y41" s="62">
        <f t="shared" si="11"/>
        <v>0</v>
      </c>
      <c r="Z41" s="421"/>
      <c r="AA41" s="59">
        <f t="shared" si="12"/>
        <v>0</v>
      </c>
      <c r="AB41" s="62">
        <f t="shared" si="13"/>
        <v>0</v>
      </c>
      <c r="AC41" s="422"/>
      <c r="AD41" s="59">
        <f t="shared" si="80"/>
        <v>0</v>
      </c>
      <c r="AE41" s="62">
        <f t="shared" si="14"/>
        <v>0</v>
      </c>
      <c r="AF41" s="421"/>
      <c r="AG41" s="59">
        <f t="shared" si="15"/>
        <v>0</v>
      </c>
      <c r="AH41" s="62">
        <f t="shared" si="16"/>
        <v>0</v>
      </c>
      <c r="AI41" s="421"/>
      <c r="AJ41" s="59">
        <f t="shared" si="17"/>
        <v>0</v>
      </c>
      <c r="AK41" s="62">
        <f t="shared" si="18"/>
        <v>0</v>
      </c>
      <c r="AL41" s="421"/>
      <c r="AM41" s="59">
        <f t="shared" si="19"/>
        <v>0</v>
      </c>
      <c r="AN41" s="62">
        <f t="shared" si="20"/>
        <v>0</v>
      </c>
      <c r="AO41" s="421"/>
      <c r="AP41" s="59">
        <f t="shared" si="21"/>
        <v>0</v>
      </c>
      <c r="AQ41" s="62">
        <f t="shared" si="22"/>
        <v>0</v>
      </c>
      <c r="AR41" s="421"/>
      <c r="AS41" s="59">
        <f t="shared" si="23"/>
        <v>0</v>
      </c>
      <c r="AT41" s="62">
        <f t="shared" si="24"/>
        <v>0</v>
      </c>
      <c r="AU41" s="421"/>
      <c r="AV41" s="59">
        <f t="shared" si="25"/>
        <v>0</v>
      </c>
      <c r="AW41" s="62">
        <f t="shared" si="26"/>
        <v>0</v>
      </c>
      <c r="AX41" s="421"/>
      <c r="AY41" s="59">
        <f t="shared" si="27"/>
        <v>0</v>
      </c>
      <c r="AZ41" s="62">
        <f t="shared" si="28"/>
        <v>0</v>
      </c>
      <c r="BA41" s="421"/>
      <c r="BB41" s="59">
        <f t="shared" si="29"/>
        <v>0</v>
      </c>
      <c r="BC41" s="62">
        <f t="shared" si="30"/>
        <v>0</v>
      </c>
      <c r="BD41" s="421"/>
      <c r="BE41" s="59">
        <f t="shared" si="31"/>
        <v>0</v>
      </c>
      <c r="BF41" s="62">
        <f t="shared" si="32"/>
        <v>0</v>
      </c>
      <c r="BG41" s="421"/>
      <c r="BH41" s="59">
        <f t="shared" si="33"/>
        <v>0</v>
      </c>
      <c r="BI41" s="62">
        <f t="shared" si="34"/>
        <v>0</v>
      </c>
      <c r="BJ41" s="421"/>
      <c r="BK41" s="59">
        <f t="shared" si="35"/>
        <v>0</v>
      </c>
      <c r="BL41" s="62">
        <f t="shared" si="36"/>
        <v>0</v>
      </c>
      <c r="BM41" s="421"/>
      <c r="BN41" s="59">
        <f t="shared" si="37"/>
        <v>0</v>
      </c>
      <c r="BO41" s="62">
        <f t="shared" si="38"/>
        <v>0</v>
      </c>
      <c r="BP41" s="421"/>
      <c r="BQ41" s="59">
        <f t="shared" si="39"/>
        <v>0</v>
      </c>
      <c r="BR41" s="62">
        <f t="shared" si="40"/>
        <v>0</v>
      </c>
      <c r="BS41" s="421"/>
      <c r="BT41" s="59">
        <f t="shared" si="41"/>
        <v>0</v>
      </c>
      <c r="BU41" s="62">
        <f t="shared" si="42"/>
        <v>0</v>
      </c>
      <c r="BV41" s="421"/>
      <c r="BW41" s="59">
        <f t="shared" si="43"/>
        <v>0</v>
      </c>
      <c r="BX41" s="62">
        <f t="shared" si="44"/>
        <v>0</v>
      </c>
      <c r="BY41" s="421"/>
      <c r="BZ41" s="59">
        <f t="shared" si="45"/>
        <v>0</v>
      </c>
      <c r="CA41" s="62">
        <f t="shared" si="46"/>
        <v>0</v>
      </c>
      <c r="CB41" s="421"/>
      <c r="CC41" s="59">
        <f t="shared" si="47"/>
        <v>0</v>
      </c>
      <c r="CD41" s="62">
        <f t="shared" si="48"/>
        <v>0</v>
      </c>
      <c r="CE41" s="421"/>
      <c r="CF41" s="59">
        <f t="shared" si="49"/>
        <v>0</v>
      </c>
      <c r="CG41" s="62">
        <f t="shared" si="50"/>
        <v>0</v>
      </c>
      <c r="CH41" s="421"/>
      <c r="CI41" s="59">
        <f t="shared" si="51"/>
        <v>0</v>
      </c>
      <c r="CJ41" s="62">
        <f t="shared" si="52"/>
        <v>0</v>
      </c>
      <c r="CK41" s="421"/>
      <c r="CL41" s="59">
        <f t="shared" si="53"/>
        <v>0</v>
      </c>
      <c r="CM41" s="62">
        <f t="shared" si="54"/>
        <v>0</v>
      </c>
      <c r="CN41" s="421"/>
      <c r="CO41" s="59">
        <f t="shared" si="55"/>
        <v>0</v>
      </c>
      <c r="CP41" s="62">
        <f t="shared" si="56"/>
        <v>0</v>
      </c>
      <c r="CQ41" s="421"/>
      <c r="CR41" s="59">
        <f t="shared" si="57"/>
        <v>0</v>
      </c>
      <c r="CS41" s="62">
        <f t="shared" si="58"/>
        <v>0</v>
      </c>
      <c r="CT41" s="421"/>
      <c r="CU41" s="59">
        <f t="shared" si="59"/>
        <v>0</v>
      </c>
      <c r="CV41" s="62">
        <f t="shared" si="60"/>
        <v>0</v>
      </c>
      <c r="CW41" s="421"/>
      <c r="CX41" s="59">
        <f t="shared" si="61"/>
        <v>0</v>
      </c>
      <c r="CY41" s="62">
        <f t="shared" si="62"/>
        <v>0</v>
      </c>
      <c r="CZ41" s="421"/>
      <c r="DA41" s="59">
        <f t="shared" si="63"/>
        <v>0</v>
      </c>
      <c r="DB41" s="62">
        <f t="shared" si="64"/>
        <v>0</v>
      </c>
      <c r="DC41" s="421"/>
      <c r="DD41" s="59">
        <f t="shared" si="65"/>
        <v>0</v>
      </c>
      <c r="DE41" s="62">
        <f t="shared" si="66"/>
        <v>0</v>
      </c>
      <c r="DF41" s="421"/>
      <c r="DG41" s="59">
        <f t="shared" si="67"/>
        <v>0</v>
      </c>
      <c r="DH41" s="62">
        <f t="shared" si="68"/>
        <v>0</v>
      </c>
      <c r="DI41" s="421"/>
      <c r="DJ41" s="59">
        <f t="shared" si="69"/>
        <v>0</v>
      </c>
      <c r="DK41" s="62">
        <f t="shared" si="70"/>
        <v>0</v>
      </c>
      <c r="DL41" s="421"/>
      <c r="DM41" s="59">
        <f t="shared" si="71"/>
        <v>0</v>
      </c>
      <c r="DN41" s="62">
        <f t="shared" si="72"/>
        <v>0</v>
      </c>
      <c r="DO41" s="421"/>
      <c r="DP41" s="59">
        <f t="shared" si="73"/>
        <v>0</v>
      </c>
      <c r="DQ41" s="62">
        <f t="shared" si="74"/>
        <v>0</v>
      </c>
      <c r="DR41" s="421"/>
      <c r="DS41" s="59">
        <f t="shared" si="75"/>
        <v>0</v>
      </c>
      <c r="DT41" s="62">
        <f t="shared" si="76"/>
        <v>0</v>
      </c>
      <c r="DU41" s="421"/>
      <c r="DV41" s="59">
        <f t="shared" si="77"/>
        <v>0</v>
      </c>
      <c r="DW41" s="62">
        <f t="shared" si="78"/>
        <v>0</v>
      </c>
      <c r="DX41" s="161"/>
    </row>
    <row r="42" spans="1:128" ht="23.25" customHeight="1" x14ac:dyDescent="0.2">
      <c r="B42" s="377"/>
      <c r="C42" s="348">
        <f t="shared" si="81"/>
        <v>11</v>
      </c>
      <c r="D42" s="425" t="s">
        <v>947</v>
      </c>
      <c r="E42" s="57" t="s">
        <v>921</v>
      </c>
      <c r="F42" s="57">
        <v>142.04</v>
      </c>
      <c r="G42" s="420" t="s">
        <v>922</v>
      </c>
      <c r="H42" s="421">
        <v>0</v>
      </c>
      <c r="I42" s="129">
        <f t="shared" si="0"/>
        <v>0</v>
      </c>
      <c r="J42" s="97">
        <f t="shared" si="1"/>
        <v>0</v>
      </c>
      <c r="K42" s="421"/>
      <c r="L42" s="59">
        <f t="shared" si="2"/>
        <v>0</v>
      </c>
      <c r="M42" s="60">
        <f t="shared" si="3"/>
        <v>0</v>
      </c>
      <c r="N42" s="421"/>
      <c r="O42" s="59">
        <f t="shared" si="4"/>
        <v>0</v>
      </c>
      <c r="P42" s="60">
        <f t="shared" si="5"/>
        <v>0</v>
      </c>
      <c r="Q42" s="421"/>
      <c r="R42" s="59">
        <f t="shared" si="6"/>
        <v>0</v>
      </c>
      <c r="S42" s="61">
        <f t="shared" si="7"/>
        <v>0</v>
      </c>
      <c r="T42" s="421"/>
      <c r="U42" s="59">
        <f t="shared" si="8"/>
        <v>0</v>
      </c>
      <c r="V42" s="60">
        <f t="shared" si="9"/>
        <v>0</v>
      </c>
      <c r="W42" s="422"/>
      <c r="X42" s="59">
        <f t="shared" si="10"/>
        <v>0</v>
      </c>
      <c r="Y42" s="62">
        <f t="shared" si="11"/>
        <v>0</v>
      </c>
      <c r="Z42" s="421"/>
      <c r="AA42" s="59">
        <f t="shared" si="12"/>
        <v>0</v>
      </c>
      <c r="AB42" s="62">
        <f t="shared" si="13"/>
        <v>0</v>
      </c>
      <c r="AC42" s="422"/>
      <c r="AD42" s="59">
        <f t="shared" si="80"/>
        <v>0</v>
      </c>
      <c r="AE42" s="62">
        <f t="shared" si="14"/>
        <v>0</v>
      </c>
      <c r="AF42" s="421"/>
      <c r="AG42" s="59">
        <f t="shared" si="15"/>
        <v>0</v>
      </c>
      <c r="AH42" s="62">
        <f t="shared" si="16"/>
        <v>0</v>
      </c>
      <c r="AI42" s="421"/>
      <c r="AJ42" s="59">
        <f t="shared" si="17"/>
        <v>0</v>
      </c>
      <c r="AK42" s="62">
        <f t="shared" si="18"/>
        <v>0</v>
      </c>
      <c r="AL42" s="421"/>
      <c r="AM42" s="59">
        <f t="shared" si="19"/>
        <v>0</v>
      </c>
      <c r="AN42" s="62">
        <f t="shared" si="20"/>
        <v>0</v>
      </c>
      <c r="AO42" s="421"/>
      <c r="AP42" s="59">
        <f t="shared" si="21"/>
        <v>0</v>
      </c>
      <c r="AQ42" s="62">
        <f t="shared" si="22"/>
        <v>0</v>
      </c>
      <c r="AR42" s="421"/>
      <c r="AS42" s="59">
        <f t="shared" si="23"/>
        <v>0</v>
      </c>
      <c r="AT42" s="62">
        <f t="shared" si="24"/>
        <v>0</v>
      </c>
      <c r="AU42" s="421"/>
      <c r="AV42" s="59">
        <f t="shared" si="25"/>
        <v>0</v>
      </c>
      <c r="AW42" s="62">
        <f t="shared" si="26"/>
        <v>0</v>
      </c>
      <c r="AX42" s="421"/>
      <c r="AY42" s="59">
        <f t="shared" si="27"/>
        <v>0</v>
      </c>
      <c r="AZ42" s="62">
        <f t="shared" si="28"/>
        <v>0</v>
      </c>
      <c r="BA42" s="421"/>
      <c r="BB42" s="59">
        <f t="shared" si="29"/>
        <v>0</v>
      </c>
      <c r="BC42" s="62">
        <f t="shared" si="30"/>
        <v>0</v>
      </c>
      <c r="BD42" s="421"/>
      <c r="BE42" s="59">
        <f t="shared" si="31"/>
        <v>0</v>
      </c>
      <c r="BF42" s="62">
        <f t="shared" si="32"/>
        <v>0</v>
      </c>
      <c r="BG42" s="421"/>
      <c r="BH42" s="59">
        <f t="shared" si="33"/>
        <v>0</v>
      </c>
      <c r="BI42" s="62">
        <f t="shared" si="34"/>
        <v>0</v>
      </c>
      <c r="BJ42" s="421"/>
      <c r="BK42" s="59">
        <f t="shared" si="35"/>
        <v>0</v>
      </c>
      <c r="BL42" s="62">
        <f t="shared" si="36"/>
        <v>0</v>
      </c>
      <c r="BM42" s="421"/>
      <c r="BN42" s="59">
        <f t="shared" si="37"/>
        <v>0</v>
      </c>
      <c r="BO42" s="62">
        <f t="shared" si="38"/>
        <v>0</v>
      </c>
      <c r="BP42" s="421"/>
      <c r="BQ42" s="59">
        <f t="shared" si="39"/>
        <v>0</v>
      </c>
      <c r="BR42" s="62">
        <f t="shared" si="40"/>
        <v>0</v>
      </c>
      <c r="BS42" s="421"/>
      <c r="BT42" s="59">
        <f t="shared" si="41"/>
        <v>0</v>
      </c>
      <c r="BU42" s="62">
        <f t="shared" si="42"/>
        <v>0</v>
      </c>
      <c r="BV42" s="421"/>
      <c r="BW42" s="59">
        <f t="shared" si="43"/>
        <v>0</v>
      </c>
      <c r="BX42" s="62">
        <f t="shared" si="44"/>
        <v>0</v>
      </c>
      <c r="BY42" s="421"/>
      <c r="BZ42" s="59">
        <f t="shared" si="45"/>
        <v>0</v>
      </c>
      <c r="CA42" s="62">
        <f t="shared" si="46"/>
        <v>0</v>
      </c>
      <c r="CB42" s="421"/>
      <c r="CC42" s="59">
        <f t="shared" si="47"/>
        <v>0</v>
      </c>
      <c r="CD42" s="62">
        <f t="shared" si="48"/>
        <v>0</v>
      </c>
      <c r="CE42" s="421"/>
      <c r="CF42" s="59">
        <f t="shared" si="49"/>
        <v>0</v>
      </c>
      <c r="CG42" s="62">
        <f t="shared" si="50"/>
        <v>0</v>
      </c>
      <c r="CH42" s="421"/>
      <c r="CI42" s="59">
        <f t="shared" si="51"/>
        <v>0</v>
      </c>
      <c r="CJ42" s="62">
        <f t="shared" si="52"/>
        <v>0</v>
      </c>
      <c r="CK42" s="421"/>
      <c r="CL42" s="59">
        <f t="shared" si="53"/>
        <v>0</v>
      </c>
      <c r="CM42" s="62">
        <f t="shared" si="54"/>
        <v>0</v>
      </c>
      <c r="CN42" s="421"/>
      <c r="CO42" s="59">
        <f t="shared" si="55"/>
        <v>0</v>
      </c>
      <c r="CP42" s="62">
        <f t="shared" si="56"/>
        <v>0</v>
      </c>
      <c r="CQ42" s="421"/>
      <c r="CR42" s="59">
        <f t="shared" si="57"/>
        <v>0</v>
      </c>
      <c r="CS42" s="62">
        <f t="shared" si="58"/>
        <v>0</v>
      </c>
      <c r="CT42" s="421"/>
      <c r="CU42" s="59">
        <f t="shared" si="59"/>
        <v>0</v>
      </c>
      <c r="CV42" s="62">
        <f t="shared" si="60"/>
        <v>0</v>
      </c>
      <c r="CW42" s="421"/>
      <c r="CX42" s="59">
        <f t="shared" si="61"/>
        <v>0</v>
      </c>
      <c r="CY42" s="62">
        <f t="shared" si="62"/>
        <v>0</v>
      </c>
      <c r="CZ42" s="421"/>
      <c r="DA42" s="59">
        <f t="shared" si="63"/>
        <v>0</v>
      </c>
      <c r="DB42" s="62">
        <f t="shared" si="64"/>
        <v>0</v>
      </c>
      <c r="DC42" s="421"/>
      <c r="DD42" s="59">
        <f t="shared" si="65"/>
        <v>0</v>
      </c>
      <c r="DE42" s="62">
        <f t="shared" si="66"/>
        <v>0</v>
      </c>
      <c r="DF42" s="421"/>
      <c r="DG42" s="59">
        <f t="shared" si="67"/>
        <v>0</v>
      </c>
      <c r="DH42" s="62">
        <f t="shared" si="68"/>
        <v>0</v>
      </c>
      <c r="DI42" s="421"/>
      <c r="DJ42" s="59">
        <f t="shared" si="69"/>
        <v>0</v>
      </c>
      <c r="DK42" s="62">
        <f t="shared" si="70"/>
        <v>0</v>
      </c>
      <c r="DL42" s="421"/>
      <c r="DM42" s="59">
        <f t="shared" si="71"/>
        <v>0</v>
      </c>
      <c r="DN42" s="62">
        <f t="shared" si="72"/>
        <v>0</v>
      </c>
      <c r="DO42" s="421"/>
      <c r="DP42" s="59">
        <f t="shared" si="73"/>
        <v>0</v>
      </c>
      <c r="DQ42" s="62">
        <f t="shared" si="74"/>
        <v>0</v>
      </c>
      <c r="DR42" s="421"/>
      <c r="DS42" s="59">
        <f t="shared" si="75"/>
        <v>0</v>
      </c>
      <c r="DT42" s="62">
        <f t="shared" si="76"/>
        <v>0</v>
      </c>
      <c r="DU42" s="421"/>
      <c r="DV42" s="59">
        <f t="shared" si="77"/>
        <v>0</v>
      </c>
      <c r="DW42" s="62">
        <f t="shared" si="78"/>
        <v>0</v>
      </c>
      <c r="DX42" s="161"/>
    </row>
    <row r="43" spans="1:128" ht="23.25" customHeight="1" x14ac:dyDescent="0.2">
      <c r="B43" s="377"/>
      <c r="C43" s="348">
        <f t="shared" si="81"/>
        <v>12</v>
      </c>
      <c r="D43" s="425"/>
      <c r="E43" s="57"/>
      <c r="F43" s="57"/>
      <c r="G43" s="420"/>
      <c r="H43" s="421"/>
      <c r="I43" s="129" t="str">
        <f t="shared" si="0"/>
        <v/>
      </c>
      <c r="J43" s="97" t="str">
        <f t="shared" si="1"/>
        <v/>
      </c>
      <c r="K43" s="421"/>
      <c r="L43" s="59" t="str">
        <f t="shared" si="2"/>
        <v/>
      </c>
      <c r="M43" s="60" t="str">
        <f t="shared" si="3"/>
        <v/>
      </c>
      <c r="N43" s="421"/>
      <c r="O43" s="59" t="str">
        <f t="shared" si="4"/>
        <v/>
      </c>
      <c r="P43" s="60" t="str">
        <f t="shared" si="5"/>
        <v/>
      </c>
      <c r="Q43" s="421"/>
      <c r="R43" s="59" t="str">
        <f t="shared" si="6"/>
        <v/>
      </c>
      <c r="S43" s="61" t="str">
        <f t="shared" si="7"/>
        <v/>
      </c>
      <c r="T43" s="421"/>
      <c r="U43" s="59" t="str">
        <f t="shared" si="8"/>
        <v/>
      </c>
      <c r="V43" s="60" t="str">
        <f t="shared" si="9"/>
        <v/>
      </c>
      <c r="W43" s="422"/>
      <c r="X43" s="59" t="str">
        <f t="shared" si="10"/>
        <v/>
      </c>
      <c r="Y43" s="62" t="str">
        <f t="shared" si="11"/>
        <v/>
      </c>
      <c r="Z43" s="421"/>
      <c r="AA43" s="59" t="str">
        <f t="shared" si="12"/>
        <v/>
      </c>
      <c r="AB43" s="62" t="str">
        <f t="shared" si="13"/>
        <v/>
      </c>
      <c r="AC43" s="422"/>
      <c r="AD43" s="59" t="str">
        <f t="shared" si="80"/>
        <v/>
      </c>
      <c r="AE43" s="62" t="str">
        <f t="shared" si="14"/>
        <v/>
      </c>
      <c r="AF43" s="421"/>
      <c r="AG43" s="59" t="str">
        <f t="shared" si="15"/>
        <v/>
      </c>
      <c r="AH43" s="62" t="str">
        <f t="shared" si="16"/>
        <v/>
      </c>
      <c r="AI43" s="421"/>
      <c r="AJ43" s="59" t="str">
        <f t="shared" si="17"/>
        <v/>
      </c>
      <c r="AK43" s="62" t="str">
        <f t="shared" si="18"/>
        <v/>
      </c>
      <c r="AL43" s="421"/>
      <c r="AM43" s="59" t="str">
        <f t="shared" si="19"/>
        <v/>
      </c>
      <c r="AN43" s="62" t="str">
        <f t="shared" si="20"/>
        <v/>
      </c>
      <c r="AO43" s="421"/>
      <c r="AP43" s="59" t="str">
        <f t="shared" si="21"/>
        <v/>
      </c>
      <c r="AQ43" s="62" t="str">
        <f t="shared" si="22"/>
        <v/>
      </c>
      <c r="AR43" s="421"/>
      <c r="AS43" s="59" t="str">
        <f t="shared" si="23"/>
        <v/>
      </c>
      <c r="AT43" s="62" t="str">
        <f t="shared" si="24"/>
        <v/>
      </c>
      <c r="AU43" s="421"/>
      <c r="AV43" s="59" t="str">
        <f t="shared" si="25"/>
        <v/>
      </c>
      <c r="AW43" s="62" t="str">
        <f t="shared" si="26"/>
        <v/>
      </c>
      <c r="AX43" s="421"/>
      <c r="AY43" s="59" t="str">
        <f t="shared" si="27"/>
        <v/>
      </c>
      <c r="AZ43" s="62" t="str">
        <f t="shared" si="28"/>
        <v/>
      </c>
      <c r="BA43" s="421"/>
      <c r="BB43" s="59" t="str">
        <f t="shared" si="29"/>
        <v/>
      </c>
      <c r="BC43" s="62" t="str">
        <f t="shared" si="30"/>
        <v/>
      </c>
      <c r="BD43" s="421"/>
      <c r="BE43" s="59" t="str">
        <f t="shared" si="31"/>
        <v/>
      </c>
      <c r="BF43" s="62" t="str">
        <f t="shared" si="32"/>
        <v/>
      </c>
      <c r="BG43" s="421"/>
      <c r="BH43" s="59" t="str">
        <f t="shared" si="33"/>
        <v/>
      </c>
      <c r="BI43" s="62" t="str">
        <f t="shared" si="34"/>
        <v/>
      </c>
      <c r="BJ43" s="421"/>
      <c r="BK43" s="59" t="str">
        <f t="shared" si="35"/>
        <v/>
      </c>
      <c r="BL43" s="62" t="str">
        <f t="shared" si="36"/>
        <v/>
      </c>
      <c r="BM43" s="421"/>
      <c r="BN43" s="59" t="str">
        <f t="shared" si="37"/>
        <v/>
      </c>
      <c r="BO43" s="62" t="str">
        <f t="shared" si="38"/>
        <v/>
      </c>
      <c r="BP43" s="421"/>
      <c r="BQ43" s="59" t="str">
        <f t="shared" si="39"/>
        <v/>
      </c>
      <c r="BR43" s="62" t="str">
        <f t="shared" si="40"/>
        <v/>
      </c>
      <c r="BS43" s="421"/>
      <c r="BT43" s="59" t="str">
        <f t="shared" si="41"/>
        <v/>
      </c>
      <c r="BU43" s="62" t="str">
        <f t="shared" si="42"/>
        <v/>
      </c>
      <c r="BV43" s="421"/>
      <c r="BW43" s="59" t="str">
        <f t="shared" si="43"/>
        <v/>
      </c>
      <c r="BX43" s="62" t="str">
        <f t="shared" si="44"/>
        <v/>
      </c>
      <c r="BY43" s="421"/>
      <c r="BZ43" s="59" t="str">
        <f t="shared" si="45"/>
        <v/>
      </c>
      <c r="CA43" s="62" t="str">
        <f t="shared" si="46"/>
        <v/>
      </c>
      <c r="CB43" s="421"/>
      <c r="CC43" s="59" t="str">
        <f t="shared" si="47"/>
        <v/>
      </c>
      <c r="CD43" s="62" t="str">
        <f t="shared" si="48"/>
        <v/>
      </c>
      <c r="CE43" s="421"/>
      <c r="CF43" s="59" t="str">
        <f t="shared" si="49"/>
        <v/>
      </c>
      <c r="CG43" s="62" t="str">
        <f t="shared" si="50"/>
        <v/>
      </c>
      <c r="CH43" s="421"/>
      <c r="CI43" s="59" t="str">
        <f t="shared" si="51"/>
        <v/>
      </c>
      <c r="CJ43" s="62" t="str">
        <f t="shared" si="52"/>
        <v/>
      </c>
      <c r="CK43" s="421"/>
      <c r="CL43" s="59" t="str">
        <f t="shared" si="53"/>
        <v/>
      </c>
      <c r="CM43" s="62" t="str">
        <f t="shared" si="54"/>
        <v/>
      </c>
      <c r="CN43" s="421"/>
      <c r="CO43" s="59" t="str">
        <f t="shared" si="55"/>
        <v/>
      </c>
      <c r="CP43" s="62" t="str">
        <f t="shared" si="56"/>
        <v/>
      </c>
      <c r="CQ43" s="421"/>
      <c r="CR43" s="59" t="str">
        <f t="shared" si="57"/>
        <v/>
      </c>
      <c r="CS43" s="62" t="str">
        <f t="shared" si="58"/>
        <v/>
      </c>
      <c r="CT43" s="421"/>
      <c r="CU43" s="59" t="str">
        <f t="shared" si="59"/>
        <v/>
      </c>
      <c r="CV43" s="62" t="str">
        <f t="shared" si="60"/>
        <v/>
      </c>
      <c r="CW43" s="421"/>
      <c r="CX43" s="59" t="str">
        <f t="shared" si="61"/>
        <v/>
      </c>
      <c r="CY43" s="62" t="str">
        <f t="shared" si="62"/>
        <v/>
      </c>
      <c r="CZ43" s="421"/>
      <c r="DA43" s="59" t="str">
        <f t="shared" si="63"/>
        <v/>
      </c>
      <c r="DB43" s="62" t="str">
        <f t="shared" si="64"/>
        <v/>
      </c>
      <c r="DC43" s="421"/>
      <c r="DD43" s="59" t="str">
        <f t="shared" si="65"/>
        <v/>
      </c>
      <c r="DE43" s="62" t="str">
        <f t="shared" si="66"/>
        <v/>
      </c>
      <c r="DF43" s="421"/>
      <c r="DG43" s="59" t="str">
        <f t="shared" si="67"/>
        <v/>
      </c>
      <c r="DH43" s="62" t="str">
        <f t="shared" si="68"/>
        <v/>
      </c>
      <c r="DI43" s="421"/>
      <c r="DJ43" s="59" t="str">
        <f t="shared" si="69"/>
        <v/>
      </c>
      <c r="DK43" s="62" t="str">
        <f t="shared" si="70"/>
        <v/>
      </c>
      <c r="DL43" s="421"/>
      <c r="DM43" s="59" t="str">
        <f t="shared" si="71"/>
        <v/>
      </c>
      <c r="DN43" s="62" t="str">
        <f t="shared" si="72"/>
        <v/>
      </c>
      <c r="DO43" s="421"/>
      <c r="DP43" s="59" t="str">
        <f t="shared" si="73"/>
        <v/>
      </c>
      <c r="DQ43" s="62" t="str">
        <f t="shared" si="74"/>
        <v/>
      </c>
      <c r="DR43" s="421"/>
      <c r="DS43" s="59" t="str">
        <f t="shared" si="75"/>
        <v/>
      </c>
      <c r="DT43" s="62" t="str">
        <f t="shared" si="76"/>
        <v/>
      </c>
      <c r="DU43" s="421"/>
      <c r="DV43" s="59" t="str">
        <f t="shared" si="77"/>
        <v/>
      </c>
      <c r="DW43" s="62" t="str">
        <f t="shared" si="78"/>
        <v/>
      </c>
      <c r="DX43" s="161"/>
    </row>
    <row r="44" spans="1:128" ht="23.25" customHeight="1" x14ac:dyDescent="0.2">
      <c r="B44" s="377"/>
      <c r="C44" s="348">
        <f t="shared" si="81"/>
        <v>13</v>
      </c>
      <c r="D44" s="425"/>
      <c r="E44" s="57"/>
      <c r="F44" s="57"/>
      <c r="G44" s="420"/>
      <c r="H44" s="421"/>
      <c r="I44" s="129" t="str">
        <f t="shared" si="0"/>
        <v/>
      </c>
      <c r="J44" s="97" t="str">
        <f t="shared" si="1"/>
        <v/>
      </c>
      <c r="K44" s="421"/>
      <c r="L44" s="59" t="str">
        <f t="shared" si="2"/>
        <v/>
      </c>
      <c r="M44" s="60" t="str">
        <f t="shared" si="3"/>
        <v/>
      </c>
      <c r="N44" s="421"/>
      <c r="O44" s="59" t="str">
        <f t="shared" si="4"/>
        <v/>
      </c>
      <c r="P44" s="60" t="str">
        <f t="shared" si="5"/>
        <v/>
      </c>
      <c r="Q44" s="421"/>
      <c r="R44" s="59" t="str">
        <f t="shared" si="6"/>
        <v/>
      </c>
      <c r="S44" s="61" t="str">
        <f t="shared" si="7"/>
        <v/>
      </c>
      <c r="T44" s="421"/>
      <c r="U44" s="59" t="str">
        <f t="shared" si="8"/>
        <v/>
      </c>
      <c r="V44" s="60" t="str">
        <f t="shared" si="9"/>
        <v/>
      </c>
      <c r="W44" s="422"/>
      <c r="X44" s="59" t="str">
        <f t="shared" si="10"/>
        <v/>
      </c>
      <c r="Y44" s="62" t="str">
        <f t="shared" si="11"/>
        <v/>
      </c>
      <c r="Z44" s="421"/>
      <c r="AA44" s="59" t="str">
        <f t="shared" si="12"/>
        <v/>
      </c>
      <c r="AB44" s="62" t="str">
        <f t="shared" si="13"/>
        <v/>
      </c>
      <c r="AC44" s="422"/>
      <c r="AD44" s="59" t="str">
        <f t="shared" si="80"/>
        <v/>
      </c>
      <c r="AE44" s="62" t="str">
        <f t="shared" si="14"/>
        <v/>
      </c>
      <c r="AF44" s="421"/>
      <c r="AG44" s="59" t="str">
        <f t="shared" si="15"/>
        <v/>
      </c>
      <c r="AH44" s="62" t="str">
        <f t="shared" si="16"/>
        <v/>
      </c>
      <c r="AI44" s="421"/>
      <c r="AJ44" s="59" t="str">
        <f t="shared" si="17"/>
        <v/>
      </c>
      <c r="AK44" s="62" t="str">
        <f t="shared" si="18"/>
        <v/>
      </c>
      <c r="AL44" s="421"/>
      <c r="AM44" s="59" t="str">
        <f t="shared" si="19"/>
        <v/>
      </c>
      <c r="AN44" s="62" t="str">
        <f t="shared" si="20"/>
        <v/>
      </c>
      <c r="AO44" s="421"/>
      <c r="AP44" s="59" t="str">
        <f t="shared" si="21"/>
        <v/>
      </c>
      <c r="AQ44" s="62" t="str">
        <f t="shared" si="22"/>
        <v/>
      </c>
      <c r="AR44" s="421"/>
      <c r="AS44" s="59" t="str">
        <f t="shared" si="23"/>
        <v/>
      </c>
      <c r="AT44" s="62" t="str">
        <f t="shared" si="24"/>
        <v/>
      </c>
      <c r="AU44" s="421"/>
      <c r="AV44" s="59" t="str">
        <f t="shared" si="25"/>
        <v/>
      </c>
      <c r="AW44" s="62" t="str">
        <f t="shared" si="26"/>
        <v/>
      </c>
      <c r="AX44" s="421"/>
      <c r="AY44" s="59" t="str">
        <f t="shared" si="27"/>
        <v/>
      </c>
      <c r="AZ44" s="62" t="str">
        <f t="shared" si="28"/>
        <v/>
      </c>
      <c r="BA44" s="421"/>
      <c r="BB44" s="59" t="str">
        <f t="shared" si="29"/>
        <v/>
      </c>
      <c r="BC44" s="62" t="str">
        <f t="shared" si="30"/>
        <v/>
      </c>
      <c r="BD44" s="421"/>
      <c r="BE44" s="59" t="str">
        <f t="shared" si="31"/>
        <v/>
      </c>
      <c r="BF44" s="62" t="str">
        <f t="shared" si="32"/>
        <v/>
      </c>
      <c r="BG44" s="421"/>
      <c r="BH44" s="59" t="str">
        <f t="shared" si="33"/>
        <v/>
      </c>
      <c r="BI44" s="62" t="str">
        <f t="shared" si="34"/>
        <v/>
      </c>
      <c r="BJ44" s="421"/>
      <c r="BK44" s="59" t="str">
        <f t="shared" si="35"/>
        <v/>
      </c>
      <c r="BL44" s="62" t="str">
        <f t="shared" si="36"/>
        <v/>
      </c>
      <c r="BM44" s="421"/>
      <c r="BN44" s="59" t="str">
        <f t="shared" si="37"/>
        <v/>
      </c>
      <c r="BO44" s="62" t="str">
        <f t="shared" si="38"/>
        <v/>
      </c>
      <c r="BP44" s="421"/>
      <c r="BQ44" s="59" t="str">
        <f t="shared" si="39"/>
        <v/>
      </c>
      <c r="BR44" s="62" t="str">
        <f t="shared" si="40"/>
        <v/>
      </c>
      <c r="BS44" s="421"/>
      <c r="BT44" s="59" t="str">
        <f t="shared" si="41"/>
        <v/>
      </c>
      <c r="BU44" s="62" t="str">
        <f t="shared" si="42"/>
        <v/>
      </c>
      <c r="BV44" s="421"/>
      <c r="BW44" s="59" t="str">
        <f t="shared" si="43"/>
        <v/>
      </c>
      <c r="BX44" s="62" t="str">
        <f t="shared" si="44"/>
        <v/>
      </c>
      <c r="BY44" s="421"/>
      <c r="BZ44" s="59" t="str">
        <f t="shared" si="45"/>
        <v/>
      </c>
      <c r="CA44" s="62" t="str">
        <f t="shared" si="46"/>
        <v/>
      </c>
      <c r="CB44" s="421"/>
      <c r="CC44" s="59" t="str">
        <f t="shared" si="47"/>
        <v/>
      </c>
      <c r="CD44" s="62" t="str">
        <f t="shared" si="48"/>
        <v/>
      </c>
      <c r="CE44" s="421"/>
      <c r="CF44" s="59" t="str">
        <f t="shared" si="49"/>
        <v/>
      </c>
      <c r="CG44" s="62" t="str">
        <f t="shared" si="50"/>
        <v/>
      </c>
      <c r="CH44" s="421"/>
      <c r="CI44" s="59" t="str">
        <f t="shared" si="51"/>
        <v/>
      </c>
      <c r="CJ44" s="62" t="str">
        <f t="shared" si="52"/>
        <v/>
      </c>
      <c r="CK44" s="421"/>
      <c r="CL44" s="59" t="str">
        <f t="shared" si="53"/>
        <v/>
      </c>
      <c r="CM44" s="62" t="str">
        <f t="shared" si="54"/>
        <v/>
      </c>
      <c r="CN44" s="421"/>
      <c r="CO44" s="59" t="str">
        <f t="shared" si="55"/>
        <v/>
      </c>
      <c r="CP44" s="62" t="str">
        <f t="shared" si="56"/>
        <v/>
      </c>
      <c r="CQ44" s="421"/>
      <c r="CR44" s="59" t="str">
        <f t="shared" si="57"/>
        <v/>
      </c>
      <c r="CS44" s="62" t="str">
        <f t="shared" si="58"/>
        <v/>
      </c>
      <c r="CT44" s="421"/>
      <c r="CU44" s="59" t="str">
        <f t="shared" si="59"/>
        <v/>
      </c>
      <c r="CV44" s="62" t="str">
        <f t="shared" si="60"/>
        <v/>
      </c>
      <c r="CW44" s="421"/>
      <c r="CX44" s="59" t="str">
        <f t="shared" si="61"/>
        <v/>
      </c>
      <c r="CY44" s="62" t="str">
        <f t="shared" si="62"/>
        <v/>
      </c>
      <c r="CZ44" s="421"/>
      <c r="DA44" s="59" t="str">
        <f t="shared" si="63"/>
        <v/>
      </c>
      <c r="DB44" s="62" t="str">
        <f t="shared" si="64"/>
        <v/>
      </c>
      <c r="DC44" s="421"/>
      <c r="DD44" s="59" t="str">
        <f t="shared" si="65"/>
        <v/>
      </c>
      <c r="DE44" s="62" t="str">
        <f t="shared" si="66"/>
        <v/>
      </c>
      <c r="DF44" s="421"/>
      <c r="DG44" s="59" t="str">
        <f t="shared" si="67"/>
        <v/>
      </c>
      <c r="DH44" s="62" t="str">
        <f t="shared" si="68"/>
        <v/>
      </c>
      <c r="DI44" s="421"/>
      <c r="DJ44" s="59" t="str">
        <f t="shared" si="69"/>
        <v/>
      </c>
      <c r="DK44" s="62" t="str">
        <f t="shared" si="70"/>
        <v/>
      </c>
      <c r="DL44" s="421"/>
      <c r="DM44" s="59" t="str">
        <f t="shared" si="71"/>
        <v/>
      </c>
      <c r="DN44" s="62" t="str">
        <f t="shared" si="72"/>
        <v/>
      </c>
      <c r="DO44" s="421"/>
      <c r="DP44" s="59" t="str">
        <f t="shared" si="73"/>
        <v/>
      </c>
      <c r="DQ44" s="62" t="str">
        <f t="shared" si="74"/>
        <v/>
      </c>
      <c r="DR44" s="421"/>
      <c r="DS44" s="59" t="str">
        <f t="shared" si="75"/>
        <v/>
      </c>
      <c r="DT44" s="62" t="str">
        <f t="shared" si="76"/>
        <v/>
      </c>
      <c r="DU44" s="421"/>
      <c r="DV44" s="59" t="str">
        <f t="shared" si="77"/>
        <v/>
      </c>
      <c r="DW44" s="62" t="str">
        <f t="shared" si="78"/>
        <v/>
      </c>
      <c r="DX44" s="161"/>
    </row>
    <row r="45" spans="1:128" ht="23.25" customHeight="1" x14ac:dyDescent="0.2">
      <c r="B45" s="377"/>
      <c r="C45" s="348">
        <f t="shared" si="81"/>
        <v>14</v>
      </c>
      <c r="D45" s="425"/>
      <c r="E45" s="57"/>
      <c r="F45" s="57"/>
      <c r="G45" s="420"/>
      <c r="H45" s="421"/>
      <c r="I45" s="129" t="str">
        <f t="shared" si="0"/>
        <v/>
      </c>
      <c r="J45" s="97" t="str">
        <f t="shared" si="1"/>
        <v/>
      </c>
      <c r="K45" s="421"/>
      <c r="L45" s="59" t="str">
        <f t="shared" si="2"/>
        <v/>
      </c>
      <c r="M45" s="60" t="str">
        <f t="shared" si="3"/>
        <v/>
      </c>
      <c r="N45" s="421"/>
      <c r="O45" s="59" t="str">
        <f t="shared" si="4"/>
        <v/>
      </c>
      <c r="P45" s="60" t="str">
        <f t="shared" si="5"/>
        <v/>
      </c>
      <c r="Q45" s="421"/>
      <c r="R45" s="59" t="str">
        <f t="shared" si="6"/>
        <v/>
      </c>
      <c r="S45" s="61" t="str">
        <f t="shared" si="7"/>
        <v/>
      </c>
      <c r="T45" s="421"/>
      <c r="U45" s="59" t="str">
        <f t="shared" si="8"/>
        <v/>
      </c>
      <c r="V45" s="60" t="str">
        <f t="shared" si="9"/>
        <v/>
      </c>
      <c r="W45" s="422"/>
      <c r="X45" s="59" t="str">
        <f t="shared" si="10"/>
        <v/>
      </c>
      <c r="Y45" s="62" t="str">
        <f t="shared" si="11"/>
        <v/>
      </c>
      <c r="Z45" s="421"/>
      <c r="AA45" s="59" t="str">
        <f t="shared" si="12"/>
        <v/>
      </c>
      <c r="AB45" s="62" t="str">
        <f t="shared" si="13"/>
        <v/>
      </c>
      <c r="AC45" s="422"/>
      <c r="AD45" s="59" t="str">
        <f t="shared" si="80"/>
        <v/>
      </c>
      <c r="AE45" s="62" t="str">
        <f t="shared" si="14"/>
        <v/>
      </c>
      <c r="AF45" s="421"/>
      <c r="AG45" s="59" t="str">
        <f t="shared" si="15"/>
        <v/>
      </c>
      <c r="AH45" s="62" t="str">
        <f t="shared" si="16"/>
        <v/>
      </c>
      <c r="AI45" s="421"/>
      <c r="AJ45" s="59" t="str">
        <f t="shared" si="17"/>
        <v/>
      </c>
      <c r="AK45" s="62" t="str">
        <f t="shared" si="18"/>
        <v/>
      </c>
      <c r="AL45" s="421"/>
      <c r="AM45" s="59" t="str">
        <f t="shared" si="19"/>
        <v/>
      </c>
      <c r="AN45" s="62" t="str">
        <f t="shared" si="20"/>
        <v/>
      </c>
      <c r="AO45" s="421"/>
      <c r="AP45" s="59" t="str">
        <f t="shared" si="21"/>
        <v/>
      </c>
      <c r="AQ45" s="62" t="str">
        <f t="shared" si="22"/>
        <v/>
      </c>
      <c r="AR45" s="421"/>
      <c r="AS45" s="59" t="str">
        <f t="shared" si="23"/>
        <v/>
      </c>
      <c r="AT45" s="62" t="str">
        <f t="shared" si="24"/>
        <v/>
      </c>
      <c r="AU45" s="421"/>
      <c r="AV45" s="59" t="str">
        <f t="shared" si="25"/>
        <v/>
      </c>
      <c r="AW45" s="62" t="str">
        <f t="shared" si="26"/>
        <v/>
      </c>
      <c r="AX45" s="421"/>
      <c r="AY45" s="59" t="str">
        <f t="shared" si="27"/>
        <v/>
      </c>
      <c r="AZ45" s="62" t="str">
        <f t="shared" si="28"/>
        <v/>
      </c>
      <c r="BA45" s="421"/>
      <c r="BB45" s="59" t="str">
        <f t="shared" si="29"/>
        <v/>
      </c>
      <c r="BC45" s="62" t="str">
        <f t="shared" si="30"/>
        <v/>
      </c>
      <c r="BD45" s="421"/>
      <c r="BE45" s="59" t="str">
        <f t="shared" si="31"/>
        <v/>
      </c>
      <c r="BF45" s="62" t="str">
        <f t="shared" si="32"/>
        <v/>
      </c>
      <c r="BG45" s="421"/>
      <c r="BH45" s="59" t="str">
        <f t="shared" si="33"/>
        <v/>
      </c>
      <c r="BI45" s="62" t="str">
        <f t="shared" si="34"/>
        <v/>
      </c>
      <c r="BJ45" s="421"/>
      <c r="BK45" s="59" t="str">
        <f t="shared" si="35"/>
        <v/>
      </c>
      <c r="BL45" s="62" t="str">
        <f t="shared" si="36"/>
        <v/>
      </c>
      <c r="BM45" s="421"/>
      <c r="BN45" s="59" t="str">
        <f t="shared" si="37"/>
        <v/>
      </c>
      <c r="BO45" s="62" t="str">
        <f t="shared" si="38"/>
        <v/>
      </c>
      <c r="BP45" s="421"/>
      <c r="BQ45" s="59" t="str">
        <f t="shared" si="39"/>
        <v/>
      </c>
      <c r="BR45" s="62" t="str">
        <f t="shared" si="40"/>
        <v/>
      </c>
      <c r="BS45" s="421"/>
      <c r="BT45" s="59" t="str">
        <f t="shared" si="41"/>
        <v/>
      </c>
      <c r="BU45" s="62" t="str">
        <f t="shared" si="42"/>
        <v/>
      </c>
      <c r="BV45" s="421"/>
      <c r="BW45" s="59" t="str">
        <f t="shared" si="43"/>
        <v/>
      </c>
      <c r="BX45" s="62" t="str">
        <f t="shared" si="44"/>
        <v/>
      </c>
      <c r="BY45" s="421"/>
      <c r="BZ45" s="59" t="str">
        <f t="shared" si="45"/>
        <v/>
      </c>
      <c r="CA45" s="62" t="str">
        <f t="shared" si="46"/>
        <v/>
      </c>
      <c r="CB45" s="421"/>
      <c r="CC45" s="59" t="str">
        <f t="shared" si="47"/>
        <v/>
      </c>
      <c r="CD45" s="62" t="str">
        <f t="shared" si="48"/>
        <v/>
      </c>
      <c r="CE45" s="421"/>
      <c r="CF45" s="59" t="str">
        <f t="shared" si="49"/>
        <v/>
      </c>
      <c r="CG45" s="62" t="str">
        <f t="shared" si="50"/>
        <v/>
      </c>
      <c r="CH45" s="421"/>
      <c r="CI45" s="59" t="str">
        <f t="shared" si="51"/>
        <v/>
      </c>
      <c r="CJ45" s="62" t="str">
        <f t="shared" si="52"/>
        <v/>
      </c>
      <c r="CK45" s="421"/>
      <c r="CL45" s="59" t="str">
        <f t="shared" si="53"/>
        <v/>
      </c>
      <c r="CM45" s="62" t="str">
        <f t="shared" si="54"/>
        <v/>
      </c>
      <c r="CN45" s="421"/>
      <c r="CO45" s="59" t="str">
        <f t="shared" si="55"/>
        <v/>
      </c>
      <c r="CP45" s="62" t="str">
        <f t="shared" si="56"/>
        <v/>
      </c>
      <c r="CQ45" s="421"/>
      <c r="CR45" s="59" t="str">
        <f t="shared" si="57"/>
        <v/>
      </c>
      <c r="CS45" s="62" t="str">
        <f t="shared" si="58"/>
        <v/>
      </c>
      <c r="CT45" s="421"/>
      <c r="CU45" s="59" t="str">
        <f t="shared" si="59"/>
        <v/>
      </c>
      <c r="CV45" s="62" t="str">
        <f t="shared" si="60"/>
        <v/>
      </c>
      <c r="CW45" s="421"/>
      <c r="CX45" s="59" t="str">
        <f t="shared" si="61"/>
        <v/>
      </c>
      <c r="CY45" s="62" t="str">
        <f t="shared" si="62"/>
        <v/>
      </c>
      <c r="CZ45" s="421"/>
      <c r="DA45" s="59" t="str">
        <f t="shared" si="63"/>
        <v/>
      </c>
      <c r="DB45" s="62" t="str">
        <f t="shared" si="64"/>
        <v/>
      </c>
      <c r="DC45" s="421"/>
      <c r="DD45" s="59" t="str">
        <f t="shared" si="65"/>
        <v/>
      </c>
      <c r="DE45" s="62" t="str">
        <f t="shared" si="66"/>
        <v/>
      </c>
      <c r="DF45" s="421"/>
      <c r="DG45" s="59" t="str">
        <f t="shared" si="67"/>
        <v/>
      </c>
      <c r="DH45" s="62" t="str">
        <f t="shared" si="68"/>
        <v/>
      </c>
      <c r="DI45" s="421"/>
      <c r="DJ45" s="59" t="str">
        <f t="shared" si="69"/>
        <v/>
      </c>
      <c r="DK45" s="62" t="str">
        <f t="shared" si="70"/>
        <v/>
      </c>
      <c r="DL45" s="421"/>
      <c r="DM45" s="59" t="str">
        <f t="shared" si="71"/>
        <v/>
      </c>
      <c r="DN45" s="62" t="str">
        <f t="shared" si="72"/>
        <v/>
      </c>
      <c r="DO45" s="421"/>
      <c r="DP45" s="59" t="str">
        <f t="shared" si="73"/>
        <v/>
      </c>
      <c r="DQ45" s="62" t="str">
        <f t="shared" si="74"/>
        <v/>
      </c>
      <c r="DR45" s="421"/>
      <c r="DS45" s="59" t="str">
        <f t="shared" si="75"/>
        <v/>
      </c>
      <c r="DT45" s="62" t="str">
        <f t="shared" si="76"/>
        <v/>
      </c>
      <c r="DU45" s="421"/>
      <c r="DV45" s="59" t="str">
        <f t="shared" si="77"/>
        <v/>
      </c>
      <c r="DW45" s="62" t="str">
        <f t="shared" si="78"/>
        <v/>
      </c>
      <c r="DX45" s="161"/>
    </row>
    <row r="46" spans="1:128" ht="23.25" customHeight="1" x14ac:dyDescent="0.2">
      <c r="B46" s="377"/>
      <c r="C46" s="348">
        <f t="shared" si="81"/>
        <v>15</v>
      </c>
      <c r="D46" s="425"/>
      <c r="E46" s="57"/>
      <c r="F46" s="57"/>
      <c r="G46" s="420"/>
      <c r="H46" s="421"/>
      <c r="I46" s="129" t="str">
        <f t="shared" si="0"/>
        <v/>
      </c>
      <c r="J46" s="97" t="str">
        <f t="shared" si="1"/>
        <v/>
      </c>
      <c r="K46" s="421"/>
      <c r="L46" s="59" t="str">
        <f t="shared" si="2"/>
        <v/>
      </c>
      <c r="M46" s="60" t="str">
        <f t="shared" si="3"/>
        <v/>
      </c>
      <c r="N46" s="421"/>
      <c r="O46" s="59" t="str">
        <f t="shared" si="4"/>
        <v/>
      </c>
      <c r="P46" s="60" t="str">
        <f t="shared" si="5"/>
        <v/>
      </c>
      <c r="Q46" s="421"/>
      <c r="R46" s="59" t="str">
        <f t="shared" si="6"/>
        <v/>
      </c>
      <c r="S46" s="61" t="str">
        <f t="shared" si="7"/>
        <v/>
      </c>
      <c r="T46" s="421"/>
      <c r="U46" s="59" t="str">
        <f t="shared" si="8"/>
        <v/>
      </c>
      <c r="V46" s="60" t="str">
        <f t="shared" si="9"/>
        <v/>
      </c>
      <c r="W46" s="422"/>
      <c r="X46" s="59" t="str">
        <f t="shared" si="10"/>
        <v/>
      </c>
      <c r="Y46" s="62" t="str">
        <f t="shared" si="11"/>
        <v/>
      </c>
      <c r="Z46" s="421"/>
      <c r="AA46" s="59" t="str">
        <f t="shared" si="12"/>
        <v/>
      </c>
      <c r="AB46" s="62" t="str">
        <f t="shared" si="13"/>
        <v/>
      </c>
      <c r="AC46" s="422"/>
      <c r="AD46" s="59" t="str">
        <f t="shared" si="80"/>
        <v/>
      </c>
      <c r="AE46" s="62" t="str">
        <f t="shared" si="14"/>
        <v/>
      </c>
      <c r="AF46" s="421"/>
      <c r="AG46" s="59" t="str">
        <f t="shared" si="15"/>
        <v/>
      </c>
      <c r="AH46" s="62" t="str">
        <f t="shared" si="16"/>
        <v/>
      </c>
      <c r="AI46" s="421"/>
      <c r="AJ46" s="59" t="str">
        <f t="shared" si="17"/>
        <v/>
      </c>
      <c r="AK46" s="62" t="str">
        <f t="shared" si="18"/>
        <v/>
      </c>
      <c r="AL46" s="421"/>
      <c r="AM46" s="59" t="str">
        <f t="shared" si="19"/>
        <v/>
      </c>
      <c r="AN46" s="62" t="str">
        <f t="shared" si="20"/>
        <v/>
      </c>
      <c r="AO46" s="421"/>
      <c r="AP46" s="59" t="str">
        <f t="shared" si="21"/>
        <v/>
      </c>
      <c r="AQ46" s="62" t="str">
        <f t="shared" si="22"/>
        <v/>
      </c>
      <c r="AR46" s="421"/>
      <c r="AS46" s="59" t="str">
        <f t="shared" si="23"/>
        <v/>
      </c>
      <c r="AT46" s="62" t="str">
        <f t="shared" si="24"/>
        <v/>
      </c>
      <c r="AU46" s="421"/>
      <c r="AV46" s="59" t="str">
        <f t="shared" si="25"/>
        <v/>
      </c>
      <c r="AW46" s="62" t="str">
        <f t="shared" si="26"/>
        <v/>
      </c>
      <c r="AX46" s="421"/>
      <c r="AY46" s="59" t="str">
        <f t="shared" si="27"/>
        <v/>
      </c>
      <c r="AZ46" s="62" t="str">
        <f t="shared" si="28"/>
        <v/>
      </c>
      <c r="BA46" s="421"/>
      <c r="BB46" s="59" t="str">
        <f t="shared" si="29"/>
        <v/>
      </c>
      <c r="BC46" s="62" t="str">
        <f t="shared" si="30"/>
        <v/>
      </c>
      <c r="BD46" s="421"/>
      <c r="BE46" s="59" t="str">
        <f t="shared" si="31"/>
        <v/>
      </c>
      <c r="BF46" s="62" t="str">
        <f t="shared" si="32"/>
        <v/>
      </c>
      <c r="BG46" s="421"/>
      <c r="BH46" s="59" t="str">
        <f t="shared" si="33"/>
        <v/>
      </c>
      <c r="BI46" s="62" t="str">
        <f t="shared" si="34"/>
        <v/>
      </c>
      <c r="BJ46" s="421"/>
      <c r="BK46" s="59" t="str">
        <f t="shared" si="35"/>
        <v/>
      </c>
      <c r="BL46" s="62" t="str">
        <f t="shared" si="36"/>
        <v/>
      </c>
      <c r="BM46" s="421"/>
      <c r="BN46" s="59" t="str">
        <f t="shared" si="37"/>
        <v/>
      </c>
      <c r="BO46" s="62" t="str">
        <f t="shared" si="38"/>
        <v/>
      </c>
      <c r="BP46" s="421"/>
      <c r="BQ46" s="59" t="str">
        <f t="shared" si="39"/>
        <v/>
      </c>
      <c r="BR46" s="62" t="str">
        <f t="shared" si="40"/>
        <v/>
      </c>
      <c r="BS46" s="421"/>
      <c r="BT46" s="59" t="str">
        <f t="shared" si="41"/>
        <v/>
      </c>
      <c r="BU46" s="62" t="str">
        <f t="shared" si="42"/>
        <v/>
      </c>
      <c r="BV46" s="421"/>
      <c r="BW46" s="59" t="str">
        <f t="shared" si="43"/>
        <v/>
      </c>
      <c r="BX46" s="62" t="str">
        <f t="shared" si="44"/>
        <v/>
      </c>
      <c r="BY46" s="421"/>
      <c r="BZ46" s="59" t="str">
        <f t="shared" si="45"/>
        <v/>
      </c>
      <c r="CA46" s="62" t="str">
        <f t="shared" si="46"/>
        <v/>
      </c>
      <c r="CB46" s="421"/>
      <c r="CC46" s="59" t="str">
        <f t="shared" si="47"/>
        <v/>
      </c>
      <c r="CD46" s="62" t="str">
        <f t="shared" si="48"/>
        <v/>
      </c>
      <c r="CE46" s="421"/>
      <c r="CF46" s="59" t="str">
        <f t="shared" si="49"/>
        <v/>
      </c>
      <c r="CG46" s="62" t="str">
        <f t="shared" si="50"/>
        <v/>
      </c>
      <c r="CH46" s="421"/>
      <c r="CI46" s="59" t="str">
        <f t="shared" si="51"/>
        <v/>
      </c>
      <c r="CJ46" s="62" t="str">
        <f t="shared" si="52"/>
        <v/>
      </c>
      <c r="CK46" s="421"/>
      <c r="CL46" s="59" t="str">
        <f t="shared" si="53"/>
        <v/>
      </c>
      <c r="CM46" s="62" t="str">
        <f t="shared" si="54"/>
        <v/>
      </c>
      <c r="CN46" s="421"/>
      <c r="CO46" s="59" t="str">
        <f t="shared" si="55"/>
        <v/>
      </c>
      <c r="CP46" s="62" t="str">
        <f t="shared" si="56"/>
        <v/>
      </c>
      <c r="CQ46" s="421"/>
      <c r="CR46" s="59" t="str">
        <f t="shared" si="57"/>
        <v/>
      </c>
      <c r="CS46" s="62" t="str">
        <f t="shared" si="58"/>
        <v/>
      </c>
      <c r="CT46" s="421"/>
      <c r="CU46" s="59" t="str">
        <f t="shared" si="59"/>
        <v/>
      </c>
      <c r="CV46" s="62" t="str">
        <f t="shared" si="60"/>
        <v/>
      </c>
      <c r="CW46" s="421"/>
      <c r="CX46" s="59" t="str">
        <f t="shared" si="61"/>
        <v/>
      </c>
      <c r="CY46" s="62" t="str">
        <f t="shared" si="62"/>
        <v/>
      </c>
      <c r="CZ46" s="421"/>
      <c r="DA46" s="59" t="str">
        <f t="shared" si="63"/>
        <v/>
      </c>
      <c r="DB46" s="62" t="str">
        <f t="shared" si="64"/>
        <v/>
      </c>
      <c r="DC46" s="421"/>
      <c r="DD46" s="59" t="str">
        <f t="shared" si="65"/>
        <v/>
      </c>
      <c r="DE46" s="62" t="str">
        <f t="shared" si="66"/>
        <v/>
      </c>
      <c r="DF46" s="421"/>
      <c r="DG46" s="59" t="str">
        <f t="shared" si="67"/>
        <v/>
      </c>
      <c r="DH46" s="62" t="str">
        <f t="shared" si="68"/>
        <v/>
      </c>
      <c r="DI46" s="421"/>
      <c r="DJ46" s="59" t="str">
        <f t="shared" si="69"/>
        <v/>
      </c>
      <c r="DK46" s="62" t="str">
        <f t="shared" si="70"/>
        <v/>
      </c>
      <c r="DL46" s="421"/>
      <c r="DM46" s="59" t="str">
        <f t="shared" si="71"/>
        <v/>
      </c>
      <c r="DN46" s="62" t="str">
        <f t="shared" si="72"/>
        <v/>
      </c>
      <c r="DO46" s="421"/>
      <c r="DP46" s="59" t="str">
        <f t="shared" si="73"/>
        <v/>
      </c>
      <c r="DQ46" s="62" t="str">
        <f t="shared" si="74"/>
        <v/>
      </c>
      <c r="DR46" s="421"/>
      <c r="DS46" s="59" t="str">
        <f t="shared" si="75"/>
        <v/>
      </c>
      <c r="DT46" s="62" t="str">
        <f t="shared" si="76"/>
        <v/>
      </c>
      <c r="DU46" s="421"/>
      <c r="DV46" s="59" t="str">
        <f t="shared" si="77"/>
        <v/>
      </c>
      <c r="DW46" s="62" t="str">
        <f t="shared" si="78"/>
        <v/>
      </c>
      <c r="DX46" s="161"/>
    </row>
    <row r="47" spans="1:128" ht="23.25" customHeight="1" x14ac:dyDescent="0.2">
      <c r="B47" s="377"/>
      <c r="C47" s="348">
        <f t="shared" si="81"/>
        <v>16</v>
      </c>
      <c r="D47" s="425"/>
      <c r="E47" s="57"/>
      <c r="F47" s="57"/>
      <c r="G47" s="420"/>
      <c r="H47" s="421"/>
      <c r="I47" s="129" t="str">
        <f t="shared" si="0"/>
        <v/>
      </c>
      <c r="J47" s="97" t="str">
        <f t="shared" si="1"/>
        <v/>
      </c>
      <c r="K47" s="421"/>
      <c r="L47" s="59" t="str">
        <f t="shared" si="2"/>
        <v/>
      </c>
      <c r="M47" s="60" t="str">
        <f t="shared" si="3"/>
        <v/>
      </c>
      <c r="N47" s="421"/>
      <c r="O47" s="59" t="str">
        <f t="shared" si="4"/>
        <v/>
      </c>
      <c r="P47" s="60" t="str">
        <f t="shared" si="5"/>
        <v/>
      </c>
      <c r="Q47" s="421"/>
      <c r="R47" s="59" t="str">
        <f t="shared" si="6"/>
        <v/>
      </c>
      <c r="S47" s="61" t="str">
        <f t="shared" si="7"/>
        <v/>
      </c>
      <c r="T47" s="421"/>
      <c r="U47" s="59" t="str">
        <f t="shared" si="8"/>
        <v/>
      </c>
      <c r="V47" s="60" t="str">
        <f t="shared" si="9"/>
        <v/>
      </c>
      <c r="W47" s="422"/>
      <c r="X47" s="59" t="str">
        <f t="shared" si="10"/>
        <v/>
      </c>
      <c r="Y47" s="62" t="str">
        <f t="shared" si="11"/>
        <v/>
      </c>
      <c r="Z47" s="421"/>
      <c r="AA47" s="59" t="str">
        <f t="shared" si="12"/>
        <v/>
      </c>
      <c r="AB47" s="62" t="str">
        <f t="shared" si="13"/>
        <v/>
      </c>
      <c r="AC47" s="422"/>
      <c r="AD47" s="59" t="str">
        <f t="shared" si="80"/>
        <v/>
      </c>
      <c r="AE47" s="62" t="str">
        <f t="shared" si="14"/>
        <v/>
      </c>
      <c r="AF47" s="421"/>
      <c r="AG47" s="59" t="str">
        <f t="shared" si="15"/>
        <v/>
      </c>
      <c r="AH47" s="62" t="str">
        <f t="shared" si="16"/>
        <v/>
      </c>
      <c r="AI47" s="421"/>
      <c r="AJ47" s="59" t="str">
        <f t="shared" si="17"/>
        <v/>
      </c>
      <c r="AK47" s="62" t="str">
        <f t="shared" si="18"/>
        <v/>
      </c>
      <c r="AL47" s="421"/>
      <c r="AM47" s="59" t="str">
        <f t="shared" si="19"/>
        <v/>
      </c>
      <c r="AN47" s="62" t="str">
        <f t="shared" si="20"/>
        <v/>
      </c>
      <c r="AO47" s="421"/>
      <c r="AP47" s="59" t="str">
        <f t="shared" si="21"/>
        <v/>
      </c>
      <c r="AQ47" s="62" t="str">
        <f t="shared" si="22"/>
        <v/>
      </c>
      <c r="AR47" s="421"/>
      <c r="AS47" s="59" t="str">
        <f t="shared" si="23"/>
        <v/>
      </c>
      <c r="AT47" s="62" t="str">
        <f t="shared" si="24"/>
        <v/>
      </c>
      <c r="AU47" s="421"/>
      <c r="AV47" s="59" t="str">
        <f t="shared" si="25"/>
        <v/>
      </c>
      <c r="AW47" s="62" t="str">
        <f t="shared" si="26"/>
        <v/>
      </c>
      <c r="AX47" s="421"/>
      <c r="AY47" s="59" t="str">
        <f t="shared" si="27"/>
        <v/>
      </c>
      <c r="AZ47" s="62" t="str">
        <f t="shared" si="28"/>
        <v/>
      </c>
      <c r="BA47" s="421"/>
      <c r="BB47" s="59" t="str">
        <f t="shared" si="29"/>
        <v/>
      </c>
      <c r="BC47" s="62" t="str">
        <f t="shared" si="30"/>
        <v/>
      </c>
      <c r="BD47" s="421"/>
      <c r="BE47" s="59" t="str">
        <f t="shared" si="31"/>
        <v/>
      </c>
      <c r="BF47" s="62" t="str">
        <f t="shared" si="32"/>
        <v/>
      </c>
      <c r="BG47" s="421"/>
      <c r="BH47" s="59" t="str">
        <f t="shared" si="33"/>
        <v/>
      </c>
      <c r="BI47" s="62" t="str">
        <f t="shared" si="34"/>
        <v/>
      </c>
      <c r="BJ47" s="421"/>
      <c r="BK47" s="59" t="str">
        <f t="shared" si="35"/>
        <v/>
      </c>
      <c r="BL47" s="62" t="str">
        <f t="shared" si="36"/>
        <v/>
      </c>
      <c r="BM47" s="421"/>
      <c r="BN47" s="59" t="str">
        <f t="shared" si="37"/>
        <v/>
      </c>
      <c r="BO47" s="62" t="str">
        <f t="shared" si="38"/>
        <v/>
      </c>
      <c r="BP47" s="421"/>
      <c r="BQ47" s="59" t="str">
        <f t="shared" si="39"/>
        <v/>
      </c>
      <c r="BR47" s="62" t="str">
        <f t="shared" si="40"/>
        <v/>
      </c>
      <c r="BS47" s="421"/>
      <c r="BT47" s="59" t="str">
        <f t="shared" si="41"/>
        <v/>
      </c>
      <c r="BU47" s="62" t="str">
        <f t="shared" si="42"/>
        <v/>
      </c>
      <c r="BV47" s="421"/>
      <c r="BW47" s="59" t="str">
        <f t="shared" si="43"/>
        <v/>
      </c>
      <c r="BX47" s="62" t="str">
        <f t="shared" si="44"/>
        <v/>
      </c>
      <c r="BY47" s="421"/>
      <c r="BZ47" s="59" t="str">
        <f t="shared" si="45"/>
        <v/>
      </c>
      <c r="CA47" s="62" t="str">
        <f t="shared" si="46"/>
        <v/>
      </c>
      <c r="CB47" s="421"/>
      <c r="CC47" s="59" t="str">
        <f t="shared" si="47"/>
        <v/>
      </c>
      <c r="CD47" s="62" t="str">
        <f t="shared" si="48"/>
        <v/>
      </c>
      <c r="CE47" s="421"/>
      <c r="CF47" s="59" t="str">
        <f t="shared" si="49"/>
        <v/>
      </c>
      <c r="CG47" s="62" t="str">
        <f t="shared" si="50"/>
        <v/>
      </c>
      <c r="CH47" s="421"/>
      <c r="CI47" s="59" t="str">
        <f t="shared" si="51"/>
        <v/>
      </c>
      <c r="CJ47" s="62" t="str">
        <f t="shared" si="52"/>
        <v/>
      </c>
      <c r="CK47" s="421"/>
      <c r="CL47" s="59" t="str">
        <f t="shared" si="53"/>
        <v/>
      </c>
      <c r="CM47" s="62" t="str">
        <f t="shared" si="54"/>
        <v/>
      </c>
      <c r="CN47" s="421"/>
      <c r="CO47" s="59" t="str">
        <f t="shared" si="55"/>
        <v/>
      </c>
      <c r="CP47" s="62" t="str">
        <f t="shared" si="56"/>
        <v/>
      </c>
      <c r="CQ47" s="421"/>
      <c r="CR47" s="59" t="str">
        <f t="shared" si="57"/>
        <v/>
      </c>
      <c r="CS47" s="62" t="str">
        <f t="shared" si="58"/>
        <v/>
      </c>
      <c r="CT47" s="421"/>
      <c r="CU47" s="59" t="str">
        <f t="shared" si="59"/>
        <v/>
      </c>
      <c r="CV47" s="62" t="str">
        <f t="shared" si="60"/>
        <v/>
      </c>
      <c r="CW47" s="421"/>
      <c r="CX47" s="59" t="str">
        <f t="shared" si="61"/>
        <v/>
      </c>
      <c r="CY47" s="62" t="str">
        <f t="shared" si="62"/>
        <v/>
      </c>
      <c r="CZ47" s="421"/>
      <c r="DA47" s="59" t="str">
        <f t="shared" si="63"/>
        <v/>
      </c>
      <c r="DB47" s="62" t="str">
        <f t="shared" si="64"/>
        <v/>
      </c>
      <c r="DC47" s="421"/>
      <c r="DD47" s="59" t="str">
        <f t="shared" si="65"/>
        <v/>
      </c>
      <c r="DE47" s="62" t="str">
        <f t="shared" si="66"/>
        <v/>
      </c>
      <c r="DF47" s="421"/>
      <c r="DG47" s="59" t="str">
        <f t="shared" si="67"/>
        <v/>
      </c>
      <c r="DH47" s="62" t="str">
        <f t="shared" si="68"/>
        <v/>
      </c>
      <c r="DI47" s="421"/>
      <c r="DJ47" s="59" t="str">
        <f t="shared" si="69"/>
        <v/>
      </c>
      <c r="DK47" s="62" t="str">
        <f t="shared" si="70"/>
        <v/>
      </c>
      <c r="DL47" s="421"/>
      <c r="DM47" s="59" t="str">
        <f t="shared" si="71"/>
        <v/>
      </c>
      <c r="DN47" s="62" t="str">
        <f t="shared" si="72"/>
        <v/>
      </c>
      <c r="DO47" s="421"/>
      <c r="DP47" s="59" t="str">
        <f t="shared" si="73"/>
        <v/>
      </c>
      <c r="DQ47" s="62" t="str">
        <f t="shared" si="74"/>
        <v/>
      </c>
      <c r="DR47" s="421"/>
      <c r="DS47" s="59" t="str">
        <f t="shared" si="75"/>
        <v/>
      </c>
      <c r="DT47" s="62" t="str">
        <f t="shared" si="76"/>
        <v/>
      </c>
      <c r="DU47" s="421"/>
      <c r="DV47" s="59" t="str">
        <f t="shared" si="77"/>
        <v/>
      </c>
      <c r="DW47" s="62" t="str">
        <f t="shared" si="78"/>
        <v/>
      </c>
      <c r="DX47" s="161"/>
    </row>
    <row r="48" spans="1:128" ht="23.25" customHeight="1" x14ac:dyDescent="0.2">
      <c r="B48" s="377"/>
      <c r="C48" s="348">
        <f t="shared" si="81"/>
        <v>17</v>
      </c>
      <c r="D48" s="425"/>
      <c r="E48" s="57"/>
      <c r="F48" s="57"/>
      <c r="G48" s="420"/>
      <c r="H48" s="421"/>
      <c r="I48" s="129" t="str">
        <f t="shared" si="0"/>
        <v/>
      </c>
      <c r="J48" s="97" t="str">
        <f t="shared" si="1"/>
        <v/>
      </c>
      <c r="K48" s="421"/>
      <c r="L48" s="59" t="str">
        <f t="shared" si="2"/>
        <v/>
      </c>
      <c r="M48" s="60" t="str">
        <f t="shared" si="3"/>
        <v/>
      </c>
      <c r="N48" s="421"/>
      <c r="O48" s="59" t="str">
        <f t="shared" si="4"/>
        <v/>
      </c>
      <c r="P48" s="60" t="str">
        <f t="shared" si="5"/>
        <v/>
      </c>
      <c r="Q48" s="421"/>
      <c r="R48" s="59" t="str">
        <f t="shared" si="6"/>
        <v/>
      </c>
      <c r="S48" s="61" t="str">
        <f t="shared" si="7"/>
        <v/>
      </c>
      <c r="T48" s="421"/>
      <c r="U48" s="59" t="str">
        <f t="shared" si="8"/>
        <v/>
      </c>
      <c r="V48" s="60" t="str">
        <f t="shared" si="9"/>
        <v/>
      </c>
      <c r="W48" s="422"/>
      <c r="X48" s="59" t="str">
        <f t="shared" si="10"/>
        <v/>
      </c>
      <c r="Y48" s="62" t="str">
        <f t="shared" si="11"/>
        <v/>
      </c>
      <c r="Z48" s="421"/>
      <c r="AA48" s="59" t="str">
        <f t="shared" si="12"/>
        <v/>
      </c>
      <c r="AB48" s="62" t="str">
        <f t="shared" si="13"/>
        <v/>
      </c>
      <c r="AC48" s="422"/>
      <c r="AD48" s="59" t="str">
        <f t="shared" si="80"/>
        <v/>
      </c>
      <c r="AE48" s="62" t="str">
        <f t="shared" si="14"/>
        <v/>
      </c>
      <c r="AF48" s="421"/>
      <c r="AG48" s="59" t="str">
        <f t="shared" si="15"/>
        <v/>
      </c>
      <c r="AH48" s="62" t="str">
        <f t="shared" si="16"/>
        <v/>
      </c>
      <c r="AI48" s="421"/>
      <c r="AJ48" s="59" t="str">
        <f t="shared" si="17"/>
        <v/>
      </c>
      <c r="AK48" s="62" t="str">
        <f t="shared" si="18"/>
        <v/>
      </c>
      <c r="AL48" s="421"/>
      <c r="AM48" s="59" t="str">
        <f t="shared" si="19"/>
        <v/>
      </c>
      <c r="AN48" s="62" t="str">
        <f t="shared" si="20"/>
        <v/>
      </c>
      <c r="AO48" s="421"/>
      <c r="AP48" s="59" t="str">
        <f t="shared" si="21"/>
        <v/>
      </c>
      <c r="AQ48" s="62" t="str">
        <f t="shared" si="22"/>
        <v/>
      </c>
      <c r="AR48" s="421"/>
      <c r="AS48" s="59" t="str">
        <f t="shared" si="23"/>
        <v/>
      </c>
      <c r="AT48" s="62" t="str">
        <f t="shared" si="24"/>
        <v/>
      </c>
      <c r="AU48" s="421"/>
      <c r="AV48" s="59" t="str">
        <f t="shared" si="25"/>
        <v/>
      </c>
      <c r="AW48" s="62" t="str">
        <f t="shared" si="26"/>
        <v/>
      </c>
      <c r="AX48" s="421"/>
      <c r="AY48" s="59" t="str">
        <f t="shared" si="27"/>
        <v/>
      </c>
      <c r="AZ48" s="62" t="str">
        <f t="shared" si="28"/>
        <v/>
      </c>
      <c r="BA48" s="421"/>
      <c r="BB48" s="59" t="str">
        <f t="shared" si="29"/>
        <v/>
      </c>
      <c r="BC48" s="62" t="str">
        <f t="shared" si="30"/>
        <v/>
      </c>
      <c r="BD48" s="421"/>
      <c r="BE48" s="59" t="str">
        <f t="shared" si="31"/>
        <v/>
      </c>
      <c r="BF48" s="62" t="str">
        <f t="shared" si="32"/>
        <v/>
      </c>
      <c r="BG48" s="421"/>
      <c r="BH48" s="59" t="str">
        <f t="shared" si="33"/>
        <v/>
      </c>
      <c r="BI48" s="62" t="str">
        <f t="shared" si="34"/>
        <v/>
      </c>
      <c r="BJ48" s="421"/>
      <c r="BK48" s="59" t="str">
        <f t="shared" si="35"/>
        <v/>
      </c>
      <c r="BL48" s="62" t="str">
        <f t="shared" si="36"/>
        <v/>
      </c>
      <c r="BM48" s="421"/>
      <c r="BN48" s="59" t="str">
        <f t="shared" si="37"/>
        <v/>
      </c>
      <c r="BO48" s="62" t="str">
        <f t="shared" si="38"/>
        <v/>
      </c>
      <c r="BP48" s="421"/>
      <c r="BQ48" s="59" t="str">
        <f t="shared" si="39"/>
        <v/>
      </c>
      <c r="BR48" s="62" t="str">
        <f t="shared" si="40"/>
        <v/>
      </c>
      <c r="BS48" s="421"/>
      <c r="BT48" s="59" t="str">
        <f t="shared" si="41"/>
        <v/>
      </c>
      <c r="BU48" s="62" t="str">
        <f t="shared" si="42"/>
        <v/>
      </c>
      <c r="BV48" s="421"/>
      <c r="BW48" s="59" t="str">
        <f t="shared" si="43"/>
        <v/>
      </c>
      <c r="BX48" s="62" t="str">
        <f t="shared" si="44"/>
        <v/>
      </c>
      <c r="BY48" s="421"/>
      <c r="BZ48" s="59" t="str">
        <f t="shared" si="45"/>
        <v/>
      </c>
      <c r="CA48" s="62" t="str">
        <f t="shared" si="46"/>
        <v/>
      </c>
      <c r="CB48" s="421"/>
      <c r="CC48" s="59" t="str">
        <f t="shared" si="47"/>
        <v/>
      </c>
      <c r="CD48" s="62" t="str">
        <f t="shared" si="48"/>
        <v/>
      </c>
      <c r="CE48" s="421"/>
      <c r="CF48" s="59" t="str">
        <f t="shared" si="49"/>
        <v/>
      </c>
      <c r="CG48" s="62" t="str">
        <f t="shared" si="50"/>
        <v/>
      </c>
      <c r="CH48" s="421"/>
      <c r="CI48" s="59" t="str">
        <f t="shared" si="51"/>
        <v/>
      </c>
      <c r="CJ48" s="62" t="str">
        <f t="shared" si="52"/>
        <v/>
      </c>
      <c r="CK48" s="421"/>
      <c r="CL48" s="59" t="str">
        <f t="shared" si="53"/>
        <v/>
      </c>
      <c r="CM48" s="62" t="str">
        <f t="shared" si="54"/>
        <v/>
      </c>
      <c r="CN48" s="421"/>
      <c r="CO48" s="59" t="str">
        <f t="shared" si="55"/>
        <v/>
      </c>
      <c r="CP48" s="62" t="str">
        <f t="shared" si="56"/>
        <v/>
      </c>
      <c r="CQ48" s="421"/>
      <c r="CR48" s="59" t="str">
        <f t="shared" si="57"/>
        <v/>
      </c>
      <c r="CS48" s="62" t="str">
        <f t="shared" si="58"/>
        <v/>
      </c>
      <c r="CT48" s="421"/>
      <c r="CU48" s="59" t="str">
        <f t="shared" si="59"/>
        <v/>
      </c>
      <c r="CV48" s="62" t="str">
        <f t="shared" si="60"/>
        <v/>
      </c>
      <c r="CW48" s="421"/>
      <c r="CX48" s="59" t="str">
        <f t="shared" si="61"/>
        <v/>
      </c>
      <c r="CY48" s="62" t="str">
        <f t="shared" si="62"/>
        <v/>
      </c>
      <c r="CZ48" s="421"/>
      <c r="DA48" s="59" t="str">
        <f t="shared" si="63"/>
        <v/>
      </c>
      <c r="DB48" s="62" t="str">
        <f t="shared" si="64"/>
        <v/>
      </c>
      <c r="DC48" s="421"/>
      <c r="DD48" s="59" t="str">
        <f t="shared" si="65"/>
        <v/>
      </c>
      <c r="DE48" s="62" t="str">
        <f t="shared" si="66"/>
        <v/>
      </c>
      <c r="DF48" s="421"/>
      <c r="DG48" s="59" t="str">
        <f t="shared" si="67"/>
        <v/>
      </c>
      <c r="DH48" s="62" t="str">
        <f t="shared" si="68"/>
        <v/>
      </c>
      <c r="DI48" s="421"/>
      <c r="DJ48" s="59" t="str">
        <f t="shared" si="69"/>
        <v/>
      </c>
      <c r="DK48" s="62" t="str">
        <f t="shared" si="70"/>
        <v/>
      </c>
      <c r="DL48" s="421"/>
      <c r="DM48" s="59" t="str">
        <f t="shared" si="71"/>
        <v/>
      </c>
      <c r="DN48" s="62" t="str">
        <f t="shared" si="72"/>
        <v/>
      </c>
      <c r="DO48" s="421"/>
      <c r="DP48" s="59" t="str">
        <f t="shared" si="73"/>
        <v/>
      </c>
      <c r="DQ48" s="62" t="str">
        <f t="shared" si="74"/>
        <v/>
      </c>
      <c r="DR48" s="421"/>
      <c r="DS48" s="59" t="str">
        <f t="shared" si="75"/>
        <v/>
      </c>
      <c r="DT48" s="62" t="str">
        <f t="shared" si="76"/>
        <v/>
      </c>
      <c r="DU48" s="421"/>
      <c r="DV48" s="59" t="str">
        <f t="shared" si="77"/>
        <v/>
      </c>
      <c r="DW48" s="62" t="str">
        <f t="shared" si="78"/>
        <v/>
      </c>
      <c r="DX48" s="161"/>
    </row>
    <row r="49" spans="2:128" ht="23.25" customHeight="1" x14ac:dyDescent="0.2">
      <c r="B49" s="377"/>
      <c r="C49" s="348">
        <f t="shared" si="81"/>
        <v>18</v>
      </c>
      <c r="D49" s="425"/>
      <c r="E49" s="57"/>
      <c r="F49" s="57"/>
      <c r="G49" s="420"/>
      <c r="H49" s="421"/>
      <c r="I49" s="129" t="str">
        <f t="shared" si="0"/>
        <v/>
      </c>
      <c r="J49" s="97" t="str">
        <f t="shared" si="1"/>
        <v/>
      </c>
      <c r="K49" s="421"/>
      <c r="L49" s="59" t="str">
        <f t="shared" si="2"/>
        <v/>
      </c>
      <c r="M49" s="60" t="str">
        <f t="shared" si="3"/>
        <v/>
      </c>
      <c r="N49" s="421"/>
      <c r="O49" s="59" t="str">
        <f t="shared" si="4"/>
        <v/>
      </c>
      <c r="P49" s="60" t="str">
        <f t="shared" si="5"/>
        <v/>
      </c>
      <c r="Q49" s="421"/>
      <c r="R49" s="59" t="str">
        <f t="shared" si="6"/>
        <v/>
      </c>
      <c r="S49" s="61" t="str">
        <f t="shared" si="7"/>
        <v/>
      </c>
      <c r="T49" s="421"/>
      <c r="U49" s="59" t="str">
        <f t="shared" si="8"/>
        <v/>
      </c>
      <c r="V49" s="60" t="str">
        <f t="shared" si="9"/>
        <v/>
      </c>
      <c r="W49" s="422"/>
      <c r="X49" s="59" t="str">
        <f t="shared" si="10"/>
        <v/>
      </c>
      <c r="Y49" s="62" t="str">
        <f t="shared" si="11"/>
        <v/>
      </c>
      <c r="Z49" s="421"/>
      <c r="AA49" s="59" t="str">
        <f t="shared" si="12"/>
        <v/>
      </c>
      <c r="AB49" s="62" t="str">
        <f t="shared" si="13"/>
        <v/>
      </c>
      <c r="AC49" s="422"/>
      <c r="AD49" s="59" t="str">
        <f t="shared" si="80"/>
        <v/>
      </c>
      <c r="AE49" s="62" t="str">
        <f t="shared" si="14"/>
        <v/>
      </c>
      <c r="AF49" s="421"/>
      <c r="AG49" s="59" t="str">
        <f t="shared" si="15"/>
        <v/>
      </c>
      <c r="AH49" s="62" t="str">
        <f t="shared" si="16"/>
        <v/>
      </c>
      <c r="AI49" s="421"/>
      <c r="AJ49" s="59" t="str">
        <f t="shared" si="17"/>
        <v/>
      </c>
      <c r="AK49" s="62" t="str">
        <f t="shared" si="18"/>
        <v/>
      </c>
      <c r="AL49" s="421"/>
      <c r="AM49" s="59" t="str">
        <f t="shared" si="19"/>
        <v/>
      </c>
      <c r="AN49" s="62" t="str">
        <f t="shared" si="20"/>
        <v/>
      </c>
      <c r="AO49" s="421"/>
      <c r="AP49" s="59" t="str">
        <f t="shared" si="21"/>
        <v/>
      </c>
      <c r="AQ49" s="62" t="str">
        <f t="shared" si="22"/>
        <v/>
      </c>
      <c r="AR49" s="421"/>
      <c r="AS49" s="59" t="str">
        <f t="shared" si="23"/>
        <v/>
      </c>
      <c r="AT49" s="62" t="str">
        <f t="shared" si="24"/>
        <v/>
      </c>
      <c r="AU49" s="421"/>
      <c r="AV49" s="59" t="str">
        <f t="shared" si="25"/>
        <v/>
      </c>
      <c r="AW49" s="62" t="str">
        <f t="shared" si="26"/>
        <v/>
      </c>
      <c r="AX49" s="421"/>
      <c r="AY49" s="59" t="str">
        <f t="shared" si="27"/>
        <v/>
      </c>
      <c r="AZ49" s="62" t="str">
        <f t="shared" si="28"/>
        <v/>
      </c>
      <c r="BA49" s="421"/>
      <c r="BB49" s="59" t="str">
        <f t="shared" si="29"/>
        <v/>
      </c>
      <c r="BC49" s="62" t="str">
        <f t="shared" si="30"/>
        <v/>
      </c>
      <c r="BD49" s="421"/>
      <c r="BE49" s="59" t="str">
        <f t="shared" si="31"/>
        <v/>
      </c>
      <c r="BF49" s="62" t="str">
        <f t="shared" si="32"/>
        <v/>
      </c>
      <c r="BG49" s="421"/>
      <c r="BH49" s="59" t="str">
        <f t="shared" si="33"/>
        <v/>
      </c>
      <c r="BI49" s="62" t="str">
        <f t="shared" si="34"/>
        <v/>
      </c>
      <c r="BJ49" s="421"/>
      <c r="BK49" s="59" t="str">
        <f t="shared" si="35"/>
        <v/>
      </c>
      <c r="BL49" s="62" t="str">
        <f t="shared" si="36"/>
        <v/>
      </c>
      <c r="BM49" s="421"/>
      <c r="BN49" s="59" t="str">
        <f t="shared" si="37"/>
        <v/>
      </c>
      <c r="BO49" s="62" t="str">
        <f t="shared" si="38"/>
        <v/>
      </c>
      <c r="BP49" s="421"/>
      <c r="BQ49" s="59" t="str">
        <f t="shared" si="39"/>
        <v/>
      </c>
      <c r="BR49" s="62" t="str">
        <f t="shared" si="40"/>
        <v/>
      </c>
      <c r="BS49" s="421"/>
      <c r="BT49" s="59" t="str">
        <f t="shared" si="41"/>
        <v/>
      </c>
      <c r="BU49" s="62" t="str">
        <f t="shared" si="42"/>
        <v/>
      </c>
      <c r="BV49" s="421"/>
      <c r="BW49" s="59" t="str">
        <f t="shared" si="43"/>
        <v/>
      </c>
      <c r="BX49" s="62" t="str">
        <f t="shared" si="44"/>
        <v/>
      </c>
      <c r="BY49" s="421"/>
      <c r="BZ49" s="59" t="str">
        <f t="shared" si="45"/>
        <v/>
      </c>
      <c r="CA49" s="62" t="str">
        <f t="shared" si="46"/>
        <v/>
      </c>
      <c r="CB49" s="421"/>
      <c r="CC49" s="59" t="str">
        <f t="shared" si="47"/>
        <v/>
      </c>
      <c r="CD49" s="62" t="str">
        <f t="shared" si="48"/>
        <v/>
      </c>
      <c r="CE49" s="421"/>
      <c r="CF49" s="59" t="str">
        <f t="shared" si="49"/>
        <v/>
      </c>
      <c r="CG49" s="62" t="str">
        <f t="shared" si="50"/>
        <v/>
      </c>
      <c r="CH49" s="421"/>
      <c r="CI49" s="59" t="str">
        <f t="shared" si="51"/>
        <v/>
      </c>
      <c r="CJ49" s="62" t="str">
        <f t="shared" si="52"/>
        <v/>
      </c>
      <c r="CK49" s="421"/>
      <c r="CL49" s="59" t="str">
        <f t="shared" si="53"/>
        <v/>
      </c>
      <c r="CM49" s="62" t="str">
        <f t="shared" si="54"/>
        <v/>
      </c>
      <c r="CN49" s="421"/>
      <c r="CO49" s="59" t="str">
        <f t="shared" si="55"/>
        <v/>
      </c>
      <c r="CP49" s="62" t="str">
        <f t="shared" si="56"/>
        <v/>
      </c>
      <c r="CQ49" s="421"/>
      <c r="CR49" s="59" t="str">
        <f t="shared" si="57"/>
        <v/>
      </c>
      <c r="CS49" s="62" t="str">
        <f t="shared" si="58"/>
        <v/>
      </c>
      <c r="CT49" s="421"/>
      <c r="CU49" s="59" t="str">
        <f t="shared" si="59"/>
        <v/>
      </c>
      <c r="CV49" s="62" t="str">
        <f t="shared" si="60"/>
        <v/>
      </c>
      <c r="CW49" s="421"/>
      <c r="CX49" s="59" t="str">
        <f t="shared" si="61"/>
        <v/>
      </c>
      <c r="CY49" s="62" t="str">
        <f t="shared" si="62"/>
        <v/>
      </c>
      <c r="CZ49" s="421"/>
      <c r="DA49" s="59" t="str">
        <f t="shared" si="63"/>
        <v/>
      </c>
      <c r="DB49" s="62" t="str">
        <f t="shared" si="64"/>
        <v/>
      </c>
      <c r="DC49" s="421"/>
      <c r="DD49" s="59" t="str">
        <f t="shared" si="65"/>
        <v/>
      </c>
      <c r="DE49" s="62" t="str">
        <f t="shared" si="66"/>
        <v/>
      </c>
      <c r="DF49" s="421"/>
      <c r="DG49" s="59" t="str">
        <f t="shared" si="67"/>
        <v/>
      </c>
      <c r="DH49" s="62" t="str">
        <f t="shared" si="68"/>
        <v/>
      </c>
      <c r="DI49" s="421"/>
      <c r="DJ49" s="59" t="str">
        <f t="shared" si="69"/>
        <v/>
      </c>
      <c r="DK49" s="62" t="str">
        <f t="shared" si="70"/>
        <v/>
      </c>
      <c r="DL49" s="421"/>
      <c r="DM49" s="59" t="str">
        <f t="shared" si="71"/>
        <v/>
      </c>
      <c r="DN49" s="62" t="str">
        <f t="shared" si="72"/>
        <v/>
      </c>
      <c r="DO49" s="421"/>
      <c r="DP49" s="59" t="str">
        <f t="shared" si="73"/>
        <v/>
      </c>
      <c r="DQ49" s="62" t="str">
        <f t="shared" si="74"/>
        <v/>
      </c>
      <c r="DR49" s="421"/>
      <c r="DS49" s="59" t="str">
        <f t="shared" si="75"/>
        <v/>
      </c>
      <c r="DT49" s="62" t="str">
        <f t="shared" si="76"/>
        <v/>
      </c>
      <c r="DU49" s="421"/>
      <c r="DV49" s="59" t="str">
        <f t="shared" si="77"/>
        <v/>
      </c>
      <c r="DW49" s="62" t="str">
        <f t="shared" si="78"/>
        <v/>
      </c>
      <c r="DX49" s="161"/>
    </row>
    <row r="50" spans="2:128" ht="23.25" customHeight="1" x14ac:dyDescent="0.2">
      <c r="B50" s="377"/>
      <c r="C50" s="348">
        <f t="shared" si="81"/>
        <v>19</v>
      </c>
      <c r="D50" s="425"/>
      <c r="E50" s="57"/>
      <c r="F50" s="57"/>
      <c r="G50" s="420"/>
      <c r="H50" s="421"/>
      <c r="I50" s="129" t="str">
        <f t="shared" si="0"/>
        <v/>
      </c>
      <c r="J50" s="97" t="str">
        <f t="shared" si="1"/>
        <v/>
      </c>
      <c r="K50" s="421"/>
      <c r="L50" s="59" t="str">
        <f t="shared" si="2"/>
        <v/>
      </c>
      <c r="M50" s="60" t="str">
        <f t="shared" si="3"/>
        <v/>
      </c>
      <c r="N50" s="421"/>
      <c r="O50" s="59" t="str">
        <f t="shared" si="4"/>
        <v/>
      </c>
      <c r="P50" s="60" t="str">
        <f t="shared" si="5"/>
        <v/>
      </c>
      <c r="Q50" s="421"/>
      <c r="R50" s="59" t="str">
        <f t="shared" si="6"/>
        <v/>
      </c>
      <c r="S50" s="61" t="str">
        <f t="shared" si="7"/>
        <v/>
      </c>
      <c r="T50" s="421"/>
      <c r="U50" s="59" t="str">
        <f t="shared" si="8"/>
        <v/>
      </c>
      <c r="V50" s="60" t="str">
        <f t="shared" si="9"/>
        <v/>
      </c>
      <c r="W50" s="422"/>
      <c r="X50" s="59" t="str">
        <f t="shared" si="10"/>
        <v/>
      </c>
      <c r="Y50" s="62" t="str">
        <f t="shared" si="11"/>
        <v/>
      </c>
      <c r="Z50" s="421"/>
      <c r="AA50" s="59" t="str">
        <f t="shared" si="12"/>
        <v/>
      </c>
      <c r="AB50" s="62" t="str">
        <f t="shared" si="13"/>
        <v/>
      </c>
      <c r="AC50" s="422"/>
      <c r="AD50" s="59" t="str">
        <f t="shared" si="80"/>
        <v/>
      </c>
      <c r="AE50" s="62" t="str">
        <f t="shared" si="14"/>
        <v/>
      </c>
      <c r="AF50" s="421"/>
      <c r="AG50" s="59" t="str">
        <f t="shared" si="15"/>
        <v/>
      </c>
      <c r="AH50" s="62" t="str">
        <f t="shared" si="16"/>
        <v/>
      </c>
      <c r="AI50" s="421"/>
      <c r="AJ50" s="59" t="str">
        <f t="shared" si="17"/>
        <v/>
      </c>
      <c r="AK50" s="62" t="str">
        <f t="shared" si="18"/>
        <v/>
      </c>
      <c r="AL50" s="421"/>
      <c r="AM50" s="59" t="str">
        <f t="shared" si="19"/>
        <v/>
      </c>
      <c r="AN50" s="62" t="str">
        <f t="shared" si="20"/>
        <v/>
      </c>
      <c r="AO50" s="421"/>
      <c r="AP50" s="59" t="str">
        <f t="shared" si="21"/>
        <v/>
      </c>
      <c r="AQ50" s="62" t="str">
        <f t="shared" si="22"/>
        <v/>
      </c>
      <c r="AR50" s="421"/>
      <c r="AS50" s="59" t="str">
        <f t="shared" si="23"/>
        <v/>
      </c>
      <c r="AT50" s="62" t="str">
        <f t="shared" si="24"/>
        <v/>
      </c>
      <c r="AU50" s="421"/>
      <c r="AV50" s="59" t="str">
        <f t="shared" si="25"/>
        <v/>
      </c>
      <c r="AW50" s="62" t="str">
        <f t="shared" si="26"/>
        <v/>
      </c>
      <c r="AX50" s="421"/>
      <c r="AY50" s="59" t="str">
        <f t="shared" si="27"/>
        <v/>
      </c>
      <c r="AZ50" s="62" t="str">
        <f t="shared" si="28"/>
        <v/>
      </c>
      <c r="BA50" s="421"/>
      <c r="BB50" s="59" t="str">
        <f t="shared" si="29"/>
        <v/>
      </c>
      <c r="BC50" s="62" t="str">
        <f t="shared" si="30"/>
        <v/>
      </c>
      <c r="BD50" s="421"/>
      <c r="BE50" s="59" t="str">
        <f t="shared" si="31"/>
        <v/>
      </c>
      <c r="BF50" s="62" t="str">
        <f t="shared" si="32"/>
        <v/>
      </c>
      <c r="BG50" s="421"/>
      <c r="BH50" s="59" t="str">
        <f t="shared" si="33"/>
        <v/>
      </c>
      <c r="BI50" s="62" t="str">
        <f t="shared" si="34"/>
        <v/>
      </c>
      <c r="BJ50" s="421"/>
      <c r="BK50" s="59" t="str">
        <f t="shared" si="35"/>
        <v/>
      </c>
      <c r="BL50" s="62" t="str">
        <f t="shared" si="36"/>
        <v/>
      </c>
      <c r="BM50" s="421"/>
      <c r="BN50" s="59" t="str">
        <f t="shared" si="37"/>
        <v/>
      </c>
      <c r="BO50" s="62" t="str">
        <f t="shared" si="38"/>
        <v/>
      </c>
      <c r="BP50" s="421"/>
      <c r="BQ50" s="59" t="str">
        <f t="shared" si="39"/>
        <v/>
      </c>
      <c r="BR50" s="62" t="str">
        <f t="shared" si="40"/>
        <v/>
      </c>
      <c r="BS50" s="421"/>
      <c r="BT50" s="59" t="str">
        <f t="shared" si="41"/>
        <v/>
      </c>
      <c r="BU50" s="62" t="str">
        <f t="shared" si="42"/>
        <v/>
      </c>
      <c r="BV50" s="421"/>
      <c r="BW50" s="59" t="str">
        <f t="shared" si="43"/>
        <v/>
      </c>
      <c r="BX50" s="62" t="str">
        <f t="shared" si="44"/>
        <v/>
      </c>
      <c r="BY50" s="421"/>
      <c r="BZ50" s="59" t="str">
        <f t="shared" si="45"/>
        <v/>
      </c>
      <c r="CA50" s="62" t="str">
        <f t="shared" si="46"/>
        <v/>
      </c>
      <c r="CB50" s="421"/>
      <c r="CC50" s="59" t="str">
        <f t="shared" si="47"/>
        <v/>
      </c>
      <c r="CD50" s="62" t="str">
        <f t="shared" si="48"/>
        <v/>
      </c>
      <c r="CE50" s="421"/>
      <c r="CF50" s="59" t="str">
        <f t="shared" si="49"/>
        <v/>
      </c>
      <c r="CG50" s="62" t="str">
        <f t="shared" si="50"/>
        <v/>
      </c>
      <c r="CH50" s="421"/>
      <c r="CI50" s="59" t="str">
        <f t="shared" si="51"/>
        <v/>
      </c>
      <c r="CJ50" s="62" t="str">
        <f t="shared" si="52"/>
        <v/>
      </c>
      <c r="CK50" s="421"/>
      <c r="CL50" s="59" t="str">
        <f t="shared" si="53"/>
        <v/>
      </c>
      <c r="CM50" s="62" t="str">
        <f t="shared" si="54"/>
        <v/>
      </c>
      <c r="CN50" s="421"/>
      <c r="CO50" s="59" t="str">
        <f t="shared" si="55"/>
        <v/>
      </c>
      <c r="CP50" s="62" t="str">
        <f t="shared" si="56"/>
        <v/>
      </c>
      <c r="CQ50" s="421"/>
      <c r="CR50" s="59" t="str">
        <f t="shared" si="57"/>
        <v/>
      </c>
      <c r="CS50" s="62" t="str">
        <f t="shared" si="58"/>
        <v/>
      </c>
      <c r="CT50" s="421"/>
      <c r="CU50" s="59" t="str">
        <f t="shared" si="59"/>
        <v/>
      </c>
      <c r="CV50" s="62" t="str">
        <f t="shared" si="60"/>
        <v/>
      </c>
      <c r="CW50" s="421"/>
      <c r="CX50" s="59" t="str">
        <f t="shared" si="61"/>
        <v/>
      </c>
      <c r="CY50" s="62" t="str">
        <f t="shared" si="62"/>
        <v/>
      </c>
      <c r="CZ50" s="421"/>
      <c r="DA50" s="59" t="str">
        <f t="shared" si="63"/>
        <v/>
      </c>
      <c r="DB50" s="62" t="str">
        <f t="shared" si="64"/>
        <v/>
      </c>
      <c r="DC50" s="421"/>
      <c r="DD50" s="59" t="str">
        <f t="shared" si="65"/>
        <v/>
      </c>
      <c r="DE50" s="62" t="str">
        <f t="shared" si="66"/>
        <v/>
      </c>
      <c r="DF50" s="421"/>
      <c r="DG50" s="59" t="str">
        <f t="shared" si="67"/>
        <v/>
      </c>
      <c r="DH50" s="62" t="str">
        <f t="shared" si="68"/>
        <v/>
      </c>
      <c r="DI50" s="421"/>
      <c r="DJ50" s="59" t="str">
        <f t="shared" si="69"/>
        <v/>
      </c>
      <c r="DK50" s="62" t="str">
        <f t="shared" si="70"/>
        <v/>
      </c>
      <c r="DL50" s="421"/>
      <c r="DM50" s="59" t="str">
        <f t="shared" si="71"/>
        <v/>
      </c>
      <c r="DN50" s="62" t="str">
        <f t="shared" si="72"/>
        <v/>
      </c>
      <c r="DO50" s="421"/>
      <c r="DP50" s="59" t="str">
        <f t="shared" si="73"/>
        <v/>
      </c>
      <c r="DQ50" s="62" t="str">
        <f t="shared" si="74"/>
        <v/>
      </c>
      <c r="DR50" s="421"/>
      <c r="DS50" s="59" t="str">
        <f t="shared" si="75"/>
        <v/>
      </c>
      <c r="DT50" s="62" t="str">
        <f t="shared" si="76"/>
        <v/>
      </c>
      <c r="DU50" s="421"/>
      <c r="DV50" s="59" t="str">
        <f t="shared" si="77"/>
        <v/>
      </c>
      <c r="DW50" s="62" t="str">
        <f t="shared" si="78"/>
        <v/>
      </c>
      <c r="DX50" s="161"/>
    </row>
    <row r="51" spans="2:128" ht="23.25" customHeight="1" x14ac:dyDescent="0.2">
      <c r="B51" s="377"/>
      <c r="C51" s="348">
        <f t="shared" si="81"/>
        <v>20</v>
      </c>
      <c r="D51" s="425"/>
      <c r="E51" s="57"/>
      <c r="F51" s="57"/>
      <c r="G51" s="420"/>
      <c r="H51" s="421"/>
      <c r="I51" s="129" t="str">
        <f t="shared" si="0"/>
        <v/>
      </c>
      <c r="J51" s="97" t="str">
        <f t="shared" si="1"/>
        <v/>
      </c>
      <c r="K51" s="421"/>
      <c r="L51" s="59" t="str">
        <f t="shared" si="2"/>
        <v/>
      </c>
      <c r="M51" s="60" t="str">
        <f t="shared" si="3"/>
        <v/>
      </c>
      <c r="N51" s="421"/>
      <c r="O51" s="59" t="str">
        <f t="shared" si="4"/>
        <v/>
      </c>
      <c r="P51" s="60" t="str">
        <f t="shared" si="5"/>
        <v/>
      </c>
      <c r="Q51" s="421"/>
      <c r="R51" s="59" t="str">
        <f t="shared" si="6"/>
        <v/>
      </c>
      <c r="S51" s="61" t="str">
        <f t="shared" si="7"/>
        <v/>
      </c>
      <c r="T51" s="421"/>
      <c r="U51" s="59" t="str">
        <f t="shared" si="8"/>
        <v/>
      </c>
      <c r="V51" s="60" t="str">
        <f t="shared" si="9"/>
        <v/>
      </c>
      <c r="W51" s="422"/>
      <c r="X51" s="59" t="str">
        <f t="shared" si="10"/>
        <v/>
      </c>
      <c r="Y51" s="62" t="str">
        <f t="shared" si="11"/>
        <v/>
      </c>
      <c r="Z51" s="421"/>
      <c r="AA51" s="59" t="str">
        <f t="shared" si="12"/>
        <v/>
      </c>
      <c r="AB51" s="62" t="str">
        <f t="shared" si="13"/>
        <v/>
      </c>
      <c r="AC51" s="422"/>
      <c r="AD51" s="59" t="str">
        <f t="shared" si="80"/>
        <v/>
      </c>
      <c r="AE51" s="62" t="str">
        <f t="shared" si="14"/>
        <v/>
      </c>
      <c r="AF51" s="421"/>
      <c r="AG51" s="59" t="str">
        <f t="shared" si="15"/>
        <v/>
      </c>
      <c r="AH51" s="62" t="str">
        <f t="shared" si="16"/>
        <v/>
      </c>
      <c r="AI51" s="421"/>
      <c r="AJ51" s="59" t="str">
        <f t="shared" si="17"/>
        <v/>
      </c>
      <c r="AK51" s="62" t="str">
        <f t="shared" si="18"/>
        <v/>
      </c>
      <c r="AL51" s="421"/>
      <c r="AM51" s="59" t="str">
        <f t="shared" si="19"/>
        <v/>
      </c>
      <c r="AN51" s="62" t="str">
        <f t="shared" si="20"/>
        <v/>
      </c>
      <c r="AO51" s="421"/>
      <c r="AP51" s="59" t="str">
        <f t="shared" si="21"/>
        <v/>
      </c>
      <c r="AQ51" s="62" t="str">
        <f t="shared" si="22"/>
        <v/>
      </c>
      <c r="AR51" s="421"/>
      <c r="AS51" s="59" t="str">
        <f t="shared" si="23"/>
        <v/>
      </c>
      <c r="AT51" s="62" t="str">
        <f t="shared" si="24"/>
        <v/>
      </c>
      <c r="AU51" s="421"/>
      <c r="AV51" s="59" t="str">
        <f t="shared" si="25"/>
        <v/>
      </c>
      <c r="AW51" s="62" t="str">
        <f t="shared" si="26"/>
        <v/>
      </c>
      <c r="AX51" s="421"/>
      <c r="AY51" s="59" t="str">
        <f t="shared" si="27"/>
        <v/>
      </c>
      <c r="AZ51" s="62" t="str">
        <f t="shared" si="28"/>
        <v/>
      </c>
      <c r="BA51" s="421"/>
      <c r="BB51" s="59" t="str">
        <f t="shared" si="29"/>
        <v/>
      </c>
      <c r="BC51" s="62" t="str">
        <f t="shared" si="30"/>
        <v/>
      </c>
      <c r="BD51" s="421"/>
      <c r="BE51" s="59" t="str">
        <f t="shared" si="31"/>
        <v/>
      </c>
      <c r="BF51" s="62" t="str">
        <f t="shared" si="32"/>
        <v/>
      </c>
      <c r="BG51" s="421"/>
      <c r="BH51" s="59" t="str">
        <f t="shared" si="33"/>
        <v/>
      </c>
      <c r="BI51" s="62" t="str">
        <f t="shared" si="34"/>
        <v/>
      </c>
      <c r="BJ51" s="421"/>
      <c r="BK51" s="59" t="str">
        <f t="shared" si="35"/>
        <v/>
      </c>
      <c r="BL51" s="62" t="str">
        <f t="shared" si="36"/>
        <v/>
      </c>
      <c r="BM51" s="421"/>
      <c r="BN51" s="59" t="str">
        <f t="shared" si="37"/>
        <v/>
      </c>
      <c r="BO51" s="62" t="str">
        <f t="shared" si="38"/>
        <v/>
      </c>
      <c r="BP51" s="421"/>
      <c r="BQ51" s="59" t="str">
        <f t="shared" si="39"/>
        <v/>
      </c>
      <c r="BR51" s="62" t="str">
        <f t="shared" si="40"/>
        <v/>
      </c>
      <c r="BS51" s="421"/>
      <c r="BT51" s="59" t="str">
        <f t="shared" si="41"/>
        <v/>
      </c>
      <c r="BU51" s="62" t="str">
        <f t="shared" si="42"/>
        <v/>
      </c>
      <c r="BV51" s="421"/>
      <c r="BW51" s="59" t="str">
        <f t="shared" si="43"/>
        <v/>
      </c>
      <c r="BX51" s="62" t="str">
        <f t="shared" si="44"/>
        <v/>
      </c>
      <c r="BY51" s="421"/>
      <c r="BZ51" s="59" t="str">
        <f t="shared" si="45"/>
        <v/>
      </c>
      <c r="CA51" s="62" t="str">
        <f t="shared" si="46"/>
        <v/>
      </c>
      <c r="CB51" s="421"/>
      <c r="CC51" s="59" t="str">
        <f t="shared" si="47"/>
        <v/>
      </c>
      <c r="CD51" s="62" t="str">
        <f t="shared" si="48"/>
        <v/>
      </c>
      <c r="CE51" s="421"/>
      <c r="CF51" s="59" t="str">
        <f t="shared" si="49"/>
        <v/>
      </c>
      <c r="CG51" s="62" t="str">
        <f t="shared" si="50"/>
        <v/>
      </c>
      <c r="CH51" s="421"/>
      <c r="CI51" s="59" t="str">
        <f t="shared" si="51"/>
        <v/>
      </c>
      <c r="CJ51" s="62" t="str">
        <f t="shared" si="52"/>
        <v/>
      </c>
      <c r="CK51" s="421"/>
      <c r="CL51" s="59" t="str">
        <f t="shared" si="53"/>
        <v/>
      </c>
      <c r="CM51" s="62" t="str">
        <f t="shared" si="54"/>
        <v/>
      </c>
      <c r="CN51" s="421"/>
      <c r="CO51" s="59" t="str">
        <f t="shared" si="55"/>
        <v/>
      </c>
      <c r="CP51" s="62" t="str">
        <f t="shared" si="56"/>
        <v/>
      </c>
      <c r="CQ51" s="421"/>
      <c r="CR51" s="59" t="str">
        <f t="shared" si="57"/>
        <v/>
      </c>
      <c r="CS51" s="62" t="str">
        <f t="shared" si="58"/>
        <v/>
      </c>
      <c r="CT51" s="421"/>
      <c r="CU51" s="59" t="str">
        <f t="shared" si="59"/>
        <v/>
      </c>
      <c r="CV51" s="62" t="str">
        <f t="shared" si="60"/>
        <v/>
      </c>
      <c r="CW51" s="421"/>
      <c r="CX51" s="59" t="str">
        <f t="shared" si="61"/>
        <v/>
      </c>
      <c r="CY51" s="62" t="str">
        <f t="shared" si="62"/>
        <v/>
      </c>
      <c r="CZ51" s="421"/>
      <c r="DA51" s="59" t="str">
        <f t="shared" si="63"/>
        <v/>
      </c>
      <c r="DB51" s="62" t="str">
        <f t="shared" si="64"/>
        <v/>
      </c>
      <c r="DC51" s="421"/>
      <c r="DD51" s="59" t="str">
        <f t="shared" si="65"/>
        <v/>
      </c>
      <c r="DE51" s="62" t="str">
        <f t="shared" si="66"/>
        <v/>
      </c>
      <c r="DF51" s="421"/>
      <c r="DG51" s="59" t="str">
        <f t="shared" si="67"/>
        <v/>
      </c>
      <c r="DH51" s="62" t="str">
        <f t="shared" si="68"/>
        <v/>
      </c>
      <c r="DI51" s="421"/>
      <c r="DJ51" s="59" t="str">
        <f t="shared" si="69"/>
        <v/>
      </c>
      <c r="DK51" s="62" t="str">
        <f t="shared" si="70"/>
        <v/>
      </c>
      <c r="DL51" s="421"/>
      <c r="DM51" s="59" t="str">
        <f t="shared" si="71"/>
        <v/>
      </c>
      <c r="DN51" s="62" t="str">
        <f t="shared" si="72"/>
        <v/>
      </c>
      <c r="DO51" s="421"/>
      <c r="DP51" s="59" t="str">
        <f t="shared" si="73"/>
        <v/>
      </c>
      <c r="DQ51" s="62" t="str">
        <f t="shared" si="74"/>
        <v/>
      </c>
      <c r="DR51" s="421"/>
      <c r="DS51" s="59" t="str">
        <f t="shared" si="75"/>
        <v/>
      </c>
      <c r="DT51" s="62" t="str">
        <f t="shared" si="76"/>
        <v/>
      </c>
      <c r="DU51" s="421"/>
      <c r="DV51" s="59" t="str">
        <f t="shared" si="77"/>
        <v/>
      </c>
      <c r="DW51" s="62" t="str">
        <f t="shared" si="78"/>
        <v/>
      </c>
      <c r="DX51" s="161"/>
    </row>
    <row r="52" spans="2:128" ht="23.25" customHeight="1" x14ac:dyDescent="0.2">
      <c r="B52" s="377"/>
      <c r="C52" s="348">
        <f t="shared" si="81"/>
        <v>21</v>
      </c>
      <c r="D52" s="425"/>
      <c r="E52" s="57"/>
      <c r="F52" s="57"/>
      <c r="G52" s="420"/>
      <c r="H52" s="421"/>
      <c r="I52" s="129" t="str">
        <f t="shared" ref="I52:I81" si="82">IF(F52&gt;0,H52/F52,"")</f>
        <v/>
      </c>
      <c r="J52" s="97" t="str">
        <f t="shared" ref="J52:J81" si="83">IF(I52="","",IF(I$82=0,0,I52/I$82))</f>
        <v/>
      </c>
      <c r="K52" s="421"/>
      <c r="L52" s="59" t="str">
        <f t="shared" ref="L52:L81" si="84">IF($F52&gt;0,K52/$F52,"")</f>
        <v/>
      </c>
      <c r="M52" s="60" t="str">
        <f t="shared" ref="M52:M81" si="85">IF(L52="","",IF(L$82=0,0,L52/L$82))</f>
        <v/>
      </c>
      <c r="N52" s="421"/>
      <c r="O52" s="59" t="str">
        <f t="shared" ref="O52:O81" si="86">IF($F52&gt;0,N52/$F52,"")</f>
        <v/>
      </c>
      <c r="P52" s="60" t="str">
        <f t="shared" ref="P52:P81" si="87">IF(O52="","",IF(O$82=0,0,O52/O$82))</f>
        <v/>
      </c>
      <c r="Q52" s="421"/>
      <c r="R52" s="59" t="str">
        <f t="shared" ref="R52:R81" si="88">IF($F52&gt;0,Q52/$F52,"")</f>
        <v/>
      </c>
      <c r="S52" s="61" t="str">
        <f t="shared" ref="S52:S81" si="89">IF(R52="","",IF(R$82=0,0,R52/R$82))</f>
        <v/>
      </c>
      <c r="T52" s="421"/>
      <c r="U52" s="59" t="str">
        <f t="shared" ref="U52:U81" si="90">IF($F52&gt;0,T52/$F52,"")</f>
        <v/>
      </c>
      <c r="V52" s="60" t="str">
        <f t="shared" ref="V52:V81" si="91">IF(U52="","",IF(U$82=0,0,U52/U$82))</f>
        <v/>
      </c>
      <c r="W52" s="422"/>
      <c r="X52" s="59" t="str">
        <f t="shared" ref="X52:X81" si="92">IF($F52&gt;0,W52/$F52,"")</f>
        <v/>
      </c>
      <c r="Y52" s="62" t="str">
        <f t="shared" ref="Y52:Y81" si="93">IF(X52="","",IF(X$82=0,0,X52/X$82))</f>
        <v/>
      </c>
      <c r="Z52" s="421"/>
      <c r="AA52" s="59" t="str">
        <f t="shared" ref="AA52:AA81" si="94">IF($F52&gt;0,Z52/$F52,"")</f>
        <v/>
      </c>
      <c r="AB52" s="62" t="str">
        <f t="shared" ref="AB52:AB81" si="95">IF(AA52="","",IF(AA$82=0,0,AA52/AA$82))</f>
        <v/>
      </c>
      <c r="AC52" s="422"/>
      <c r="AD52" s="59" t="str">
        <f t="shared" ref="AD52:AD81" si="96">IF($F52&gt;0,AC52/$F52,"")</f>
        <v/>
      </c>
      <c r="AE52" s="62" t="str">
        <f t="shared" ref="AE52:AE81" si="97">IF(AD52="","",IF(AD$82=0,0,AD52/AD$82))</f>
        <v/>
      </c>
      <c r="AF52" s="421"/>
      <c r="AG52" s="59" t="str">
        <f t="shared" ref="AG52:AG81" si="98">IF($F52&gt;0,AF52/$F52,"")</f>
        <v/>
      </c>
      <c r="AH52" s="62" t="str">
        <f t="shared" ref="AH52:AH81" si="99">IF(AG52="","",IF(AG$82=0,0,AG52/AG$82))</f>
        <v/>
      </c>
      <c r="AI52" s="421"/>
      <c r="AJ52" s="59" t="str">
        <f t="shared" ref="AJ52:AJ81" si="100">IF($F52&gt;0,AI52/$F52,"")</f>
        <v/>
      </c>
      <c r="AK52" s="62" t="str">
        <f t="shared" ref="AK52:AK81" si="101">IF(AJ52="","",IF(AJ$82=0,0,AJ52/AJ$82))</f>
        <v/>
      </c>
      <c r="AL52" s="421"/>
      <c r="AM52" s="59" t="str">
        <f t="shared" ref="AM52:AM81" si="102">IF($F52&gt;0,AL52/$F52,"")</f>
        <v/>
      </c>
      <c r="AN52" s="62" t="str">
        <f t="shared" ref="AN52:AN81" si="103">IF(AM52="","",IF(AM$82=0,0,AM52/AM$82))</f>
        <v/>
      </c>
      <c r="AO52" s="421"/>
      <c r="AP52" s="59" t="str">
        <f t="shared" ref="AP52:AP81" si="104">IF($F52&gt;0,AO52/$F52,"")</f>
        <v/>
      </c>
      <c r="AQ52" s="62" t="str">
        <f t="shared" ref="AQ52:AQ81" si="105">IF(AP52="","",IF(AP$82=0,0,AP52/AP$82))</f>
        <v/>
      </c>
      <c r="AR52" s="421"/>
      <c r="AS52" s="59" t="str">
        <f t="shared" ref="AS52:AS81" si="106">IF($F52&gt;0,AR52/$F52,"")</f>
        <v/>
      </c>
      <c r="AT52" s="62" t="str">
        <f t="shared" ref="AT52:AT81" si="107">IF(AS52="","",IF(AS$82=0,0,AS52/AS$82))</f>
        <v/>
      </c>
      <c r="AU52" s="421"/>
      <c r="AV52" s="59" t="str">
        <f t="shared" ref="AV52:AV81" si="108">IF($F52&gt;0,AU52/$F52,"")</f>
        <v/>
      </c>
      <c r="AW52" s="62" t="str">
        <f t="shared" ref="AW52:AW81" si="109">IF(AV52="","",IF(AV$82=0,0,AV52/AV$82))</f>
        <v/>
      </c>
      <c r="AX52" s="421"/>
      <c r="AY52" s="59" t="str">
        <f t="shared" ref="AY52:AY81" si="110">IF($F52&gt;0,AX52/$F52,"")</f>
        <v/>
      </c>
      <c r="AZ52" s="62" t="str">
        <f t="shared" ref="AZ52:AZ81" si="111">IF(AY52="","",IF(AY$82=0,0,AY52/AY$82))</f>
        <v/>
      </c>
      <c r="BA52" s="421"/>
      <c r="BB52" s="59" t="str">
        <f t="shared" ref="BB52:BB81" si="112">IF($F52&gt;0,BA52/$F52,"")</f>
        <v/>
      </c>
      <c r="BC52" s="62" t="str">
        <f t="shared" ref="BC52:BC81" si="113">IF(BB52="","",IF(BB$82=0,0,BB52/BB$82))</f>
        <v/>
      </c>
      <c r="BD52" s="421"/>
      <c r="BE52" s="59" t="str">
        <f t="shared" ref="BE52:BE81" si="114">IF($F52&gt;0,BD52/$F52,"")</f>
        <v/>
      </c>
      <c r="BF52" s="62" t="str">
        <f t="shared" ref="BF52:BF81" si="115">IF(BE52="","",IF(BE$82=0,0,BE52/BE$82))</f>
        <v/>
      </c>
      <c r="BG52" s="421"/>
      <c r="BH52" s="59" t="str">
        <f t="shared" ref="BH52:BH81" si="116">IF($F52&gt;0,BG52/$F52,"")</f>
        <v/>
      </c>
      <c r="BI52" s="62" t="str">
        <f t="shared" ref="BI52:BI81" si="117">IF(BH52="","",IF(BH$82=0,0,BH52/BH$82))</f>
        <v/>
      </c>
      <c r="BJ52" s="421"/>
      <c r="BK52" s="59" t="str">
        <f t="shared" ref="BK52:BK81" si="118">IF($F52&gt;0,BJ52/$F52,"")</f>
        <v/>
      </c>
      <c r="BL52" s="62" t="str">
        <f t="shared" ref="BL52:BL81" si="119">IF(BK52="","",IF(BK$82=0,0,BK52/BK$82))</f>
        <v/>
      </c>
      <c r="BM52" s="421"/>
      <c r="BN52" s="59" t="str">
        <f t="shared" ref="BN52:BN81" si="120">IF($F52&gt;0,BM52/$F52,"")</f>
        <v/>
      </c>
      <c r="BO52" s="62" t="str">
        <f t="shared" ref="BO52:BO81" si="121">IF(BN52="","",IF(BN$82=0,0,BN52/BN$82))</f>
        <v/>
      </c>
      <c r="BP52" s="421"/>
      <c r="BQ52" s="59" t="str">
        <f t="shared" ref="BQ52:BQ81" si="122">IF($F52&gt;0,BP52/$F52,"")</f>
        <v/>
      </c>
      <c r="BR52" s="62" t="str">
        <f t="shared" ref="BR52:BR81" si="123">IF(BQ52="","",IF(BQ$82=0,0,BQ52/BQ$82))</f>
        <v/>
      </c>
      <c r="BS52" s="421"/>
      <c r="BT52" s="59" t="str">
        <f t="shared" ref="BT52:BT81" si="124">IF($F52&gt;0,BS52/$F52,"")</f>
        <v/>
      </c>
      <c r="BU52" s="62" t="str">
        <f t="shared" ref="BU52:BU81" si="125">IF(BT52="","",IF(BT$82=0,0,BT52/BT$82))</f>
        <v/>
      </c>
      <c r="BV52" s="421"/>
      <c r="BW52" s="59" t="str">
        <f t="shared" ref="BW52:BW81" si="126">IF($F52&gt;0,BV52/$F52,"")</f>
        <v/>
      </c>
      <c r="BX52" s="62" t="str">
        <f t="shared" ref="BX52:BX81" si="127">IF(BW52="","",IF(BW$82=0,0,BW52/BW$82))</f>
        <v/>
      </c>
      <c r="BY52" s="421"/>
      <c r="BZ52" s="59" t="str">
        <f t="shared" ref="BZ52:BZ81" si="128">IF($F52&gt;0,BY52/$F52,"")</f>
        <v/>
      </c>
      <c r="CA52" s="62" t="str">
        <f t="shared" ref="CA52:CA81" si="129">IF(BZ52="","",IF(BZ$82=0,0,BZ52/BZ$82))</f>
        <v/>
      </c>
      <c r="CB52" s="421"/>
      <c r="CC52" s="59" t="str">
        <f t="shared" ref="CC52:CC81" si="130">IF($F52&gt;0,CB52/$F52,"")</f>
        <v/>
      </c>
      <c r="CD52" s="62" t="str">
        <f t="shared" ref="CD52:CD81" si="131">IF(CC52="","",IF(CC$82=0,0,CC52/CC$82))</f>
        <v/>
      </c>
      <c r="CE52" s="421"/>
      <c r="CF52" s="59" t="str">
        <f t="shared" ref="CF52:CF81" si="132">IF($F52&gt;0,CE52/$F52,"")</f>
        <v/>
      </c>
      <c r="CG52" s="62" t="str">
        <f t="shared" ref="CG52:CG81" si="133">IF(CF52="","",IF(CF$82=0,0,CF52/CF$82))</f>
        <v/>
      </c>
      <c r="CH52" s="421"/>
      <c r="CI52" s="59" t="str">
        <f t="shared" ref="CI52:CI81" si="134">IF($F52&gt;0,CH52/$F52,"")</f>
        <v/>
      </c>
      <c r="CJ52" s="62" t="str">
        <f t="shared" ref="CJ52:CJ81" si="135">IF(CI52="","",IF(CI$82=0,0,CI52/CI$82))</f>
        <v/>
      </c>
      <c r="CK52" s="421"/>
      <c r="CL52" s="59" t="str">
        <f t="shared" ref="CL52:CL81" si="136">IF($F52&gt;0,CK52/$F52,"")</f>
        <v/>
      </c>
      <c r="CM52" s="62" t="str">
        <f t="shared" ref="CM52:CM81" si="137">IF(CL52="","",IF(CL$82=0,0,CL52/CL$82))</f>
        <v/>
      </c>
      <c r="CN52" s="421"/>
      <c r="CO52" s="59" t="str">
        <f t="shared" ref="CO52:CO81" si="138">IF($F52&gt;0,CN52/$F52,"")</f>
        <v/>
      </c>
      <c r="CP52" s="62" t="str">
        <f t="shared" ref="CP52:CP81" si="139">IF(CO52="","",IF(CO$82=0,0,CO52/CO$82))</f>
        <v/>
      </c>
      <c r="CQ52" s="421"/>
      <c r="CR52" s="59" t="str">
        <f t="shared" ref="CR52:CR81" si="140">IF($F52&gt;0,CQ52/$F52,"")</f>
        <v/>
      </c>
      <c r="CS52" s="62" t="str">
        <f t="shared" ref="CS52:CS81" si="141">IF(CR52="","",IF(CR$82=0,0,CR52/CR$82))</f>
        <v/>
      </c>
      <c r="CT52" s="421"/>
      <c r="CU52" s="59" t="str">
        <f t="shared" ref="CU52:CU81" si="142">IF($F52&gt;0,CT52/$F52,"")</f>
        <v/>
      </c>
      <c r="CV52" s="62" t="str">
        <f t="shared" ref="CV52:CV81" si="143">IF(CU52="","",IF(CU$82=0,0,CU52/CU$82))</f>
        <v/>
      </c>
      <c r="CW52" s="421"/>
      <c r="CX52" s="59" t="str">
        <f t="shared" ref="CX52:CX81" si="144">IF($F52&gt;0,CW52/$F52,"")</f>
        <v/>
      </c>
      <c r="CY52" s="62" t="str">
        <f t="shared" ref="CY52:CY81" si="145">IF(CX52="","",IF(CX$82=0,0,CX52/CX$82))</f>
        <v/>
      </c>
      <c r="CZ52" s="421"/>
      <c r="DA52" s="59" t="str">
        <f t="shared" ref="DA52:DA81" si="146">IF($F52&gt;0,CZ52/$F52,"")</f>
        <v/>
      </c>
      <c r="DB52" s="62" t="str">
        <f t="shared" ref="DB52:DB81" si="147">IF(DA52="","",IF(DA$82=0,0,DA52/DA$82))</f>
        <v/>
      </c>
      <c r="DC52" s="421"/>
      <c r="DD52" s="59" t="str">
        <f t="shared" ref="DD52:DD81" si="148">IF($F52&gt;0,DC52/$F52,"")</f>
        <v/>
      </c>
      <c r="DE52" s="62" t="str">
        <f t="shared" ref="DE52:DE81" si="149">IF(DD52="","",IF(DD$82=0,0,DD52/DD$82))</f>
        <v/>
      </c>
      <c r="DF52" s="421"/>
      <c r="DG52" s="59" t="str">
        <f t="shared" ref="DG52:DG81" si="150">IF($F52&gt;0,DF52/$F52,"")</f>
        <v/>
      </c>
      <c r="DH52" s="62" t="str">
        <f t="shared" ref="DH52:DH81" si="151">IF(DG52="","",IF(DG$82=0,0,DG52/DG$82))</f>
        <v/>
      </c>
      <c r="DI52" s="421"/>
      <c r="DJ52" s="59" t="str">
        <f t="shared" ref="DJ52:DJ81" si="152">IF($F52&gt;0,DI52/$F52,"")</f>
        <v/>
      </c>
      <c r="DK52" s="62" t="str">
        <f t="shared" ref="DK52:DK81" si="153">IF(DJ52="","",IF(DJ$82=0,0,DJ52/DJ$82))</f>
        <v/>
      </c>
      <c r="DL52" s="421"/>
      <c r="DM52" s="59" t="str">
        <f t="shared" ref="DM52:DM81" si="154">IF($F52&gt;0,DL52/$F52,"")</f>
        <v/>
      </c>
      <c r="DN52" s="62" t="str">
        <f t="shared" ref="DN52:DN81" si="155">IF(DM52="","",IF(DM$82=0,0,DM52/DM$82))</f>
        <v/>
      </c>
      <c r="DO52" s="421"/>
      <c r="DP52" s="59" t="str">
        <f t="shared" ref="DP52:DP81" si="156">IF($F52&gt;0,DO52/$F52,"")</f>
        <v/>
      </c>
      <c r="DQ52" s="62" t="str">
        <f t="shared" ref="DQ52:DQ81" si="157">IF(DP52="","",IF(DP$82=0,0,DP52/DP$82))</f>
        <v/>
      </c>
      <c r="DR52" s="421"/>
      <c r="DS52" s="59" t="str">
        <f t="shared" ref="DS52:DS81" si="158">IF($F52&gt;0,DR52/$F52,"")</f>
        <v/>
      </c>
      <c r="DT52" s="62" t="str">
        <f t="shared" ref="DT52:DT81" si="159">IF(DS52="","",IF(DS$82=0,0,DS52/DS$82))</f>
        <v/>
      </c>
      <c r="DU52" s="421"/>
      <c r="DV52" s="59" t="str">
        <f t="shared" ref="DV52:DV81" si="160">IF($F52&gt;0,DU52/$F52,"")</f>
        <v/>
      </c>
      <c r="DW52" s="62" t="str">
        <f t="shared" ref="DW52:DW81" si="161">IF(DV52="","",IF(DV$82=0,0,DV52/DV$82))</f>
        <v/>
      </c>
      <c r="DX52" s="161"/>
    </row>
    <row r="53" spans="2:128" ht="23.25" customHeight="1" x14ac:dyDescent="0.2">
      <c r="B53" s="377"/>
      <c r="C53" s="348">
        <f t="shared" si="81"/>
        <v>22</v>
      </c>
      <c r="D53" s="425"/>
      <c r="E53" s="57"/>
      <c r="F53" s="57"/>
      <c r="G53" s="420"/>
      <c r="H53" s="421"/>
      <c r="I53" s="129" t="str">
        <f t="shared" si="82"/>
        <v/>
      </c>
      <c r="J53" s="97" t="str">
        <f t="shared" si="83"/>
        <v/>
      </c>
      <c r="K53" s="421"/>
      <c r="L53" s="59" t="str">
        <f t="shared" si="84"/>
        <v/>
      </c>
      <c r="M53" s="60" t="str">
        <f t="shared" si="85"/>
        <v/>
      </c>
      <c r="N53" s="421"/>
      <c r="O53" s="59" t="str">
        <f t="shared" si="86"/>
        <v/>
      </c>
      <c r="P53" s="60" t="str">
        <f t="shared" si="87"/>
        <v/>
      </c>
      <c r="Q53" s="421"/>
      <c r="R53" s="59" t="str">
        <f t="shared" si="88"/>
        <v/>
      </c>
      <c r="S53" s="61" t="str">
        <f t="shared" si="89"/>
        <v/>
      </c>
      <c r="T53" s="421"/>
      <c r="U53" s="59" t="str">
        <f t="shared" si="90"/>
        <v/>
      </c>
      <c r="V53" s="60" t="str">
        <f t="shared" si="91"/>
        <v/>
      </c>
      <c r="W53" s="422"/>
      <c r="X53" s="59" t="str">
        <f t="shared" si="92"/>
        <v/>
      </c>
      <c r="Y53" s="62" t="str">
        <f t="shared" si="93"/>
        <v/>
      </c>
      <c r="Z53" s="421"/>
      <c r="AA53" s="59" t="str">
        <f t="shared" si="94"/>
        <v/>
      </c>
      <c r="AB53" s="62" t="str">
        <f t="shared" si="95"/>
        <v/>
      </c>
      <c r="AC53" s="422"/>
      <c r="AD53" s="59" t="str">
        <f t="shared" si="96"/>
        <v/>
      </c>
      <c r="AE53" s="62" t="str">
        <f t="shared" si="97"/>
        <v/>
      </c>
      <c r="AF53" s="421"/>
      <c r="AG53" s="59" t="str">
        <f t="shared" si="98"/>
        <v/>
      </c>
      <c r="AH53" s="62" t="str">
        <f t="shared" si="99"/>
        <v/>
      </c>
      <c r="AI53" s="421"/>
      <c r="AJ53" s="59" t="str">
        <f t="shared" si="100"/>
        <v/>
      </c>
      <c r="AK53" s="62" t="str">
        <f t="shared" si="101"/>
        <v/>
      </c>
      <c r="AL53" s="421"/>
      <c r="AM53" s="59" t="str">
        <f t="shared" si="102"/>
        <v/>
      </c>
      <c r="AN53" s="62" t="str">
        <f t="shared" si="103"/>
        <v/>
      </c>
      <c r="AO53" s="421"/>
      <c r="AP53" s="59" t="str">
        <f t="shared" si="104"/>
        <v/>
      </c>
      <c r="AQ53" s="62" t="str">
        <f t="shared" si="105"/>
        <v/>
      </c>
      <c r="AR53" s="421"/>
      <c r="AS53" s="59" t="str">
        <f t="shared" si="106"/>
        <v/>
      </c>
      <c r="AT53" s="62" t="str">
        <f t="shared" si="107"/>
        <v/>
      </c>
      <c r="AU53" s="421"/>
      <c r="AV53" s="59" t="str">
        <f t="shared" si="108"/>
        <v/>
      </c>
      <c r="AW53" s="62" t="str">
        <f t="shared" si="109"/>
        <v/>
      </c>
      <c r="AX53" s="421"/>
      <c r="AY53" s="59" t="str">
        <f t="shared" si="110"/>
        <v/>
      </c>
      <c r="AZ53" s="62" t="str">
        <f t="shared" si="111"/>
        <v/>
      </c>
      <c r="BA53" s="421"/>
      <c r="BB53" s="59" t="str">
        <f t="shared" si="112"/>
        <v/>
      </c>
      <c r="BC53" s="62" t="str">
        <f t="shared" si="113"/>
        <v/>
      </c>
      <c r="BD53" s="421"/>
      <c r="BE53" s="59" t="str">
        <f t="shared" si="114"/>
        <v/>
      </c>
      <c r="BF53" s="62" t="str">
        <f t="shared" si="115"/>
        <v/>
      </c>
      <c r="BG53" s="421"/>
      <c r="BH53" s="59" t="str">
        <f t="shared" si="116"/>
        <v/>
      </c>
      <c r="BI53" s="62" t="str">
        <f t="shared" si="117"/>
        <v/>
      </c>
      <c r="BJ53" s="421"/>
      <c r="BK53" s="59" t="str">
        <f t="shared" si="118"/>
        <v/>
      </c>
      <c r="BL53" s="62" t="str">
        <f t="shared" si="119"/>
        <v/>
      </c>
      <c r="BM53" s="421"/>
      <c r="BN53" s="59" t="str">
        <f t="shared" si="120"/>
        <v/>
      </c>
      <c r="BO53" s="62" t="str">
        <f t="shared" si="121"/>
        <v/>
      </c>
      <c r="BP53" s="421"/>
      <c r="BQ53" s="59" t="str">
        <f t="shared" si="122"/>
        <v/>
      </c>
      <c r="BR53" s="62" t="str">
        <f t="shared" si="123"/>
        <v/>
      </c>
      <c r="BS53" s="421"/>
      <c r="BT53" s="59" t="str">
        <f t="shared" si="124"/>
        <v/>
      </c>
      <c r="BU53" s="62" t="str">
        <f t="shared" si="125"/>
        <v/>
      </c>
      <c r="BV53" s="421"/>
      <c r="BW53" s="59" t="str">
        <f t="shared" si="126"/>
        <v/>
      </c>
      <c r="BX53" s="62" t="str">
        <f t="shared" si="127"/>
        <v/>
      </c>
      <c r="BY53" s="421"/>
      <c r="BZ53" s="59" t="str">
        <f t="shared" si="128"/>
        <v/>
      </c>
      <c r="CA53" s="62" t="str">
        <f t="shared" si="129"/>
        <v/>
      </c>
      <c r="CB53" s="421"/>
      <c r="CC53" s="59" t="str">
        <f t="shared" si="130"/>
        <v/>
      </c>
      <c r="CD53" s="62" t="str">
        <f t="shared" si="131"/>
        <v/>
      </c>
      <c r="CE53" s="421"/>
      <c r="CF53" s="59" t="str">
        <f t="shared" si="132"/>
        <v/>
      </c>
      <c r="CG53" s="62" t="str">
        <f t="shared" si="133"/>
        <v/>
      </c>
      <c r="CH53" s="421"/>
      <c r="CI53" s="59" t="str">
        <f t="shared" si="134"/>
        <v/>
      </c>
      <c r="CJ53" s="62" t="str">
        <f t="shared" si="135"/>
        <v/>
      </c>
      <c r="CK53" s="421"/>
      <c r="CL53" s="59" t="str">
        <f t="shared" si="136"/>
        <v/>
      </c>
      <c r="CM53" s="62" t="str">
        <f t="shared" si="137"/>
        <v/>
      </c>
      <c r="CN53" s="421"/>
      <c r="CO53" s="59" t="str">
        <f t="shared" si="138"/>
        <v/>
      </c>
      <c r="CP53" s="62" t="str">
        <f t="shared" si="139"/>
        <v/>
      </c>
      <c r="CQ53" s="421"/>
      <c r="CR53" s="59" t="str">
        <f t="shared" si="140"/>
        <v/>
      </c>
      <c r="CS53" s="62" t="str">
        <f t="shared" si="141"/>
        <v/>
      </c>
      <c r="CT53" s="421"/>
      <c r="CU53" s="59" t="str">
        <f t="shared" si="142"/>
        <v/>
      </c>
      <c r="CV53" s="62" t="str">
        <f t="shared" si="143"/>
        <v/>
      </c>
      <c r="CW53" s="421"/>
      <c r="CX53" s="59" t="str">
        <f t="shared" si="144"/>
        <v/>
      </c>
      <c r="CY53" s="62" t="str">
        <f t="shared" si="145"/>
        <v/>
      </c>
      <c r="CZ53" s="421"/>
      <c r="DA53" s="59" t="str">
        <f t="shared" si="146"/>
        <v/>
      </c>
      <c r="DB53" s="62" t="str">
        <f t="shared" si="147"/>
        <v/>
      </c>
      <c r="DC53" s="421"/>
      <c r="DD53" s="59" t="str">
        <f t="shared" si="148"/>
        <v/>
      </c>
      <c r="DE53" s="62" t="str">
        <f t="shared" si="149"/>
        <v/>
      </c>
      <c r="DF53" s="421"/>
      <c r="DG53" s="59" t="str">
        <f t="shared" si="150"/>
        <v/>
      </c>
      <c r="DH53" s="62" t="str">
        <f t="shared" si="151"/>
        <v/>
      </c>
      <c r="DI53" s="421"/>
      <c r="DJ53" s="59" t="str">
        <f t="shared" si="152"/>
        <v/>
      </c>
      <c r="DK53" s="62" t="str">
        <f t="shared" si="153"/>
        <v/>
      </c>
      <c r="DL53" s="421"/>
      <c r="DM53" s="59" t="str">
        <f t="shared" si="154"/>
        <v/>
      </c>
      <c r="DN53" s="62" t="str">
        <f t="shared" si="155"/>
        <v/>
      </c>
      <c r="DO53" s="421"/>
      <c r="DP53" s="59" t="str">
        <f t="shared" si="156"/>
        <v/>
      </c>
      <c r="DQ53" s="62" t="str">
        <f t="shared" si="157"/>
        <v/>
      </c>
      <c r="DR53" s="421"/>
      <c r="DS53" s="59" t="str">
        <f t="shared" si="158"/>
        <v/>
      </c>
      <c r="DT53" s="62" t="str">
        <f t="shared" si="159"/>
        <v/>
      </c>
      <c r="DU53" s="421"/>
      <c r="DV53" s="59" t="str">
        <f t="shared" si="160"/>
        <v/>
      </c>
      <c r="DW53" s="62" t="str">
        <f t="shared" si="161"/>
        <v/>
      </c>
      <c r="DX53" s="161"/>
    </row>
    <row r="54" spans="2:128" ht="23.25" customHeight="1" x14ac:dyDescent="0.2">
      <c r="B54" s="377"/>
      <c r="C54" s="348">
        <f t="shared" si="81"/>
        <v>23</v>
      </c>
      <c r="D54" s="425"/>
      <c r="E54" s="57"/>
      <c r="F54" s="57"/>
      <c r="G54" s="420"/>
      <c r="H54" s="421"/>
      <c r="I54" s="129" t="str">
        <f t="shared" si="82"/>
        <v/>
      </c>
      <c r="J54" s="97" t="str">
        <f t="shared" si="83"/>
        <v/>
      </c>
      <c r="K54" s="421"/>
      <c r="L54" s="59" t="str">
        <f t="shared" si="84"/>
        <v/>
      </c>
      <c r="M54" s="60" t="str">
        <f t="shared" si="85"/>
        <v/>
      </c>
      <c r="N54" s="421"/>
      <c r="O54" s="59" t="str">
        <f t="shared" si="86"/>
        <v/>
      </c>
      <c r="P54" s="60" t="str">
        <f t="shared" si="87"/>
        <v/>
      </c>
      <c r="Q54" s="421"/>
      <c r="R54" s="59" t="str">
        <f t="shared" si="88"/>
        <v/>
      </c>
      <c r="S54" s="61" t="str">
        <f t="shared" si="89"/>
        <v/>
      </c>
      <c r="T54" s="421"/>
      <c r="U54" s="59" t="str">
        <f t="shared" si="90"/>
        <v/>
      </c>
      <c r="V54" s="60" t="str">
        <f t="shared" si="91"/>
        <v/>
      </c>
      <c r="W54" s="422"/>
      <c r="X54" s="59" t="str">
        <f t="shared" si="92"/>
        <v/>
      </c>
      <c r="Y54" s="62" t="str">
        <f t="shared" si="93"/>
        <v/>
      </c>
      <c r="Z54" s="421"/>
      <c r="AA54" s="59" t="str">
        <f t="shared" si="94"/>
        <v/>
      </c>
      <c r="AB54" s="62" t="str">
        <f t="shared" si="95"/>
        <v/>
      </c>
      <c r="AC54" s="422"/>
      <c r="AD54" s="59" t="str">
        <f t="shared" si="96"/>
        <v/>
      </c>
      <c r="AE54" s="62" t="str">
        <f t="shared" si="97"/>
        <v/>
      </c>
      <c r="AF54" s="421"/>
      <c r="AG54" s="59" t="str">
        <f t="shared" si="98"/>
        <v/>
      </c>
      <c r="AH54" s="62" t="str">
        <f t="shared" si="99"/>
        <v/>
      </c>
      <c r="AI54" s="421"/>
      <c r="AJ54" s="59" t="str">
        <f t="shared" si="100"/>
        <v/>
      </c>
      <c r="AK54" s="62" t="str">
        <f t="shared" si="101"/>
        <v/>
      </c>
      <c r="AL54" s="421"/>
      <c r="AM54" s="59" t="str">
        <f t="shared" si="102"/>
        <v/>
      </c>
      <c r="AN54" s="62" t="str">
        <f t="shared" si="103"/>
        <v/>
      </c>
      <c r="AO54" s="421"/>
      <c r="AP54" s="59" t="str">
        <f t="shared" si="104"/>
        <v/>
      </c>
      <c r="AQ54" s="62" t="str">
        <f t="shared" si="105"/>
        <v/>
      </c>
      <c r="AR54" s="421"/>
      <c r="AS54" s="59" t="str">
        <f t="shared" si="106"/>
        <v/>
      </c>
      <c r="AT54" s="62" t="str">
        <f t="shared" si="107"/>
        <v/>
      </c>
      <c r="AU54" s="421"/>
      <c r="AV54" s="59" t="str">
        <f t="shared" si="108"/>
        <v/>
      </c>
      <c r="AW54" s="62" t="str">
        <f t="shared" si="109"/>
        <v/>
      </c>
      <c r="AX54" s="421"/>
      <c r="AY54" s="59" t="str">
        <f t="shared" si="110"/>
        <v/>
      </c>
      <c r="AZ54" s="62" t="str">
        <f t="shared" si="111"/>
        <v/>
      </c>
      <c r="BA54" s="421"/>
      <c r="BB54" s="59" t="str">
        <f t="shared" si="112"/>
        <v/>
      </c>
      <c r="BC54" s="62" t="str">
        <f t="shared" si="113"/>
        <v/>
      </c>
      <c r="BD54" s="421"/>
      <c r="BE54" s="59" t="str">
        <f t="shared" si="114"/>
        <v/>
      </c>
      <c r="BF54" s="62" t="str">
        <f t="shared" si="115"/>
        <v/>
      </c>
      <c r="BG54" s="421"/>
      <c r="BH54" s="59" t="str">
        <f t="shared" si="116"/>
        <v/>
      </c>
      <c r="BI54" s="62" t="str">
        <f t="shared" si="117"/>
        <v/>
      </c>
      <c r="BJ54" s="421"/>
      <c r="BK54" s="59" t="str">
        <f t="shared" si="118"/>
        <v/>
      </c>
      <c r="BL54" s="62" t="str">
        <f t="shared" si="119"/>
        <v/>
      </c>
      <c r="BM54" s="421"/>
      <c r="BN54" s="59" t="str">
        <f t="shared" si="120"/>
        <v/>
      </c>
      <c r="BO54" s="62" t="str">
        <f t="shared" si="121"/>
        <v/>
      </c>
      <c r="BP54" s="421"/>
      <c r="BQ54" s="59" t="str">
        <f t="shared" si="122"/>
        <v/>
      </c>
      <c r="BR54" s="62" t="str">
        <f t="shared" si="123"/>
        <v/>
      </c>
      <c r="BS54" s="421"/>
      <c r="BT54" s="59" t="str">
        <f t="shared" si="124"/>
        <v/>
      </c>
      <c r="BU54" s="62" t="str">
        <f t="shared" si="125"/>
        <v/>
      </c>
      <c r="BV54" s="421"/>
      <c r="BW54" s="59" t="str">
        <f t="shared" si="126"/>
        <v/>
      </c>
      <c r="BX54" s="62" t="str">
        <f t="shared" si="127"/>
        <v/>
      </c>
      <c r="BY54" s="421"/>
      <c r="BZ54" s="59" t="str">
        <f t="shared" si="128"/>
        <v/>
      </c>
      <c r="CA54" s="62" t="str">
        <f t="shared" si="129"/>
        <v/>
      </c>
      <c r="CB54" s="421"/>
      <c r="CC54" s="59" t="str">
        <f t="shared" si="130"/>
        <v/>
      </c>
      <c r="CD54" s="62" t="str">
        <f t="shared" si="131"/>
        <v/>
      </c>
      <c r="CE54" s="421"/>
      <c r="CF54" s="59" t="str">
        <f t="shared" si="132"/>
        <v/>
      </c>
      <c r="CG54" s="62" t="str">
        <f t="shared" si="133"/>
        <v/>
      </c>
      <c r="CH54" s="421"/>
      <c r="CI54" s="59" t="str">
        <f t="shared" si="134"/>
        <v/>
      </c>
      <c r="CJ54" s="62" t="str">
        <f t="shared" si="135"/>
        <v/>
      </c>
      <c r="CK54" s="421"/>
      <c r="CL54" s="59" t="str">
        <f t="shared" si="136"/>
        <v/>
      </c>
      <c r="CM54" s="62" t="str">
        <f t="shared" si="137"/>
        <v/>
      </c>
      <c r="CN54" s="421"/>
      <c r="CO54" s="59" t="str">
        <f t="shared" si="138"/>
        <v/>
      </c>
      <c r="CP54" s="62" t="str">
        <f t="shared" si="139"/>
        <v/>
      </c>
      <c r="CQ54" s="421"/>
      <c r="CR54" s="59" t="str">
        <f t="shared" si="140"/>
        <v/>
      </c>
      <c r="CS54" s="62" t="str">
        <f t="shared" si="141"/>
        <v/>
      </c>
      <c r="CT54" s="421"/>
      <c r="CU54" s="59" t="str">
        <f t="shared" si="142"/>
        <v/>
      </c>
      <c r="CV54" s="62" t="str">
        <f t="shared" si="143"/>
        <v/>
      </c>
      <c r="CW54" s="421"/>
      <c r="CX54" s="59" t="str">
        <f t="shared" si="144"/>
        <v/>
      </c>
      <c r="CY54" s="62" t="str">
        <f t="shared" si="145"/>
        <v/>
      </c>
      <c r="CZ54" s="421"/>
      <c r="DA54" s="59" t="str">
        <f t="shared" si="146"/>
        <v/>
      </c>
      <c r="DB54" s="62" t="str">
        <f t="shared" si="147"/>
        <v/>
      </c>
      <c r="DC54" s="421"/>
      <c r="DD54" s="59" t="str">
        <f t="shared" si="148"/>
        <v/>
      </c>
      <c r="DE54" s="62" t="str">
        <f t="shared" si="149"/>
        <v/>
      </c>
      <c r="DF54" s="421"/>
      <c r="DG54" s="59" t="str">
        <f t="shared" si="150"/>
        <v/>
      </c>
      <c r="DH54" s="62" t="str">
        <f t="shared" si="151"/>
        <v/>
      </c>
      <c r="DI54" s="421"/>
      <c r="DJ54" s="59" t="str">
        <f t="shared" si="152"/>
        <v/>
      </c>
      <c r="DK54" s="62" t="str">
        <f t="shared" si="153"/>
        <v/>
      </c>
      <c r="DL54" s="421"/>
      <c r="DM54" s="59" t="str">
        <f t="shared" si="154"/>
        <v/>
      </c>
      <c r="DN54" s="62" t="str">
        <f t="shared" si="155"/>
        <v/>
      </c>
      <c r="DO54" s="421"/>
      <c r="DP54" s="59" t="str">
        <f t="shared" si="156"/>
        <v/>
      </c>
      <c r="DQ54" s="62" t="str">
        <f t="shared" si="157"/>
        <v/>
      </c>
      <c r="DR54" s="421"/>
      <c r="DS54" s="59" t="str">
        <f t="shared" si="158"/>
        <v/>
      </c>
      <c r="DT54" s="62" t="str">
        <f t="shared" si="159"/>
        <v/>
      </c>
      <c r="DU54" s="421"/>
      <c r="DV54" s="59" t="str">
        <f t="shared" si="160"/>
        <v/>
      </c>
      <c r="DW54" s="62" t="str">
        <f t="shared" si="161"/>
        <v/>
      </c>
      <c r="DX54" s="161"/>
    </row>
    <row r="55" spans="2:128" ht="23.25" customHeight="1" x14ac:dyDescent="0.2">
      <c r="B55" s="377"/>
      <c r="C55" s="348">
        <f t="shared" si="81"/>
        <v>24</v>
      </c>
      <c r="D55" s="425"/>
      <c r="E55" s="57"/>
      <c r="F55" s="57"/>
      <c r="G55" s="420"/>
      <c r="H55" s="421"/>
      <c r="I55" s="129" t="str">
        <f t="shared" si="82"/>
        <v/>
      </c>
      <c r="J55" s="97" t="str">
        <f t="shared" si="83"/>
        <v/>
      </c>
      <c r="K55" s="421"/>
      <c r="L55" s="59" t="str">
        <f t="shared" si="84"/>
        <v/>
      </c>
      <c r="M55" s="60" t="str">
        <f t="shared" si="85"/>
        <v/>
      </c>
      <c r="N55" s="421"/>
      <c r="O55" s="59" t="str">
        <f t="shared" si="86"/>
        <v/>
      </c>
      <c r="P55" s="60" t="str">
        <f t="shared" si="87"/>
        <v/>
      </c>
      <c r="Q55" s="421"/>
      <c r="R55" s="59" t="str">
        <f t="shared" si="88"/>
        <v/>
      </c>
      <c r="S55" s="61" t="str">
        <f t="shared" si="89"/>
        <v/>
      </c>
      <c r="T55" s="421"/>
      <c r="U55" s="59" t="str">
        <f t="shared" si="90"/>
        <v/>
      </c>
      <c r="V55" s="60" t="str">
        <f t="shared" si="91"/>
        <v/>
      </c>
      <c r="W55" s="422"/>
      <c r="X55" s="59" t="str">
        <f t="shared" si="92"/>
        <v/>
      </c>
      <c r="Y55" s="62" t="str">
        <f t="shared" si="93"/>
        <v/>
      </c>
      <c r="Z55" s="421"/>
      <c r="AA55" s="59" t="str">
        <f t="shared" si="94"/>
        <v/>
      </c>
      <c r="AB55" s="62" t="str">
        <f t="shared" si="95"/>
        <v/>
      </c>
      <c r="AC55" s="422"/>
      <c r="AD55" s="59" t="str">
        <f t="shared" si="96"/>
        <v/>
      </c>
      <c r="AE55" s="62" t="str">
        <f t="shared" si="97"/>
        <v/>
      </c>
      <c r="AF55" s="421"/>
      <c r="AG55" s="59" t="str">
        <f t="shared" si="98"/>
        <v/>
      </c>
      <c r="AH55" s="62" t="str">
        <f t="shared" si="99"/>
        <v/>
      </c>
      <c r="AI55" s="421"/>
      <c r="AJ55" s="59" t="str">
        <f t="shared" si="100"/>
        <v/>
      </c>
      <c r="AK55" s="62" t="str">
        <f t="shared" si="101"/>
        <v/>
      </c>
      <c r="AL55" s="421"/>
      <c r="AM55" s="59" t="str">
        <f t="shared" si="102"/>
        <v/>
      </c>
      <c r="AN55" s="62" t="str">
        <f t="shared" si="103"/>
        <v/>
      </c>
      <c r="AO55" s="421"/>
      <c r="AP55" s="59" t="str">
        <f t="shared" si="104"/>
        <v/>
      </c>
      <c r="AQ55" s="62" t="str">
        <f t="shared" si="105"/>
        <v/>
      </c>
      <c r="AR55" s="421"/>
      <c r="AS55" s="59" t="str">
        <f t="shared" si="106"/>
        <v/>
      </c>
      <c r="AT55" s="62" t="str">
        <f t="shared" si="107"/>
        <v/>
      </c>
      <c r="AU55" s="421"/>
      <c r="AV55" s="59" t="str">
        <f t="shared" si="108"/>
        <v/>
      </c>
      <c r="AW55" s="62" t="str">
        <f t="shared" si="109"/>
        <v/>
      </c>
      <c r="AX55" s="421"/>
      <c r="AY55" s="59" t="str">
        <f t="shared" si="110"/>
        <v/>
      </c>
      <c r="AZ55" s="62" t="str">
        <f t="shared" si="111"/>
        <v/>
      </c>
      <c r="BA55" s="421"/>
      <c r="BB55" s="59" t="str">
        <f t="shared" si="112"/>
        <v/>
      </c>
      <c r="BC55" s="62" t="str">
        <f t="shared" si="113"/>
        <v/>
      </c>
      <c r="BD55" s="421"/>
      <c r="BE55" s="59" t="str">
        <f t="shared" si="114"/>
        <v/>
      </c>
      <c r="BF55" s="62" t="str">
        <f t="shared" si="115"/>
        <v/>
      </c>
      <c r="BG55" s="421"/>
      <c r="BH55" s="59" t="str">
        <f t="shared" si="116"/>
        <v/>
      </c>
      <c r="BI55" s="62" t="str">
        <f t="shared" si="117"/>
        <v/>
      </c>
      <c r="BJ55" s="421"/>
      <c r="BK55" s="59" t="str">
        <f t="shared" si="118"/>
        <v/>
      </c>
      <c r="BL55" s="62" t="str">
        <f t="shared" si="119"/>
        <v/>
      </c>
      <c r="BM55" s="421"/>
      <c r="BN55" s="59" t="str">
        <f t="shared" si="120"/>
        <v/>
      </c>
      <c r="BO55" s="62" t="str">
        <f t="shared" si="121"/>
        <v/>
      </c>
      <c r="BP55" s="421"/>
      <c r="BQ55" s="59" t="str">
        <f t="shared" si="122"/>
        <v/>
      </c>
      <c r="BR55" s="62" t="str">
        <f t="shared" si="123"/>
        <v/>
      </c>
      <c r="BS55" s="421"/>
      <c r="BT55" s="59" t="str">
        <f t="shared" si="124"/>
        <v/>
      </c>
      <c r="BU55" s="62" t="str">
        <f t="shared" si="125"/>
        <v/>
      </c>
      <c r="BV55" s="421"/>
      <c r="BW55" s="59" t="str">
        <f t="shared" si="126"/>
        <v/>
      </c>
      <c r="BX55" s="62" t="str">
        <f t="shared" si="127"/>
        <v/>
      </c>
      <c r="BY55" s="421"/>
      <c r="BZ55" s="59" t="str">
        <f t="shared" si="128"/>
        <v/>
      </c>
      <c r="CA55" s="62" t="str">
        <f t="shared" si="129"/>
        <v/>
      </c>
      <c r="CB55" s="421"/>
      <c r="CC55" s="59" t="str">
        <f t="shared" si="130"/>
        <v/>
      </c>
      <c r="CD55" s="62" t="str">
        <f t="shared" si="131"/>
        <v/>
      </c>
      <c r="CE55" s="421"/>
      <c r="CF55" s="59" t="str">
        <f t="shared" si="132"/>
        <v/>
      </c>
      <c r="CG55" s="62" t="str">
        <f t="shared" si="133"/>
        <v/>
      </c>
      <c r="CH55" s="421"/>
      <c r="CI55" s="59" t="str">
        <f t="shared" si="134"/>
        <v/>
      </c>
      <c r="CJ55" s="62" t="str">
        <f t="shared" si="135"/>
        <v/>
      </c>
      <c r="CK55" s="421"/>
      <c r="CL55" s="59" t="str">
        <f t="shared" si="136"/>
        <v/>
      </c>
      <c r="CM55" s="62" t="str">
        <f t="shared" si="137"/>
        <v/>
      </c>
      <c r="CN55" s="421"/>
      <c r="CO55" s="59" t="str">
        <f t="shared" si="138"/>
        <v/>
      </c>
      <c r="CP55" s="62" t="str">
        <f t="shared" si="139"/>
        <v/>
      </c>
      <c r="CQ55" s="421"/>
      <c r="CR55" s="59" t="str">
        <f t="shared" si="140"/>
        <v/>
      </c>
      <c r="CS55" s="62" t="str">
        <f t="shared" si="141"/>
        <v/>
      </c>
      <c r="CT55" s="421"/>
      <c r="CU55" s="59" t="str">
        <f t="shared" si="142"/>
        <v/>
      </c>
      <c r="CV55" s="62" t="str">
        <f t="shared" si="143"/>
        <v/>
      </c>
      <c r="CW55" s="421"/>
      <c r="CX55" s="59" t="str">
        <f t="shared" si="144"/>
        <v/>
      </c>
      <c r="CY55" s="62" t="str">
        <f t="shared" si="145"/>
        <v/>
      </c>
      <c r="CZ55" s="421"/>
      <c r="DA55" s="59" t="str">
        <f t="shared" si="146"/>
        <v/>
      </c>
      <c r="DB55" s="62" t="str">
        <f t="shared" si="147"/>
        <v/>
      </c>
      <c r="DC55" s="421"/>
      <c r="DD55" s="59" t="str">
        <f t="shared" si="148"/>
        <v/>
      </c>
      <c r="DE55" s="62" t="str">
        <f t="shared" si="149"/>
        <v/>
      </c>
      <c r="DF55" s="421"/>
      <c r="DG55" s="59" t="str">
        <f t="shared" si="150"/>
        <v/>
      </c>
      <c r="DH55" s="62" t="str">
        <f t="shared" si="151"/>
        <v/>
      </c>
      <c r="DI55" s="421"/>
      <c r="DJ55" s="59" t="str">
        <f t="shared" si="152"/>
        <v/>
      </c>
      <c r="DK55" s="62" t="str">
        <f t="shared" si="153"/>
        <v/>
      </c>
      <c r="DL55" s="421"/>
      <c r="DM55" s="59" t="str">
        <f t="shared" si="154"/>
        <v/>
      </c>
      <c r="DN55" s="62" t="str">
        <f t="shared" si="155"/>
        <v/>
      </c>
      <c r="DO55" s="421"/>
      <c r="DP55" s="59" t="str">
        <f t="shared" si="156"/>
        <v/>
      </c>
      <c r="DQ55" s="62" t="str">
        <f t="shared" si="157"/>
        <v/>
      </c>
      <c r="DR55" s="421"/>
      <c r="DS55" s="59" t="str">
        <f t="shared" si="158"/>
        <v/>
      </c>
      <c r="DT55" s="62" t="str">
        <f t="shared" si="159"/>
        <v/>
      </c>
      <c r="DU55" s="421"/>
      <c r="DV55" s="59" t="str">
        <f t="shared" si="160"/>
        <v/>
      </c>
      <c r="DW55" s="62" t="str">
        <f t="shared" si="161"/>
        <v/>
      </c>
      <c r="DX55" s="161"/>
    </row>
    <row r="56" spans="2:128" ht="23.25" customHeight="1" x14ac:dyDescent="0.2">
      <c r="B56" s="377"/>
      <c r="C56" s="348">
        <f t="shared" si="81"/>
        <v>25</v>
      </c>
      <c r="D56" s="425"/>
      <c r="E56" s="57"/>
      <c r="F56" s="57"/>
      <c r="G56" s="420"/>
      <c r="H56" s="421"/>
      <c r="I56" s="129" t="str">
        <f t="shared" si="82"/>
        <v/>
      </c>
      <c r="J56" s="97" t="str">
        <f t="shared" si="83"/>
        <v/>
      </c>
      <c r="K56" s="421"/>
      <c r="L56" s="59" t="str">
        <f t="shared" si="84"/>
        <v/>
      </c>
      <c r="M56" s="60" t="str">
        <f t="shared" si="85"/>
        <v/>
      </c>
      <c r="N56" s="421"/>
      <c r="O56" s="59" t="str">
        <f t="shared" si="86"/>
        <v/>
      </c>
      <c r="P56" s="60" t="str">
        <f t="shared" si="87"/>
        <v/>
      </c>
      <c r="Q56" s="421"/>
      <c r="R56" s="59" t="str">
        <f t="shared" si="88"/>
        <v/>
      </c>
      <c r="S56" s="61" t="str">
        <f t="shared" si="89"/>
        <v/>
      </c>
      <c r="T56" s="421"/>
      <c r="U56" s="59" t="str">
        <f t="shared" si="90"/>
        <v/>
      </c>
      <c r="V56" s="60" t="str">
        <f t="shared" si="91"/>
        <v/>
      </c>
      <c r="W56" s="422"/>
      <c r="X56" s="59" t="str">
        <f t="shared" si="92"/>
        <v/>
      </c>
      <c r="Y56" s="62" t="str">
        <f t="shared" si="93"/>
        <v/>
      </c>
      <c r="Z56" s="421"/>
      <c r="AA56" s="59" t="str">
        <f t="shared" si="94"/>
        <v/>
      </c>
      <c r="AB56" s="62" t="str">
        <f t="shared" si="95"/>
        <v/>
      </c>
      <c r="AC56" s="422"/>
      <c r="AD56" s="59" t="str">
        <f t="shared" si="96"/>
        <v/>
      </c>
      <c r="AE56" s="62" t="str">
        <f t="shared" si="97"/>
        <v/>
      </c>
      <c r="AF56" s="421"/>
      <c r="AG56" s="59" t="str">
        <f t="shared" si="98"/>
        <v/>
      </c>
      <c r="AH56" s="62" t="str">
        <f t="shared" si="99"/>
        <v/>
      </c>
      <c r="AI56" s="421"/>
      <c r="AJ56" s="59" t="str">
        <f t="shared" si="100"/>
        <v/>
      </c>
      <c r="AK56" s="62" t="str">
        <f t="shared" si="101"/>
        <v/>
      </c>
      <c r="AL56" s="421"/>
      <c r="AM56" s="59" t="str">
        <f t="shared" si="102"/>
        <v/>
      </c>
      <c r="AN56" s="62" t="str">
        <f t="shared" si="103"/>
        <v/>
      </c>
      <c r="AO56" s="421"/>
      <c r="AP56" s="59" t="str">
        <f t="shared" si="104"/>
        <v/>
      </c>
      <c r="AQ56" s="62" t="str">
        <f t="shared" si="105"/>
        <v/>
      </c>
      <c r="AR56" s="421"/>
      <c r="AS56" s="59" t="str">
        <f t="shared" si="106"/>
        <v/>
      </c>
      <c r="AT56" s="62" t="str">
        <f t="shared" si="107"/>
        <v/>
      </c>
      <c r="AU56" s="421"/>
      <c r="AV56" s="59" t="str">
        <f t="shared" si="108"/>
        <v/>
      </c>
      <c r="AW56" s="62" t="str">
        <f t="shared" si="109"/>
        <v/>
      </c>
      <c r="AX56" s="421"/>
      <c r="AY56" s="59" t="str">
        <f t="shared" si="110"/>
        <v/>
      </c>
      <c r="AZ56" s="62" t="str">
        <f t="shared" si="111"/>
        <v/>
      </c>
      <c r="BA56" s="421"/>
      <c r="BB56" s="59" t="str">
        <f t="shared" si="112"/>
        <v/>
      </c>
      <c r="BC56" s="62" t="str">
        <f t="shared" si="113"/>
        <v/>
      </c>
      <c r="BD56" s="421"/>
      <c r="BE56" s="59" t="str">
        <f t="shared" si="114"/>
        <v/>
      </c>
      <c r="BF56" s="62" t="str">
        <f t="shared" si="115"/>
        <v/>
      </c>
      <c r="BG56" s="421"/>
      <c r="BH56" s="59" t="str">
        <f t="shared" si="116"/>
        <v/>
      </c>
      <c r="BI56" s="62" t="str">
        <f t="shared" si="117"/>
        <v/>
      </c>
      <c r="BJ56" s="421"/>
      <c r="BK56" s="59" t="str">
        <f t="shared" si="118"/>
        <v/>
      </c>
      <c r="BL56" s="62" t="str">
        <f t="shared" si="119"/>
        <v/>
      </c>
      <c r="BM56" s="421"/>
      <c r="BN56" s="59" t="str">
        <f t="shared" si="120"/>
        <v/>
      </c>
      <c r="BO56" s="62" t="str">
        <f t="shared" si="121"/>
        <v/>
      </c>
      <c r="BP56" s="421"/>
      <c r="BQ56" s="59" t="str">
        <f t="shared" si="122"/>
        <v/>
      </c>
      <c r="BR56" s="62" t="str">
        <f t="shared" si="123"/>
        <v/>
      </c>
      <c r="BS56" s="421"/>
      <c r="BT56" s="59" t="str">
        <f t="shared" si="124"/>
        <v/>
      </c>
      <c r="BU56" s="62" t="str">
        <f t="shared" si="125"/>
        <v/>
      </c>
      <c r="BV56" s="421"/>
      <c r="BW56" s="59" t="str">
        <f t="shared" si="126"/>
        <v/>
      </c>
      <c r="BX56" s="62" t="str">
        <f t="shared" si="127"/>
        <v/>
      </c>
      <c r="BY56" s="421"/>
      <c r="BZ56" s="59" t="str">
        <f t="shared" si="128"/>
        <v/>
      </c>
      <c r="CA56" s="62" t="str">
        <f t="shared" si="129"/>
        <v/>
      </c>
      <c r="CB56" s="421"/>
      <c r="CC56" s="59" t="str">
        <f t="shared" si="130"/>
        <v/>
      </c>
      <c r="CD56" s="62" t="str">
        <f t="shared" si="131"/>
        <v/>
      </c>
      <c r="CE56" s="421"/>
      <c r="CF56" s="59" t="str">
        <f t="shared" si="132"/>
        <v/>
      </c>
      <c r="CG56" s="62" t="str">
        <f t="shared" si="133"/>
        <v/>
      </c>
      <c r="CH56" s="421"/>
      <c r="CI56" s="59" t="str">
        <f t="shared" si="134"/>
        <v/>
      </c>
      <c r="CJ56" s="62" t="str">
        <f t="shared" si="135"/>
        <v/>
      </c>
      <c r="CK56" s="421"/>
      <c r="CL56" s="59" t="str">
        <f t="shared" si="136"/>
        <v/>
      </c>
      <c r="CM56" s="62" t="str">
        <f t="shared" si="137"/>
        <v/>
      </c>
      <c r="CN56" s="421"/>
      <c r="CO56" s="59" t="str">
        <f t="shared" si="138"/>
        <v/>
      </c>
      <c r="CP56" s="62" t="str">
        <f t="shared" si="139"/>
        <v/>
      </c>
      <c r="CQ56" s="421"/>
      <c r="CR56" s="59" t="str">
        <f t="shared" si="140"/>
        <v/>
      </c>
      <c r="CS56" s="62" t="str">
        <f t="shared" si="141"/>
        <v/>
      </c>
      <c r="CT56" s="421"/>
      <c r="CU56" s="59" t="str">
        <f t="shared" si="142"/>
        <v/>
      </c>
      <c r="CV56" s="62" t="str">
        <f t="shared" si="143"/>
        <v/>
      </c>
      <c r="CW56" s="421"/>
      <c r="CX56" s="59" t="str">
        <f t="shared" si="144"/>
        <v/>
      </c>
      <c r="CY56" s="62" t="str">
        <f t="shared" si="145"/>
        <v/>
      </c>
      <c r="CZ56" s="421"/>
      <c r="DA56" s="59" t="str">
        <f t="shared" si="146"/>
        <v/>
      </c>
      <c r="DB56" s="62" t="str">
        <f t="shared" si="147"/>
        <v/>
      </c>
      <c r="DC56" s="421"/>
      <c r="DD56" s="59" t="str">
        <f t="shared" si="148"/>
        <v/>
      </c>
      <c r="DE56" s="62" t="str">
        <f t="shared" si="149"/>
        <v/>
      </c>
      <c r="DF56" s="421"/>
      <c r="DG56" s="59" t="str">
        <f t="shared" si="150"/>
        <v/>
      </c>
      <c r="DH56" s="62" t="str">
        <f t="shared" si="151"/>
        <v/>
      </c>
      <c r="DI56" s="421"/>
      <c r="DJ56" s="59" t="str">
        <f t="shared" si="152"/>
        <v/>
      </c>
      <c r="DK56" s="62" t="str">
        <f t="shared" si="153"/>
        <v/>
      </c>
      <c r="DL56" s="421"/>
      <c r="DM56" s="59" t="str">
        <f t="shared" si="154"/>
        <v/>
      </c>
      <c r="DN56" s="62" t="str">
        <f t="shared" si="155"/>
        <v/>
      </c>
      <c r="DO56" s="421"/>
      <c r="DP56" s="59" t="str">
        <f t="shared" si="156"/>
        <v/>
      </c>
      <c r="DQ56" s="62" t="str">
        <f t="shared" si="157"/>
        <v/>
      </c>
      <c r="DR56" s="421"/>
      <c r="DS56" s="59" t="str">
        <f t="shared" si="158"/>
        <v/>
      </c>
      <c r="DT56" s="62" t="str">
        <f t="shared" si="159"/>
        <v/>
      </c>
      <c r="DU56" s="421"/>
      <c r="DV56" s="59" t="str">
        <f t="shared" si="160"/>
        <v/>
      </c>
      <c r="DW56" s="62" t="str">
        <f t="shared" si="161"/>
        <v/>
      </c>
      <c r="DX56" s="161"/>
    </row>
    <row r="57" spans="2:128" ht="23.25" customHeight="1" x14ac:dyDescent="0.2">
      <c r="B57" s="377"/>
      <c r="C57" s="348">
        <f t="shared" si="81"/>
        <v>26</v>
      </c>
      <c r="D57" s="425"/>
      <c r="E57" s="57"/>
      <c r="F57" s="57"/>
      <c r="G57" s="420"/>
      <c r="H57" s="421"/>
      <c r="I57" s="129" t="str">
        <f t="shared" si="82"/>
        <v/>
      </c>
      <c r="J57" s="97" t="str">
        <f t="shared" si="83"/>
        <v/>
      </c>
      <c r="K57" s="421"/>
      <c r="L57" s="59" t="str">
        <f t="shared" si="84"/>
        <v/>
      </c>
      <c r="M57" s="60" t="str">
        <f t="shared" si="85"/>
        <v/>
      </c>
      <c r="N57" s="421"/>
      <c r="O57" s="59" t="str">
        <f t="shared" si="86"/>
        <v/>
      </c>
      <c r="P57" s="60" t="str">
        <f t="shared" si="87"/>
        <v/>
      </c>
      <c r="Q57" s="421"/>
      <c r="R57" s="59" t="str">
        <f t="shared" si="88"/>
        <v/>
      </c>
      <c r="S57" s="61" t="str">
        <f t="shared" si="89"/>
        <v/>
      </c>
      <c r="T57" s="421"/>
      <c r="U57" s="59" t="str">
        <f t="shared" si="90"/>
        <v/>
      </c>
      <c r="V57" s="60" t="str">
        <f t="shared" si="91"/>
        <v/>
      </c>
      <c r="W57" s="422"/>
      <c r="X57" s="59" t="str">
        <f t="shared" si="92"/>
        <v/>
      </c>
      <c r="Y57" s="62" t="str">
        <f t="shared" si="93"/>
        <v/>
      </c>
      <c r="Z57" s="421"/>
      <c r="AA57" s="59" t="str">
        <f t="shared" si="94"/>
        <v/>
      </c>
      <c r="AB57" s="62" t="str">
        <f t="shared" si="95"/>
        <v/>
      </c>
      <c r="AC57" s="422"/>
      <c r="AD57" s="59" t="str">
        <f t="shared" si="96"/>
        <v/>
      </c>
      <c r="AE57" s="62" t="str">
        <f t="shared" si="97"/>
        <v/>
      </c>
      <c r="AF57" s="421"/>
      <c r="AG57" s="59" t="str">
        <f t="shared" si="98"/>
        <v/>
      </c>
      <c r="AH57" s="62" t="str">
        <f t="shared" si="99"/>
        <v/>
      </c>
      <c r="AI57" s="421"/>
      <c r="AJ57" s="59" t="str">
        <f t="shared" si="100"/>
        <v/>
      </c>
      <c r="AK57" s="62" t="str">
        <f t="shared" si="101"/>
        <v/>
      </c>
      <c r="AL57" s="421"/>
      <c r="AM57" s="59" t="str">
        <f t="shared" si="102"/>
        <v/>
      </c>
      <c r="AN57" s="62" t="str">
        <f t="shared" si="103"/>
        <v/>
      </c>
      <c r="AO57" s="421"/>
      <c r="AP57" s="59" t="str">
        <f t="shared" si="104"/>
        <v/>
      </c>
      <c r="AQ57" s="62" t="str">
        <f t="shared" si="105"/>
        <v/>
      </c>
      <c r="AR57" s="421"/>
      <c r="AS57" s="59" t="str">
        <f t="shared" si="106"/>
        <v/>
      </c>
      <c r="AT57" s="62" t="str">
        <f t="shared" si="107"/>
        <v/>
      </c>
      <c r="AU57" s="421"/>
      <c r="AV57" s="59" t="str">
        <f t="shared" si="108"/>
        <v/>
      </c>
      <c r="AW57" s="62" t="str">
        <f t="shared" si="109"/>
        <v/>
      </c>
      <c r="AX57" s="421"/>
      <c r="AY57" s="59" t="str">
        <f t="shared" si="110"/>
        <v/>
      </c>
      <c r="AZ57" s="62" t="str">
        <f t="shared" si="111"/>
        <v/>
      </c>
      <c r="BA57" s="421"/>
      <c r="BB57" s="59" t="str">
        <f t="shared" si="112"/>
        <v/>
      </c>
      <c r="BC57" s="62" t="str">
        <f t="shared" si="113"/>
        <v/>
      </c>
      <c r="BD57" s="421"/>
      <c r="BE57" s="59" t="str">
        <f t="shared" si="114"/>
        <v/>
      </c>
      <c r="BF57" s="62" t="str">
        <f t="shared" si="115"/>
        <v/>
      </c>
      <c r="BG57" s="421"/>
      <c r="BH57" s="59" t="str">
        <f t="shared" si="116"/>
        <v/>
      </c>
      <c r="BI57" s="62" t="str">
        <f t="shared" si="117"/>
        <v/>
      </c>
      <c r="BJ57" s="421"/>
      <c r="BK57" s="59" t="str">
        <f t="shared" si="118"/>
        <v/>
      </c>
      <c r="BL57" s="62" t="str">
        <f t="shared" si="119"/>
        <v/>
      </c>
      <c r="BM57" s="421"/>
      <c r="BN57" s="59" t="str">
        <f t="shared" si="120"/>
        <v/>
      </c>
      <c r="BO57" s="62" t="str">
        <f t="shared" si="121"/>
        <v/>
      </c>
      <c r="BP57" s="421"/>
      <c r="BQ57" s="59" t="str">
        <f t="shared" si="122"/>
        <v/>
      </c>
      <c r="BR57" s="62" t="str">
        <f t="shared" si="123"/>
        <v/>
      </c>
      <c r="BS57" s="421"/>
      <c r="BT57" s="59" t="str">
        <f t="shared" si="124"/>
        <v/>
      </c>
      <c r="BU57" s="62" t="str">
        <f t="shared" si="125"/>
        <v/>
      </c>
      <c r="BV57" s="421"/>
      <c r="BW57" s="59" t="str">
        <f t="shared" si="126"/>
        <v/>
      </c>
      <c r="BX57" s="62" t="str">
        <f t="shared" si="127"/>
        <v/>
      </c>
      <c r="BY57" s="421"/>
      <c r="BZ57" s="59" t="str">
        <f t="shared" si="128"/>
        <v/>
      </c>
      <c r="CA57" s="62" t="str">
        <f t="shared" si="129"/>
        <v/>
      </c>
      <c r="CB57" s="421"/>
      <c r="CC57" s="59" t="str">
        <f t="shared" si="130"/>
        <v/>
      </c>
      <c r="CD57" s="62" t="str">
        <f t="shared" si="131"/>
        <v/>
      </c>
      <c r="CE57" s="421"/>
      <c r="CF57" s="59" t="str">
        <f t="shared" si="132"/>
        <v/>
      </c>
      <c r="CG57" s="62" t="str">
        <f t="shared" si="133"/>
        <v/>
      </c>
      <c r="CH57" s="421"/>
      <c r="CI57" s="59" t="str">
        <f t="shared" si="134"/>
        <v/>
      </c>
      <c r="CJ57" s="62" t="str">
        <f t="shared" si="135"/>
        <v/>
      </c>
      <c r="CK57" s="421"/>
      <c r="CL57" s="59" t="str">
        <f t="shared" si="136"/>
        <v/>
      </c>
      <c r="CM57" s="62" t="str">
        <f t="shared" si="137"/>
        <v/>
      </c>
      <c r="CN57" s="421"/>
      <c r="CO57" s="59" t="str">
        <f t="shared" si="138"/>
        <v/>
      </c>
      <c r="CP57" s="62" t="str">
        <f t="shared" si="139"/>
        <v/>
      </c>
      <c r="CQ57" s="421"/>
      <c r="CR57" s="59" t="str">
        <f t="shared" si="140"/>
        <v/>
      </c>
      <c r="CS57" s="62" t="str">
        <f t="shared" si="141"/>
        <v/>
      </c>
      <c r="CT57" s="421"/>
      <c r="CU57" s="59" t="str">
        <f t="shared" si="142"/>
        <v/>
      </c>
      <c r="CV57" s="62" t="str">
        <f t="shared" si="143"/>
        <v/>
      </c>
      <c r="CW57" s="421"/>
      <c r="CX57" s="59" t="str">
        <f t="shared" si="144"/>
        <v/>
      </c>
      <c r="CY57" s="62" t="str">
        <f t="shared" si="145"/>
        <v/>
      </c>
      <c r="CZ57" s="421"/>
      <c r="DA57" s="59" t="str">
        <f t="shared" si="146"/>
        <v/>
      </c>
      <c r="DB57" s="62" t="str">
        <f t="shared" si="147"/>
        <v/>
      </c>
      <c r="DC57" s="421"/>
      <c r="DD57" s="59" t="str">
        <f t="shared" si="148"/>
        <v/>
      </c>
      <c r="DE57" s="62" t="str">
        <f t="shared" si="149"/>
        <v/>
      </c>
      <c r="DF57" s="421"/>
      <c r="DG57" s="59" t="str">
        <f t="shared" si="150"/>
        <v/>
      </c>
      <c r="DH57" s="62" t="str">
        <f t="shared" si="151"/>
        <v/>
      </c>
      <c r="DI57" s="421"/>
      <c r="DJ57" s="59" t="str">
        <f t="shared" si="152"/>
        <v/>
      </c>
      <c r="DK57" s="62" t="str">
        <f t="shared" si="153"/>
        <v/>
      </c>
      <c r="DL57" s="421"/>
      <c r="DM57" s="59" t="str">
        <f t="shared" si="154"/>
        <v/>
      </c>
      <c r="DN57" s="62" t="str">
        <f t="shared" si="155"/>
        <v/>
      </c>
      <c r="DO57" s="421"/>
      <c r="DP57" s="59" t="str">
        <f t="shared" si="156"/>
        <v/>
      </c>
      <c r="DQ57" s="62" t="str">
        <f t="shared" si="157"/>
        <v/>
      </c>
      <c r="DR57" s="421"/>
      <c r="DS57" s="59" t="str">
        <f t="shared" si="158"/>
        <v/>
      </c>
      <c r="DT57" s="62" t="str">
        <f t="shared" si="159"/>
        <v/>
      </c>
      <c r="DU57" s="421"/>
      <c r="DV57" s="59" t="str">
        <f t="shared" si="160"/>
        <v/>
      </c>
      <c r="DW57" s="62" t="str">
        <f t="shared" si="161"/>
        <v/>
      </c>
      <c r="DX57" s="161"/>
    </row>
    <row r="58" spans="2:128" ht="23.25" customHeight="1" x14ac:dyDescent="0.2">
      <c r="B58" s="377"/>
      <c r="C58" s="348">
        <f t="shared" si="81"/>
        <v>27</v>
      </c>
      <c r="D58" s="425"/>
      <c r="E58" s="57"/>
      <c r="F58" s="57"/>
      <c r="G58" s="420"/>
      <c r="H58" s="421"/>
      <c r="I58" s="129" t="str">
        <f t="shared" si="82"/>
        <v/>
      </c>
      <c r="J58" s="97" t="str">
        <f t="shared" si="83"/>
        <v/>
      </c>
      <c r="K58" s="421"/>
      <c r="L58" s="59" t="str">
        <f t="shared" si="84"/>
        <v/>
      </c>
      <c r="M58" s="60" t="str">
        <f t="shared" si="85"/>
        <v/>
      </c>
      <c r="N58" s="421"/>
      <c r="O58" s="59" t="str">
        <f t="shared" si="86"/>
        <v/>
      </c>
      <c r="P58" s="60" t="str">
        <f t="shared" si="87"/>
        <v/>
      </c>
      <c r="Q58" s="421"/>
      <c r="R58" s="59" t="str">
        <f t="shared" si="88"/>
        <v/>
      </c>
      <c r="S58" s="61" t="str">
        <f t="shared" si="89"/>
        <v/>
      </c>
      <c r="T58" s="421"/>
      <c r="U58" s="59" t="str">
        <f t="shared" si="90"/>
        <v/>
      </c>
      <c r="V58" s="60" t="str">
        <f t="shared" si="91"/>
        <v/>
      </c>
      <c r="W58" s="422"/>
      <c r="X58" s="59" t="str">
        <f t="shared" si="92"/>
        <v/>
      </c>
      <c r="Y58" s="62" t="str">
        <f t="shared" si="93"/>
        <v/>
      </c>
      <c r="Z58" s="421"/>
      <c r="AA58" s="59" t="str">
        <f t="shared" si="94"/>
        <v/>
      </c>
      <c r="AB58" s="62" t="str">
        <f t="shared" si="95"/>
        <v/>
      </c>
      <c r="AC58" s="422"/>
      <c r="AD58" s="59" t="str">
        <f t="shared" si="96"/>
        <v/>
      </c>
      <c r="AE58" s="62" t="str">
        <f t="shared" si="97"/>
        <v/>
      </c>
      <c r="AF58" s="421"/>
      <c r="AG58" s="59" t="str">
        <f t="shared" si="98"/>
        <v/>
      </c>
      <c r="AH58" s="62" t="str">
        <f t="shared" si="99"/>
        <v/>
      </c>
      <c r="AI58" s="421"/>
      <c r="AJ58" s="59" t="str">
        <f t="shared" si="100"/>
        <v/>
      </c>
      <c r="AK58" s="62" t="str">
        <f t="shared" si="101"/>
        <v/>
      </c>
      <c r="AL58" s="421"/>
      <c r="AM58" s="59" t="str">
        <f t="shared" si="102"/>
        <v/>
      </c>
      <c r="AN58" s="62" t="str">
        <f t="shared" si="103"/>
        <v/>
      </c>
      <c r="AO58" s="421"/>
      <c r="AP58" s="59" t="str">
        <f t="shared" si="104"/>
        <v/>
      </c>
      <c r="AQ58" s="62" t="str">
        <f t="shared" si="105"/>
        <v/>
      </c>
      <c r="AR58" s="421"/>
      <c r="AS58" s="59" t="str">
        <f t="shared" si="106"/>
        <v/>
      </c>
      <c r="AT58" s="62" t="str">
        <f t="shared" si="107"/>
        <v/>
      </c>
      <c r="AU58" s="421"/>
      <c r="AV58" s="59" t="str">
        <f t="shared" si="108"/>
        <v/>
      </c>
      <c r="AW58" s="62" t="str">
        <f t="shared" si="109"/>
        <v/>
      </c>
      <c r="AX58" s="421"/>
      <c r="AY58" s="59" t="str">
        <f t="shared" si="110"/>
        <v/>
      </c>
      <c r="AZ58" s="62" t="str">
        <f t="shared" si="111"/>
        <v/>
      </c>
      <c r="BA58" s="421"/>
      <c r="BB58" s="59" t="str">
        <f t="shared" si="112"/>
        <v/>
      </c>
      <c r="BC58" s="62" t="str">
        <f t="shared" si="113"/>
        <v/>
      </c>
      <c r="BD58" s="421"/>
      <c r="BE58" s="59" t="str">
        <f t="shared" si="114"/>
        <v/>
      </c>
      <c r="BF58" s="62" t="str">
        <f t="shared" si="115"/>
        <v/>
      </c>
      <c r="BG58" s="421"/>
      <c r="BH58" s="59" t="str">
        <f t="shared" si="116"/>
        <v/>
      </c>
      <c r="BI58" s="62" t="str">
        <f t="shared" si="117"/>
        <v/>
      </c>
      <c r="BJ58" s="421"/>
      <c r="BK58" s="59" t="str">
        <f t="shared" si="118"/>
        <v/>
      </c>
      <c r="BL58" s="62" t="str">
        <f t="shared" si="119"/>
        <v/>
      </c>
      <c r="BM58" s="421"/>
      <c r="BN58" s="59" t="str">
        <f t="shared" si="120"/>
        <v/>
      </c>
      <c r="BO58" s="62" t="str">
        <f t="shared" si="121"/>
        <v/>
      </c>
      <c r="BP58" s="421"/>
      <c r="BQ58" s="59" t="str">
        <f t="shared" si="122"/>
        <v/>
      </c>
      <c r="BR58" s="62" t="str">
        <f t="shared" si="123"/>
        <v/>
      </c>
      <c r="BS58" s="421"/>
      <c r="BT58" s="59" t="str">
        <f t="shared" si="124"/>
        <v/>
      </c>
      <c r="BU58" s="62" t="str">
        <f t="shared" si="125"/>
        <v/>
      </c>
      <c r="BV58" s="421"/>
      <c r="BW58" s="59" t="str">
        <f t="shared" si="126"/>
        <v/>
      </c>
      <c r="BX58" s="62" t="str">
        <f t="shared" si="127"/>
        <v/>
      </c>
      <c r="BY58" s="421"/>
      <c r="BZ58" s="59" t="str">
        <f t="shared" si="128"/>
        <v/>
      </c>
      <c r="CA58" s="62" t="str">
        <f t="shared" si="129"/>
        <v/>
      </c>
      <c r="CB58" s="421"/>
      <c r="CC58" s="59" t="str">
        <f t="shared" si="130"/>
        <v/>
      </c>
      <c r="CD58" s="62" t="str">
        <f t="shared" si="131"/>
        <v/>
      </c>
      <c r="CE58" s="421"/>
      <c r="CF58" s="59" t="str">
        <f t="shared" si="132"/>
        <v/>
      </c>
      <c r="CG58" s="62" t="str">
        <f t="shared" si="133"/>
        <v/>
      </c>
      <c r="CH58" s="421"/>
      <c r="CI58" s="59" t="str">
        <f t="shared" si="134"/>
        <v/>
      </c>
      <c r="CJ58" s="62" t="str">
        <f t="shared" si="135"/>
        <v/>
      </c>
      <c r="CK58" s="421"/>
      <c r="CL58" s="59" t="str">
        <f t="shared" si="136"/>
        <v/>
      </c>
      <c r="CM58" s="62" t="str">
        <f t="shared" si="137"/>
        <v/>
      </c>
      <c r="CN58" s="421"/>
      <c r="CO58" s="59" t="str">
        <f t="shared" si="138"/>
        <v/>
      </c>
      <c r="CP58" s="62" t="str">
        <f t="shared" si="139"/>
        <v/>
      </c>
      <c r="CQ58" s="421"/>
      <c r="CR58" s="59" t="str">
        <f t="shared" si="140"/>
        <v/>
      </c>
      <c r="CS58" s="62" t="str">
        <f t="shared" si="141"/>
        <v/>
      </c>
      <c r="CT58" s="421"/>
      <c r="CU58" s="59" t="str">
        <f t="shared" si="142"/>
        <v/>
      </c>
      <c r="CV58" s="62" t="str">
        <f t="shared" si="143"/>
        <v/>
      </c>
      <c r="CW58" s="421"/>
      <c r="CX58" s="59" t="str">
        <f t="shared" si="144"/>
        <v/>
      </c>
      <c r="CY58" s="62" t="str">
        <f t="shared" si="145"/>
        <v/>
      </c>
      <c r="CZ58" s="421"/>
      <c r="DA58" s="59" t="str">
        <f t="shared" si="146"/>
        <v/>
      </c>
      <c r="DB58" s="62" t="str">
        <f t="shared" si="147"/>
        <v/>
      </c>
      <c r="DC58" s="421"/>
      <c r="DD58" s="59" t="str">
        <f t="shared" si="148"/>
        <v/>
      </c>
      <c r="DE58" s="62" t="str">
        <f t="shared" si="149"/>
        <v/>
      </c>
      <c r="DF58" s="421"/>
      <c r="DG58" s="59" t="str">
        <f t="shared" si="150"/>
        <v/>
      </c>
      <c r="DH58" s="62" t="str">
        <f t="shared" si="151"/>
        <v/>
      </c>
      <c r="DI58" s="421"/>
      <c r="DJ58" s="59" t="str">
        <f t="shared" si="152"/>
        <v/>
      </c>
      <c r="DK58" s="62" t="str">
        <f t="shared" si="153"/>
        <v/>
      </c>
      <c r="DL58" s="421"/>
      <c r="DM58" s="59" t="str">
        <f t="shared" si="154"/>
        <v/>
      </c>
      <c r="DN58" s="62" t="str">
        <f t="shared" si="155"/>
        <v/>
      </c>
      <c r="DO58" s="421"/>
      <c r="DP58" s="59" t="str">
        <f t="shared" si="156"/>
        <v/>
      </c>
      <c r="DQ58" s="62" t="str">
        <f t="shared" si="157"/>
        <v/>
      </c>
      <c r="DR58" s="421"/>
      <c r="DS58" s="59" t="str">
        <f t="shared" si="158"/>
        <v/>
      </c>
      <c r="DT58" s="62" t="str">
        <f t="shared" si="159"/>
        <v/>
      </c>
      <c r="DU58" s="421"/>
      <c r="DV58" s="59" t="str">
        <f t="shared" si="160"/>
        <v/>
      </c>
      <c r="DW58" s="62" t="str">
        <f t="shared" si="161"/>
        <v/>
      </c>
      <c r="DX58" s="161"/>
    </row>
    <row r="59" spans="2:128" ht="23.25" customHeight="1" x14ac:dyDescent="0.2">
      <c r="B59" s="377"/>
      <c r="C59" s="348">
        <f t="shared" si="81"/>
        <v>28</v>
      </c>
      <c r="D59" s="425"/>
      <c r="E59" s="57"/>
      <c r="F59" s="57"/>
      <c r="G59" s="420"/>
      <c r="H59" s="421"/>
      <c r="I59" s="129" t="str">
        <f t="shared" si="82"/>
        <v/>
      </c>
      <c r="J59" s="97" t="str">
        <f t="shared" si="83"/>
        <v/>
      </c>
      <c r="K59" s="421"/>
      <c r="L59" s="59" t="str">
        <f t="shared" si="84"/>
        <v/>
      </c>
      <c r="M59" s="60" t="str">
        <f t="shared" si="85"/>
        <v/>
      </c>
      <c r="N59" s="421"/>
      <c r="O59" s="59" t="str">
        <f t="shared" si="86"/>
        <v/>
      </c>
      <c r="P59" s="60" t="str">
        <f t="shared" si="87"/>
        <v/>
      </c>
      <c r="Q59" s="421"/>
      <c r="R59" s="59" t="str">
        <f t="shared" si="88"/>
        <v/>
      </c>
      <c r="S59" s="61" t="str">
        <f t="shared" si="89"/>
        <v/>
      </c>
      <c r="T59" s="421"/>
      <c r="U59" s="59" t="str">
        <f t="shared" si="90"/>
        <v/>
      </c>
      <c r="V59" s="60" t="str">
        <f t="shared" si="91"/>
        <v/>
      </c>
      <c r="W59" s="422"/>
      <c r="X59" s="59" t="str">
        <f t="shared" si="92"/>
        <v/>
      </c>
      <c r="Y59" s="62" t="str">
        <f t="shared" si="93"/>
        <v/>
      </c>
      <c r="Z59" s="421"/>
      <c r="AA59" s="59" t="str">
        <f t="shared" si="94"/>
        <v/>
      </c>
      <c r="AB59" s="62" t="str">
        <f t="shared" si="95"/>
        <v/>
      </c>
      <c r="AC59" s="422"/>
      <c r="AD59" s="59" t="str">
        <f t="shared" si="96"/>
        <v/>
      </c>
      <c r="AE59" s="62" t="str">
        <f t="shared" si="97"/>
        <v/>
      </c>
      <c r="AF59" s="421"/>
      <c r="AG59" s="59" t="str">
        <f t="shared" si="98"/>
        <v/>
      </c>
      <c r="AH59" s="62" t="str">
        <f t="shared" si="99"/>
        <v/>
      </c>
      <c r="AI59" s="421"/>
      <c r="AJ59" s="59" t="str">
        <f t="shared" si="100"/>
        <v/>
      </c>
      <c r="AK59" s="62" t="str">
        <f t="shared" si="101"/>
        <v/>
      </c>
      <c r="AL59" s="421"/>
      <c r="AM59" s="59" t="str">
        <f t="shared" si="102"/>
        <v/>
      </c>
      <c r="AN59" s="62" t="str">
        <f t="shared" si="103"/>
        <v/>
      </c>
      <c r="AO59" s="421"/>
      <c r="AP59" s="59" t="str">
        <f t="shared" si="104"/>
        <v/>
      </c>
      <c r="AQ59" s="62" t="str">
        <f t="shared" si="105"/>
        <v/>
      </c>
      <c r="AR59" s="421"/>
      <c r="AS59" s="59" t="str">
        <f t="shared" si="106"/>
        <v/>
      </c>
      <c r="AT59" s="62" t="str">
        <f t="shared" si="107"/>
        <v/>
      </c>
      <c r="AU59" s="421"/>
      <c r="AV59" s="59" t="str">
        <f t="shared" si="108"/>
        <v/>
      </c>
      <c r="AW59" s="62" t="str">
        <f t="shared" si="109"/>
        <v/>
      </c>
      <c r="AX59" s="421"/>
      <c r="AY59" s="59" t="str">
        <f t="shared" si="110"/>
        <v/>
      </c>
      <c r="AZ59" s="62" t="str">
        <f t="shared" si="111"/>
        <v/>
      </c>
      <c r="BA59" s="421"/>
      <c r="BB59" s="59" t="str">
        <f t="shared" si="112"/>
        <v/>
      </c>
      <c r="BC59" s="62" t="str">
        <f t="shared" si="113"/>
        <v/>
      </c>
      <c r="BD59" s="421"/>
      <c r="BE59" s="59" t="str">
        <f t="shared" si="114"/>
        <v/>
      </c>
      <c r="BF59" s="62" t="str">
        <f t="shared" si="115"/>
        <v/>
      </c>
      <c r="BG59" s="421"/>
      <c r="BH59" s="59" t="str">
        <f t="shared" si="116"/>
        <v/>
      </c>
      <c r="BI59" s="62" t="str">
        <f t="shared" si="117"/>
        <v/>
      </c>
      <c r="BJ59" s="421"/>
      <c r="BK59" s="59" t="str">
        <f t="shared" si="118"/>
        <v/>
      </c>
      <c r="BL59" s="62" t="str">
        <f t="shared" si="119"/>
        <v/>
      </c>
      <c r="BM59" s="421"/>
      <c r="BN59" s="59" t="str">
        <f t="shared" si="120"/>
        <v/>
      </c>
      <c r="BO59" s="62" t="str">
        <f t="shared" si="121"/>
        <v/>
      </c>
      <c r="BP59" s="421"/>
      <c r="BQ59" s="59" t="str">
        <f t="shared" si="122"/>
        <v/>
      </c>
      <c r="BR59" s="62" t="str">
        <f t="shared" si="123"/>
        <v/>
      </c>
      <c r="BS59" s="421"/>
      <c r="BT59" s="59" t="str">
        <f t="shared" si="124"/>
        <v/>
      </c>
      <c r="BU59" s="62" t="str">
        <f t="shared" si="125"/>
        <v/>
      </c>
      <c r="BV59" s="421"/>
      <c r="BW59" s="59" t="str">
        <f t="shared" si="126"/>
        <v/>
      </c>
      <c r="BX59" s="62" t="str">
        <f t="shared" si="127"/>
        <v/>
      </c>
      <c r="BY59" s="421"/>
      <c r="BZ59" s="59" t="str">
        <f t="shared" si="128"/>
        <v/>
      </c>
      <c r="CA59" s="62" t="str">
        <f t="shared" si="129"/>
        <v/>
      </c>
      <c r="CB59" s="421"/>
      <c r="CC59" s="59" t="str">
        <f t="shared" si="130"/>
        <v/>
      </c>
      <c r="CD59" s="62" t="str">
        <f t="shared" si="131"/>
        <v/>
      </c>
      <c r="CE59" s="421"/>
      <c r="CF59" s="59" t="str">
        <f t="shared" si="132"/>
        <v/>
      </c>
      <c r="CG59" s="62" t="str">
        <f t="shared" si="133"/>
        <v/>
      </c>
      <c r="CH59" s="421"/>
      <c r="CI59" s="59" t="str">
        <f t="shared" si="134"/>
        <v/>
      </c>
      <c r="CJ59" s="62" t="str">
        <f t="shared" si="135"/>
        <v/>
      </c>
      <c r="CK59" s="421"/>
      <c r="CL59" s="59" t="str">
        <f t="shared" si="136"/>
        <v/>
      </c>
      <c r="CM59" s="62" t="str">
        <f t="shared" si="137"/>
        <v/>
      </c>
      <c r="CN59" s="421"/>
      <c r="CO59" s="59" t="str">
        <f t="shared" si="138"/>
        <v/>
      </c>
      <c r="CP59" s="62" t="str">
        <f t="shared" si="139"/>
        <v/>
      </c>
      <c r="CQ59" s="421"/>
      <c r="CR59" s="59" t="str">
        <f t="shared" si="140"/>
        <v/>
      </c>
      <c r="CS59" s="62" t="str">
        <f t="shared" si="141"/>
        <v/>
      </c>
      <c r="CT59" s="421"/>
      <c r="CU59" s="59" t="str">
        <f t="shared" si="142"/>
        <v/>
      </c>
      <c r="CV59" s="62" t="str">
        <f t="shared" si="143"/>
        <v/>
      </c>
      <c r="CW59" s="421"/>
      <c r="CX59" s="59" t="str">
        <f t="shared" si="144"/>
        <v/>
      </c>
      <c r="CY59" s="62" t="str">
        <f t="shared" si="145"/>
        <v/>
      </c>
      <c r="CZ59" s="421"/>
      <c r="DA59" s="59" t="str">
        <f t="shared" si="146"/>
        <v/>
      </c>
      <c r="DB59" s="62" t="str">
        <f t="shared" si="147"/>
        <v/>
      </c>
      <c r="DC59" s="421"/>
      <c r="DD59" s="59" t="str">
        <f t="shared" si="148"/>
        <v/>
      </c>
      <c r="DE59" s="62" t="str">
        <f t="shared" si="149"/>
        <v/>
      </c>
      <c r="DF59" s="421"/>
      <c r="DG59" s="59" t="str">
        <f t="shared" si="150"/>
        <v/>
      </c>
      <c r="DH59" s="62" t="str">
        <f t="shared" si="151"/>
        <v/>
      </c>
      <c r="DI59" s="421"/>
      <c r="DJ59" s="59" t="str">
        <f t="shared" si="152"/>
        <v/>
      </c>
      <c r="DK59" s="62" t="str">
        <f t="shared" si="153"/>
        <v/>
      </c>
      <c r="DL59" s="421"/>
      <c r="DM59" s="59" t="str">
        <f t="shared" si="154"/>
        <v/>
      </c>
      <c r="DN59" s="62" t="str">
        <f t="shared" si="155"/>
        <v/>
      </c>
      <c r="DO59" s="421"/>
      <c r="DP59" s="59" t="str">
        <f t="shared" si="156"/>
        <v/>
      </c>
      <c r="DQ59" s="62" t="str">
        <f t="shared" si="157"/>
        <v/>
      </c>
      <c r="DR59" s="421"/>
      <c r="DS59" s="59" t="str">
        <f t="shared" si="158"/>
        <v/>
      </c>
      <c r="DT59" s="62" t="str">
        <f t="shared" si="159"/>
        <v/>
      </c>
      <c r="DU59" s="421"/>
      <c r="DV59" s="59" t="str">
        <f t="shared" si="160"/>
        <v/>
      </c>
      <c r="DW59" s="62" t="str">
        <f t="shared" si="161"/>
        <v/>
      </c>
      <c r="DX59" s="161"/>
    </row>
    <row r="60" spans="2:128" ht="23.25" customHeight="1" x14ac:dyDescent="0.2">
      <c r="B60" s="377"/>
      <c r="C60" s="348">
        <f t="shared" si="81"/>
        <v>29</v>
      </c>
      <c r="D60" s="425"/>
      <c r="E60" s="57"/>
      <c r="F60" s="57"/>
      <c r="G60" s="420"/>
      <c r="H60" s="421"/>
      <c r="I60" s="129" t="str">
        <f t="shared" si="82"/>
        <v/>
      </c>
      <c r="J60" s="97" t="str">
        <f t="shared" si="83"/>
        <v/>
      </c>
      <c r="K60" s="421"/>
      <c r="L60" s="59" t="str">
        <f t="shared" si="84"/>
        <v/>
      </c>
      <c r="M60" s="60" t="str">
        <f t="shared" si="85"/>
        <v/>
      </c>
      <c r="N60" s="421"/>
      <c r="O60" s="59" t="str">
        <f t="shared" si="86"/>
        <v/>
      </c>
      <c r="P60" s="60" t="str">
        <f t="shared" si="87"/>
        <v/>
      </c>
      <c r="Q60" s="421"/>
      <c r="R60" s="59" t="str">
        <f t="shared" si="88"/>
        <v/>
      </c>
      <c r="S60" s="61" t="str">
        <f t="shared" si="89"/>
        <v/>
      </c>
      <c r="T60" s="421"/>
      <c r="U60" s="59" t="str">
        <f t="shared" si="90"/>
        <v/>
      </c>
      <c r="V60" s="60" t="str">
        <f t="shared" si="91"/>
        <v/>
      </c>
      <c r="W60" s="422"/>
      <c r="X60" s="59" t="str">
        <f t="shared" si="92"/>
        <v/>
      </c>
      <c r="Y60" s="62" t="str">
        <f t="shared" si="93"/>
        <v/>
      </c>
      <c r="Z60" s="421"/>
      <c r="AA60" s="59" t="str">
        <f t="shared" si="94"/>
        <v/>
      </c>
      <c r="AB60" s="62" t="str">
        <f t="shared" si="95"/>
        <v/>
      </c>
      <c r="AC60" s="422"/>
      <c r="AD60" s="59" t="str">
        <f t="shared" si="96"/>
        <v/>
      </c>
      <c r="AE60" s="62" t="str">
        <f t="shared" si="97"/>
        <v/>
      </c>
      <c r="AF60" s="421"/>
      <c r="AG60" s="59" t="str">
        <f t="shared" si="98"/>
        <v/>
      </c>
      <c r="AH60" s="62" t="str">
        <f t="shared" si="99"/>
        <v/>
      </c>
      <c r="AI60" s="421"/>
      <c r="AJ60" s="59" t="str">
        <f t="shared" si="100"/>
        <v/>
      </c>
      <c r="AK60" s="62" t="str">
        <f t="shared" si="101"/>
        <v/>
      </c>
      <c r="AL60" s="421"/>
      <c r="AM60" s="59" t="str">
        <f t="shared" si="102"/>
        <v/>
      </c>
      <c r="AN60" s="62" t="str">
        <f t="shared" si="103"/>
        <v/>
      </c>
      <c r="AO60" s="421"/>
      <c r="AP60" s="59" t="str">
        <f t="shared" si="104"/>
        <v/>
      </c>
      <c r="AQ60" s="62" t="str">
        <f t="shared" si="105"/>
        <v/>
      </c>
      <c r="AR60" s="421"/>
      <c r="AS60" s="59" t="str">
        <f t="shared" si="106"/>
        <v/>
      </c>
      <c r="AT60" s="62" t="str">
        <f t="shared" si="107"/>
        <v/>
      </c>
      <c r="AU60" s="421"/>
      <c r="AV60" s="59" t="str">
        <f t="shared" si="108"/>
        <v/>
      </c>
      <c r="AW60" s="62" t="str">
        <f t="shared" si="109"/>
        <v/>
      </c>
      <c r="AX60" s="421"/>
      <c r="AY60" s="59" t="str">
        <f t="shared" si="110"/>
        <v/>
      </c>
      <c r="AZ60" s="62" t="str">
        <f t="shared" si="111"/>
        <v/>
      </c>
      <c r="BA60" s="421"/>
      <c r="BB60" s="59" t="str">
        <f t="shared" si="112"/>
        <v/>
      </c>
      <c r="BC60" s="62" t="str">
        <f t="shared" si="113"/>
        <v/>
      </c>
      <c r="BD60" s="421"/>
      <c r="BE60" s="59" t="str">
        <f t="shared" si="114"/>
        <v/>
      </c>
      <c r="BF60" s="62" t="str">
        <f t="shared" si="115"/>
        <v/>
      </c>
      <c r="BG60" s="421"/>
      <c r="BH60" s="59" t="str">
        <f t="shared" si="116"/>
        <v/>
      </c>
      <c r="BI60" s="62" t="str">
        <f t="shared" si="117"/>
        <v/>
      </c>
      <c r="BJ60" s="421"/>
      <c r="BK60" s="59" t="str">
        <f t="shared" si="118"/>
        <v/>
      </c>
      <c r="BL60" s="62" t="str">
        <f t="shared" si="119"/>
        <v/>
      </c>
      <c r="BM60" s="421"/>
      <c r="BN60" s="59" t="str">
        <f t="shared" si="120"/>
        <v/>
      </c>
      <c r="BO60" s="62" t="str">
        <f t="shared" si="121"/>
        <v/>
      </c>
      <c r="BP60" s="421"/>
      <c r="BQ60" s="59" t="str">
        <f t="shared" si="122"/>
        <v/>
      </c>
      <c r="BR60" s="62" t="str">
        <f t="shared" si="123"/>
        <v/>
      </c>
      <c r="BS60" s="421"/>
      <c r="BT60" s="59" t="str">
        <f t="shared" si="124"/>
        <v/>
      </c>
      <c r="BU60" s="62" t="str">
        <f t="shared" si="125"/>
        <v/>
      </c>
      <c r="BV60" s="421"/>
      <c r="BW60" s="59" t="str">
        <f t="shared" si="126"/>
        <v/>
      </c>
      <c r="BX60" s="62" t="str">
        <f t="shared" si="127"/>
        <v/>
      </c>
      <c r="BY60" s="421"/>
      <c r="BZ60" s="59" t="str">
        <f t="shared" si="128"/>
        <v/>
      </c>
      <c r="CA60" s="62" t="str">
        <f t="shared" si="129"/>
        <v/>
      </c>
      <c r="CB60" s="421"/>
      <c r="CC60" s="59" t="str">
        <f t="shared" si="130"/>
        <v/>
      </c>
      <c r="CD60" s="62" t="str">
        <f t="shared" si="131"/>
        <v/>
      </c>
      <c r="CE60" s="421"/>
      <c r="CF60" s="59" t="str">
        <f t="shared" si="132"/>
        <v/>
      </c>
      <c r="CG60" s="62" t="str">
        <f t="shared" si="133"/>
        <v/>
      </c>
      <c r="CH60" s="421"/>
      <c r="CI60" s="59" t="str">
        <f t="shared" si="134"/>
        <v/>
      </c>
      <c r="CJ60" s="62" t="str">
        <f t="shared" si="135"/>
        <v/>
      </c>
      <c r="CK60" s="421"/>
      <c r="CL60" s="59" t="str">
        <f t="shared" si="136"/>
        <v/>
      </c>
      <c r="CM60" s="62" t="str">
        <f t="shared" si="137"/>
        <v/>
      </c>
      <c r="CN60" s="421"/>
      <c r="CO60" s="59" t="str">
        <f t="shared" si="138"/>
        <v/>
      </c>
      <c r="CP60" s="62" t="str">
        <f t="shared" si="139"/>
        <v/>
      </c>
      <c r="CQ60" s="421"/>
      <c r="CR60" s="59" t="str">
        <f t="shared" si="140"/>
        <v/>
      </c>
      <c r="CS60" s="62" t="str">
        <f t="shared" si="141"/>
        <v/>
      </c>
      <c r="CT60" s="421"/>
      <c r="CU60" s="59" t="str">
        <f t="shared" si="142"/>
        <v/>
      </c>
      <c r="CV60" s="62" t="str">
        <f t="shared" si="143"/>
        <v/>
      </c>
      <c r="CW60" s="421"/>
      <c r="CX60" s="59" t="str">
        <f t="shared" si="144"/>
        <v/>
      </c>
      <c r="CY60" s="62" t="str">
        <f t="shared" si="145"/>
        <v/>
      </c>
      <c r="CZ60" s="421"/>
      <c r="DA60" s="59" t="str">
        <f t="shared" si="146"/>
        <v/>
      </c>
      <c r="DB60" s="62" t="str">
        <f t="shared" si="147"/>
        <v/>
      </c>
      <c r="DC60" s="421"/>
      <c r="DD60" s="59" t="str">
        <f t="shared" si="148"/>
        <v/>
      </c>
      <c r="DE60" s="62" t="str">
        <f t="shared" si="149"/>
        <v/>
      </c>
      <c r="DF60" s="421"/>
      <c r="DG60" s="59" t="str">
        <f t="shared" si="150"/>
        <v/>
      </c>
      <c r="DH60" s="62" t="str">
        <f t="shared" si="151"/>
        <v/>
      </c>
      <c r="DI60" s="421"/>
      <c r="DJ60" s="59" t="str">
        <f t="shared" si="152"/>
        <v/>
      </c>
      <c r="DK60" s="62" t="str">
        <f t="shared" si="153"/>
        <v/>
      </c>
      <c r="DL60" s="421"/>
      <c r="DM60" s="59" t="str">
        <f t="shared" si="154"/>
        <v/>
      </c>
      <c r="DN60" s="62" t="str">
        <f t="shared" si="155"/>
        <v/>
      </c>
      <c r="DO60" s="421"/>
      <c r="DP60" s="59" t="str">
        <f t="shared" si="156"/>
        <v/>
      </c>
      <c r="DQ60" s="62" t="str">
        <f t="shared" si="157"/>
        <v/>
      </c>
      <c r="DR60" s="421"/>
      <c r="DS60" s="59" t="str">
        <f t="shared" si="158"/>
        <v/>
      </c>
      <c r="DT60" s="62" t="str">
        <f t="shared" si="159"/>
        <v/>
      </c>
      <c r="DU60" s="421"/>
      <c r="DV60" s="59" t="str">
        <f t="shared" si="160"/>
        <v/>
      </c>
      <c r="DW60" s="62" t="str">
        <f t="shared" si="161"/>
        <v/>
      </c>
      <c r="DX60" s="161"/>
    </row>
    <row r="61" spans="2:128" ht="23.25" customHeight="1" x14ac:dyDescent="0.2">
      <c r="B61" s="377"/>
      <c r="C61" s="348">
        <f t="shared" si="81"/>
        <v>30</v>
      </c>
      <c r="D61" s="425"/>
      <c r="E61" s="57"/>
      <c r="F61" s="57"/>
      <c r="G61" s="420"/>
      <c r="H61" s="421"/>
      <c r="I61" s="129" t="str">
        <f t="shared" si="82"/>
        <v/>
      </c>
      <c r="J61" s="97" t="str">
        <f t="shared" si="83"/>
        <v/>
      </c>
      <c r="K61" s="421"/>
      <c r="L61" s="59" t="str">
        <f t="shared" si="84"/>
        <v/>
      </c>
      <c r="M61" s="60" t="str">
        <f t="shared" si="85"/>
        <v/>
      </c>
      <c r="N61" s="421"/>
      <c r="O61" s="59" t="str">
        <f t="shared" si="86"/>
        <v/>
      </c>
      <c r="P61" s="60" t="str">
        <f t="shared" si="87"/>
        <v/>
      </c>
      <c r="Q61" s="421"/>
      <c r="R61" s="59" t="str">
        <f t="shared" si="88"/>
        <v/>
      </c>
      <c r="S61" s="61" t="str">
        <f t="shared" si="89"/>
        <v/>
      </c>
      <c r="T61" s="421"/>
      <c r="U61" s="59" t="str">
        <f t="shared" si="90"/>
        <v/>
      </c>
      <c r="V61" s="60" t="str">
        <f t="shared" si="91"/>
        <v/>
      </c>
      <c r="W61" s="422"/>
      <c r="X61" s="59" t="str">
        <f t="shared" si="92"/>
        <v/>
      </c>
      <c r="Y61" s="62" t="str">
        <f t="shared" si="93"/>
        <v/>
      </c>
      <c r="Z61" s="421"/>
      <c r="AA61" s="59" t="str">
        <f t="shared" si="94"/>
        <v/>
      </c>
      <c r="AB61" s="62" t="str">
        <f t="shared" si="95"/>
        <v/>
      </c>
      <c r="AC61" s="422"/>
      <c r="AD61" s="59" t="str">
        <f t="shared" si="96"/>
        <v/>
      </c>
      <c r="AE61" s="62" t="str">
        <f t="shared" si="97"/>
        <v/>
      </c>
      <c r="AF61" s="421"/>
      <c r="AG61" s="59" t="str">
        <f t="shared" si="98"/>
        <v/>
      </c>
      <c r="AH61" s="62" t="str">
        <f t="shared" si="99"/>
        <v/>
      </c>
      <c r="AI61" s="421"/>
      <c r="AJ61" s="59" t="str">
        <f t="shared" si="100"/>
        <v/>
      </c>
      <c r="AK61" s="62" t="str">
        <f t="shared" si="101"/>
        <v/>
      </c>
      <c r="AL61" s="421"/>
      <c r="AM61" s="59" t="str">
        <f t="shared" si="102"/>
        <v/>
      </c>
      <c r="AN61" s="62" t="str">
        <f t="shared" si="103"/>
        <v/>
      </c>
      <c r="AO61" s="421"/>
      <c r="AP61" s="59" t="str">
        <f t="shared" si="104"/>
        <v/>
      </c>
      <c r="AQ61" s="62" t="str">
        <f t="shared" si="105"/>
        <v/>
      </c>
      <c r="AR61" s="421"/>
      <c r="AS61" s="59" t="str">
        <f t="shared" si="106"/>
        <v/>
      </c>
      <c r="AT61" s="62" t="str">
        <f t="shared" si="107"/>
        <v/>
      </c>
      <c r="AU61" s="421"/>
      <c r="AV61" s="59" t="str">
        <f t="shared" si="108"/>
        <v/>
      </c>
      <c r="AW61" s="62" t="str">
        <f t="shared" si="109"/>
        <v/>
      </c>
      <c r="AX61" s="421"/>
      <c r="AY61" s="59" t="str">
        <f t="shared" si="110"/>
        <v/>
      </c>
      <c r="AZ61" s="62" t="str">
        <f t="shared" si="111"/>
        <v/>
      </c>
      <c r="BA61" s="421"/>
      <c r="BB61" s="59" t="str">
        <f t="shared" si="112"/>
        <v/>
      </c>
      <c r="BC61" s="62" t="str">
        <f t="shared" si="113"/>
        <v/>
      </c>
      <c r="BD61" s="421"/>
      <c r="BE61" s="59" t="str">
        <f t="shared" si="114"/>
        <v/>
      </c>
      <c r="BF61" s="62" t="str">
        <f t="shared" si="115"/>
        <v/>
      </c>
      <c r="BG61" s="421"/>
      <c r="BH61" s="59" t="str">
        <f t="shared" si="116"/>
        <v/>
      </c>
      <c r="BI61" s="62" t="str">
        <f t="shared" si="117"/>
        <v/>
      </c>
      <c r="BJ61" s="421"/>
      <c r="BK61" s="59" t="str">
        <f t="shared" si="118"/>
        <v/>
      </c>
      <c r="BL61" s="62" t="str">
        <f t="shared" si="119"/>
        <v/>
      </c>
      <c r="BM61" s="421"/>
      <c r="BN61" s="59" t="str">
        <f t="shared" si="120"/>
        <v/>
      </c>
      <c r="BO61" s="62" t="str">
        <f t="shared" si="121"/>
        <v/>
      </c>
      <c r="BP61" s="421"/>
      <c r="BQ61" s="59" t="str">
        <f t="shared" si="122"/>
        <v/>
      </c>
      <c r="BR61" s="62" t="str">
        <f t="shared" si="123"/>
        <v/>
      </c>
      <c r="BS61" s="421"/>
      <c r="BT61" s="59" t="str">
        <f t="shared" si="124"/>
        <v/>
      </c>
      <c r="BU61" s="62" t="str">
        <f t="shared" si="125"/>
        <v/>
      </c>
      <c r="BV61" s="421"/>
      <c r="BW61" s="59" t="str">
        <f t="shared" si="126"/>
        <v/>
      </c>
      <c r="BX61" s="62" t="str">
        <f t="shared" si="127"/>
        <v/>
      </c>
      <c r="BY61" s="421"/>
      <c r="BZ61" s="59" t="str">
        <f t="shared" si="128"/>
        <v/>
      </c>
      <c r="CA61" s="62" t="str">
        <f t="shared" si="129"/>
        <v/>
      </c>
      <c r="CB61" s="421"/>
      <c r="CC61" s="59" t="str">
        <f t="shared" si="130"/>
        <v/>
      </c>
      <c r="CD61" s="62" t="str">
        <f t="shared" si="131"/>
        <v/>
      </c>
      <c r="CE61" s="421"/>
      <c r="CF61" s="59" t="str">
        <f t="shared" si="132"/>
        <v/>
      </c>
      <c r="CG61" s="62" t="str">
        <f t="shared" si="133"/>
        <v/>
      </c>
      <c r="CH61" s="421"/>
      <c r="CI61" s="59" t="str">
        <f t="shared" si="134"/>
        <v/>
      </c>
      <c r="CJ61" s="62" t="str">
        <f t="shared" si="135"/>
        <v/>
      </c>
      <c r="CK61" s="421"/>
      <c r="CL61" s="59" t="str">
        <f t="shared" si="136"/>
        <v/>
      </c>
      <c r="CM61" s="62" t="str">
        <f t="shared" si="137"/>
        <v/>
      </c>
      <c r="CN61" s="421"/>
      <c r="CO61" s="59" t="str">
        <f t="shared" si="138"/>
        <v/>
      </c>
      <c r="CP61" s="62" t="str">
        <f t="shared" si="139"/>
        <v/>
      </c>
      <c r="CQ61" s="421"/>
      <c r="CR61" s="59" t="str">
        <f t="shared" si="140"/>
        <v/>
      </c>
      <c r="CS61" s="62" t="str">
        <f t="shared" si="141"/>
        <v/>
      </c>
      <c r="CT61" s="421"/>
      <c r="CU61" s="59" t="str">
        <f t="shared" si="142"/>
        <v/>
      </c>
      <c r="CV61" s="62" t="str">
        <f t="shared" si="143"/>
        <v/>
      </c>
      <c r="CW61" s="421"/>
      <c r="CX61" s="59" t="str">
        <f t="shared" si="144"/>
        <v/>
      </c>
      <c r="CY61" s="62" t="str">
        <f t="shared" si="145"/>
        <v/>
      </c>
      <c r="CZ61" s="421"/>
      <c r="DA61" s="59" t="str">
        <f t="shared" si="146"/>
        <v/>
      </c>
      <c r="DB61" s="62" t="str">
        <f t="shared" si="147"/>
        <v/>
      </c>
      <c r="DC61" s="421"/>
      <c r="DD61" s="59" t="str">
        <f t="shared" si="148"/>
        <v/>
      </c>
      <c r="DE61" s="62" t="str">
        <f t="shared" si="149"/>
        <v/>
      </c>
      <c r="DF61" s="421"/>
      <c r="DG61" s="59" t="str">
        <f t="shared" si="150"/>
        <v/>
      </c>
      <c r="DH61" s="62" t="str">
        <f t="shared" si="151"/>
        <v/>
      </c>
      <c r="DI61" s="421"/>
      <c r="DJ61" s="59" t="str">
        <f t="shared" si="152"/>
        <v/>
      </c>
      <c r="DK61" s="62" t="str">
        <f t="shared" si="153"/>
        <v/>
      </c>
      <c r="DL61" s="421"/>
      <c r="DM61" s="59" t="str">
        <f t="shared" si="154"/>
        <v/>
      </c>
      <c r="DN61" s="62" t="str">
        <f t="shared" si="155"/>
        <v/>
      </c>
      <c r="DO61" s="421"/>
      <c r="DP61" s="59" t="str">
        <f t="shared" si="156"/>
        <v/>
      </c>
      <c r="DQ61" s="62" t="str">
        <f t="shared" si="157"/>
        <v/>
      </c>
      <c r="DR61" s="421"/>
      <c r="DS61" s="59" t="str">
        <f t="shared" si="158"/>
        <v/>
      </c>
      <c r="DT61" s="62" t="str">
        <f t="shared" si="159"/>
        <v/>
      </c>
      <c r="DU61" s="421"/>
      <c r="DV61" s="59" t="str">
        <f t="shared" si="160"/>
        <v/>
      </c>
      <c r="DW61" s="62" t="str">
        <f t="shared" si="161"/>
        <v/>
      </c>
      <c r="DX61" s="161"/>
    </row>
    <row r="62" spans="2:128" ht="23.25" customHeight="1" x14ac:dyDescent="0.2">
      <c r="B62" s="377"/>
      <c r="C62" s="348">
        <f t="shared" si="81"/>
        <v>31</v>
      </c>
      <c r="D62" s="425"/>
      <c r="E62" s="57"/>
      <c r="F62" s="57"/>
      <c r="G62" s="420"/>
      <c r="H62" s="421"/>
      <c r="I62" s="129" t="str">
        <f t="shared" si="82"/>
        <v/>
      </c>
      <c r="J62" s="97" t="str">
        <f t="shared" si="83"/>
        <v/>
      </c>
      <c r="K62" s="421"/>
      <c r="L62" s="59" t="str">
        <f t="shared" si="84"/>
        <v/>
      </c>
      <c r="M62" s="60" t="str">
        <f t="shared" si="85"/>
        <v/>
      </c>
      <c r="N62" s="421"/>
      <c r="O62" s="59" t="str">
        <f t="shared" si="86"/>
        <v/>
      </c>
      <c r="P62" s="60" t="str">
        <f t="shared" si="87"/>
        <v/>
      </c>
      <c r="Q62" s="421"/>
      <c r="R62" s="59" t="str">
        <f t="shared" si="88"/>
        <v/>
      </c>
      <c r="S62" s="61" t="str">
        <f t="shared" si="89"/>
        <v/>
      </c>
      <c r="T62" s="421"/>
      <c r="U62" s="59" t="str">
        <f t="shared" si="90"/>
        <v/>
      </c>
      <c r="V62" s="60" t="str">
        <f t="shared" si="91"/>
        <v/>
      </c>
      <c r="W62" s="422"/>
      <c r="X62" s="59" t="str">
        <f t="shared" si="92"/>
        <v/>
      </c>
      <c r="Y62" s="62" t="str">
        <f t="shared" si="93"/>
        <v/>
      </c>
      <c r="Z62" s="421"/>
      <c r="AA62" s="59" t="str">
        <f t="shared" si="94"/>
        <v/>
      </c>
      <c r="AB62" s="62" t="str">
        <f t="shared" si="95"/>
        <v/>
      </c>
      <c r="AC62" s="422"/>
      <c r="AD62" s="59" t="str">
        <f t="shared" si="96"/>
        <v/>
      </c>
      <c r="AE62" s="62" t="str">
        <f t="shared" si="97"/>
        <v/>
      </c>
      <c r="AF62" s="421"/>
      <c r="AG62" s="59" t="str">
        <f t="shared" si="98"/>
        <v/>
      </c>
      <c r="AH62" s="62" t="str">
        <f t="shared" si="99"/>
        <v/>
      </c>
      <c r="AI62" s="421"/>
      <c r="AJ62" s="59" t="str">
        <f t="shared" si="100"/>
        <v/>
      </c>
      <c r="AK62" s="62" t="str">
        <f t="shared" si="101"/>
        <v/>
      </c>
      <c r="AL62" s="421"/>
      <c r="AM62" s="59" t="str">
        <f t="shared" si="102"/>
        <v/>
      </c>
      <c r="AN62" s="62" t="str">
        <f t="shared" si="103"/>
        <v/>
      </c>
      <c r="AO62" s="421"/>
      <c r="AP62" s="59" t="str">
        <f t="shared" si="104"/>
        <v/>
      </c>
      <c r="AQ62" s="62" t="str">
        <f t="shared" si="105"/>
        <v/>
      </c>
      <c r="AR62" s="421"/>
      <c r="AS62" s="59" t="str">
        <f t="shared" si="106"/>
        <v/>
      </c>
      <c r="AT62" s="62" t="str">
        <f t="shared" si="107"/>
        <v/>
      </c>
      <c r="AU62" s="421"/>
      <c r="AV62" s="59" t="str">
        <f t="shared" si="108"/>
        <v/>
      </c>
      <c r="AW62" s="62" t="str">
        <f t="shared" si="109"/>
        <v/>
      </c>
      <c r="AX62" s="421"/>
      <c r="AY62" s="59" t="str">
        <f t="shared" si="110"/>
        <v/>
      </c>
      <c r="AZ62" s="62" t="str">
        <f t="shared" si="111"/>
        <v/>
      </c>
      <c r="BA62" s="421"/>
      <c r="BB62" s="59" t="str">
        <f t="shared" si="112"/>
        <v/>
      </c>
      <c r="BC62" s="62" t="str">
        <f t="shared" si="113"/>
        <v/>
      </c>
      <c r="BD62" s="421"/>
      <c r="BE62" s="59" t="str">
        <f t="shared" si="114"/>
        <v/>
      </c>
      <c r="BF62" s="62" t="str">
        <f t="shared" si="115"/>
        <v/>
      </c>
      <c r="BG62" s="421"/>
      <c r="BH62" s="59" t="str">
        <f t="shared" si="116"/>
        <v/>
      </c>
      <c r="BI62" s="62" t="str">
        <f t="shared" si="117"/>
        <v/>
      </c>
      <c r="BJ62" s="421"/>
      <c r="BK62" s="59" t="str">
        <f t="shared" si="118"/>
        <v/>
      </c>
      <c r="BL62" s="62" t="str">
        <f t="shared" si="119"/>
        <v/>
      </c>
      <c r="BM62" s="421"/>
      <c r="BN62" s="59" t="str">
        <f t="shared" si="120"/>
        <v/>
      </c>
      <c r="BO62" s="62" t="str">
        <f t="shared" si="121"/>
        <v/>
      </c>
      <c r="BP62" s="421"/>
      <c r="BQ62" s="59" t="str">
        <f t="shared" si="122"/>
        <v/>
      </c>
      <c r="BR62" s="62" t="str">
        <f t="shared" si="123"/>
        <v/>
      </c>
      <c r="BS62" s="421"/>
      <c r="BT62" s="59" t="str">
        <f t="shared" si="124"/>
        <v/>
      </c>
      <c r="BU62" s="62" t="str">
        <f t="shared" si="125"/>
        <v/>
      </c>
      <c r="BV62" s="421"/>
      <c r="BW62" s="59" t="str">
        <f t="shared" si="126"/>
        <v/>
      </c>
      <c r="BX62" s="62" t="str">
        <f t="shared" si="127"/>
        <v/>
      </c>
      <c r="BY62" s="421"/>
      <c r="BZ62" s="59" t="str">
        <f t="shared" si="128"/>
        <v/>
      </c>
      <c r="CA62" s="62" t="str">
        <f t="shared" si="129"/>
        <v/>
      </c>
      <c r="CB62" s="421"/>
      <c r="CC62" s="59" t="str">
        <f t="shared" si="130"/>
        <v/>
      </c>
      <c r="CD62" s="62" t="str">
        <f t="shared" si="131"/>
        <v/>
      </c>
      <c r="CE62" s="421"/>
      <c r="CF62" s="59" t="str">
        <f t="shared" si="132"/>
        <v/>
      </c>
      <c r="CG62" s="62" t="str">
        <f t="shared" si="133"/>
        <v/>
      </c>
      <c r="CH62" s="421"/>
      <c r="CI62" s="59" t="str">
        <f t="shared" si="134"/>
        <v/>
      </c>
      <c r="CJ62" s="62" t="str">
        <f t="shared" si="135"/>
        <v/>
      </c>
      <c r="CK62" s="421"/>
      <c r="CL62" s="59" t="str">
        <f t="shared" si="136"/>
        <v/>
      </c>
      <c r="CM62" s="62" t="str">
        <f t="shared" si="137"/>
        <v/>
      </c>
      <c r="CN62" s="421"/>
      <c r="CO62" s="59" t="str">
        <f t="shared" si="138"/>
        <v/>
      </c>
      <c r="CP62" s="62" t="str">
        <f t="shared" si="139"/>
        <v/>
      </c>
      <c r="CQ62" s="421"/>
      <c r="CR62" s="59" t="str">
        <f t="shared" si="140"/>
        <v/>
      </c>
      <c r="CS62" s="62" t="str">
        <f t="shared" si="141"/>
        <v/>
      </c>
      <c r="CT62" s="421"/>
      <c r="CU62" s="59" t="str">
        <f t="shared" si="142"/>
        <v/>
      </c>
      <c r="CV62" s="62" t="str">
        <f t="shared" si="143"/>
        <v/>
      </c>
      <c r="CW62" s="421"/>
      <c r="CX62" s="59" t="str">
        <f t="shared" si="144"/>
        <v/>
      </c>
      <c r="CY62" s="62" t="str">
        <f t="shared" si="145"/>
        <v/>
      </c>
      <c r="CZ62" s="421"/>
      <c r="DA62" s="59" t="str">
        <f t="shared" si="146"/>
        <v/>
      </c>
      <c r="DB62" s="62" t="str">
        <f t="shared" si="147"/>
        <v/>
      </c>
      <c r="DC62" s="421"/>
      <c r="DD62" s="59" t="str">
        <f t="shared" si="148"/>
        <v/>
      </c>
      <c r="DE62" s="62" t="str">
        <f t="shared" si="149"/>
        <v/>
      </c>
      <c r="DF62" s="421"/>
      <c r="DG62" s="59" t="str">
        <f t="shared" si="150"/>
        <v/>
      </c>
      <c r="DH62" s="62" t="str">
        <f t="shared" si="151"/>
        <v/>
      </c>
      <c r="DI62" s="421"/>
      <c r="DJ62" s="59" t="str">
        <f t="shared" si="152"/>
        <v/>
      </c>
      <c r="DK62" s="62" t="str">
        <f t="shared" si="153"/>
        <v/>
      </c>
      <c r="DL62" s="421"/>
      <c r="DM62" s="59" t="str">
        <f t="shared" si="154"/>
        <v/>
      </c>
      <c r="DN62" s="62" t="str">
        <f t="shared" si="155"/>
        <v/>
      </c>
      <c r="DO62" s="421"/>
      <c r="DP62" s="59" t="str">
        <f t="shared" si="156"/>
        <v/>
      </c>
      <c r="DQ62" s="62" t="str">
        <f t="shared" si="157"/>
        <v/>
      </c>
      <c r="DR62" s="421"/>
      <c r="DS62" s="59" t="str">
        <f t="shared" si="158"/>
        <v/>
      </c>
      <c r="DT62" s="62" t="str">
        <f t="shared" si="159"/>
        <v/>
      </c>
      <c r="DU62" s="421"/>
      <c r="DV62" s="59" t="str">
        <f t="shared" si="160"/>
        <v/>
      </c>
      <c r="DW62" s="62" t="str">
        <f t="shared" si="161"/>
        <v/>
      </c>
      <c r="DX62" s="161"/>
    </row>
    <row r="63" spans="2:128" ht="23.25" customHeight="1" x14ac:dyDescent="0.2">
      <c r="B63" s="377"/>
      <c r="C63" s="348">
        <f t="shared" si="81"/>
        <v>32</v>
      </c>
      <c r="D63" s="425"/>
      <c r="E63" s="57"/>
      <c r="F63" s="57"/>
      <c r="G63" s="420"/>
      <c r="H63" s="421"/>
      <c r="I63" s="129" t="str">
        <f t="shared" si="82"/>
        <v/>
      </c>
      <c r="J63" s="97" t="str">
        <f t="shared" si="83"/>
        <v/>
      </c>
      <c r="K63" s="421"/>
      <c r="L63" s="59" t="str">
        <f t="shared" si="84"/>
        <v/>
      </c>
      <c r="M63" s="60" t="str">
        <f t="shared" si="85"/>
        <v/>
      </c>
      <c r="N63" s="421"/>
      <c r="O63" s="59" t="str">
        <f t="shared" si="86"/>
        <v/>
      </c>
      <c r="P63" s="60" t="str">
        <f t="shared" si="87"/>
        <v/>
      </c>
      <c r="Q63" s="421"/>
      <c r="R63" s="59" t="str">
        <f t="shared" si="88"/>
        <v/>
      </c>
      <c r="S63" s="61" t="str">
        <f t="shared" si="89"/>
        <v/>
      </c>
      <c r="T63" s="421"/>
      <c r="U63" s="59" t="str">
        <f t="shared" si="90"/>
        <v/>
      </c>
      <c r="V63" s="60" t="str">
        <f t="shared" si="91"/>
        <v/>
      </c>
      <c r="W63" s="422"/>
      <c r="X63" s="59" t="str">
        <f t="shared" si="92"/>
        <v/>
      </c>
      <c r="Y63" s="62" t="str">
        <f t="shared" si="93"/>
        <v/>
      </c>
      <c r="Z63" s="421"/>
      <c r="AA63" s="59" t="str">
        <f t="shared" si="94"/>
        <v/>
      </c>
      <c r="AB63" s="62" t="str">
        <f t="shared" si="95"/>
        <v/>
      </c>
      <c r="AC63" s="422"/>
      <c r="AD63" s="59" t="str">
        <f t="shared" si="96"/>
        <v/>
      </c>
      <c r="AE63" s="62" t="str">
        <f t="shared" si="97"/>
        <v/>
      </c>
      <c r="AF63" s="421"/>
      <c r="AG63" s="59" t="str">
        <f t="shared" si="98"/>
        <v/>
      </c>
      <c r="AH63" s="62" t="str">
        <f t="shared" si="99"/>
        <v/>
      </c>
      <c r="AI63" s="421"/>
      <c r="AJ63" s="59" t="str">
        <f t="shared" si="100"/>
        <v/>
      </c>
      <c r="AK63" s="62" t="str">
        <f t="shared" si="101"/>
        <v/>
      </c>
      <c r="AL63" s="421"/>
      <c r="AM63" s="59" t="str">
        <f t="shared" si="102"/>
        <v/>
      </c>
      <c r="AN63" s="62" t="str">
        <f t="shared" si="103"/>
        <v/>
      </c>
      <c r="AO63" s="421"/>
      <c r="AP63" s="59" t="str">
        <f t="shared" si="104"/>
        <v/>
      </c>
      <c r="AQ63" s="62" t="str">
        <f t="shared" si="105"/>
        <v/>
      </c>
      <c r="AR63" s="421"/>
      <c r="AS63" s="59" t="str">
        <f t="shared" si="106"/>
        <v/>
      </c>
      <c r="AT63" s="62" t="str">
        <f t="shared" si="107"/>
        <v/>
      </c>
      <c r="AU63" s="421"/>
      <c r="AV63" s="59" t="str">
        <f t="shared" si="108"/>
        <v/>
      </c>
      <c r="AW63" s="62" t="str">
        <f t="shared" si="109"/>
        <v/>
      </c>
      <c r="AX63" s="421"/>
      <c r="AY63" s="59" t="str">
        <f t="shared" si="110"/>
        <v/>
      </c>
      <c r="AZ63" s="62" t="str">
        <f t="shared" si="111"/>
        <v/>
      </c>
      <c r="BA63" s="421"/>
      <c r="BB63" s="59" t="str">
        <f t="shared" si="112"/>
        <v/>
      </c>
      <c r="BC63" s="62" t="str">
        <f t="shared" si="113"/>
        <v/>
      </c>
      <c r="BD63" s="421"/>
      <c r="BE63" s="59" t="str">
        <f t="shared" si="114"/>
        <v/>
      </c>
      <c r="BF63" s="62" t="str">
        <f t="shared" si="115"/>
        <v/>
      </c>
      <c r="BG63" s="421"/>
      <c r="BH63" s="59" t="str">
        <f t="shared" si="116"/>
        <v/>
      </c>
      <c r="BI63" s="62" t="str">
        <f t="shared" si="117"/>
        <v/>
      </c>
      <c r="BJ63" s="421"/>
      <c r="BK63" s="59" t="str">
        <f t="shared" si="118"/>
        <v/>
      </c>
      <c r="BL63" s="62" t="str">
        <f t="shared" si="119"/>
        <v/>
      </c>
      <c r="BM63" s="421"/>
      <c r="BN63" s="59" t="str">
        <f t="shared" si="120"/>
        <v/>
      </c>
      <c r="BO63" s="62" t="str">
        <f t="shared" si="121"/>
        <v/>
      </c>
      <c r="BP63" s="421"/>
      <c r="BQ63" s="59" t="str">
        <f t="shared" si="122"/>
        <v/>
      </c>
      <c r="BR63" s="62" t="str">
        <f t="shared" si="123"/>
        <v/>
      </c>
      <c r="BS63" s="421"/>
      <c r="BT63" s="59" t="str">
        <f t="shared" si="124"/>
        <v/>
      </c>
      <c r="BU63" s="62" t="str">
        <f t="shared" si="125"/>
        <v/>
      </c>
      <c r="BV63" s="421"/>
      <c r="BW63" s="59" t="str">
        <f t="shared" si="126"/>
        <v/>
      </c>
      <c r="BX63" s="62" t="str">
        <f t="shared" si="127"/>
        <v/>
      </c>
      <c r="BY63" s="421"/>
      <c r="BZ63" s="59" t="str">
        <f t="shared" si="128"/>
        <v/>
      </c>
      <c r="CA63" s="62" t="str">
        <f t="shared" si="129"/>
        <v/>
      </c>
      <c r="CB63" s="421"/>
      <c r="CC63" s="59" t="str">
        <f t="shared" si="130"/>
        <v/>
      </c>
      <c r="CD63" s="62" t="str">
        <f t="shared" si="131"/>
        <v/>
      </c>
      <c r="CE63" s="421"/>
      <c r="CF63" s="59" t="str">
        <f t="shared" si="132"/>
        <v/>
      </c>
      <c r="CG63" s="62" t="str">
        <f t="shared" si="133"/>
        <v/>
      </c>
      <c r="CH63" s="421"/>
      <c r="CI63" s="59" t="str">
        <f t="shared" si="134"/>
        <v/>
      </c>
      <c r="CJ63" s="62" t="str">
        <f t="shared" si="135"/>
        <v/>
      </c>
      <c r="CK63" s="421"/>
      <c r="CL63" s="59" t="str">
        <f t="shared" si="136"/>
        <v/>
      </c>
      <c r="CM63" s="62" t="str">
        <f t="shared" si="137"/>
        <v/>
      </c>
      <c r="CN63" s="421"/>
      <c r="CO63" s="59" t="str">
        <f t="shared" si="138"/>
        <v/>
      </c>
      <c r="CP63" s="62" t="str">
        <f t="shared" si="139"/>
        <v/>
      </c>
      <c r="CQ63" s="421"/>
      <c r="CR63" s="59" t="str">
        <f t="shared" si="140"/>
        <v/>
      </c>
      <c r="CS63" s="62" t="str">
        <f t="shared" si="141"/>
        <v/>
      </c>
      <c r="CT63" s="421"/>
      <c r="CU63" s="59" t="str">
        <f t="shared" si="142"/>
        <v/>
      </c>
      <c r="CV63" s="62" t="str">
        <f t="shared" si="143"/>
        <v/>
      </c>
      <c r="CW63" s="421"/>
      <c r="CX63" s="59" t="str">
        <f t="shared" si="144"/>
        <v/>
      </c>
      <c r="CY63" s="62" t="str">
        <f t="shared" si="145"/>
        <v/>
      </c>
      <c r="CZ63" s="421"/>
      <c r="DA63" s="59" t="str">
        <f t="shared" si="146"/>
        <v/>
      </c>
      <c r="DB63" s="62" t="str">
        <f t="shared" si="147"/>
        <v/>
      </c>
      <c r="DC63" s="421"/>
      <c r="DD63" s="59" t="str">
        <f t="shared" si="148"/>
        <v/>
      </c>
      <c r="DE63" s="62" t="str">
        <f t="shared" si="149"/>
        <v/>
      </c>
      <c r="DF63" s="421"/>
      <c r="DG63" s="59" t="str">
        <f t="shared" si="150"/>
        <v/>
      </c>
      <c r="DH63" s="62" t="str">
        <f t="shared" si="151"/>
        <v/>
      </c>
      <c r="DI63" s="421"/>
      <c r="DJ63" s="59" t="str">
        <f t="shared" si="152"/>
        <v/>
      </c>
      <c r="DK63" s="62" t="str">
        <f t="shared" si="153"/>
        <v/>
      </c>
      <c r="DL63" s="421"/>
      <c r="DM63" s="59" t="str">
        <f t="shared" si="154"/>
        <v/>
      </c>
      <c r="DN63" s="62" t="str">
        <f t="shared" si="155"/>
        <v/>
      </c>
      <c r="DO63" s="421"/>
      <c r="DP63" s="59" t="str">
        <f t="shared" si="156"/>
        <v/>
      </c>
      <c r="DQ63" s="62" t="str">
        <f t="shared" si="157"/>
        <v/>
      </c>
      <c r="DR63" s="421"/>
      <c r="DS63" s="59" t="str">
        <f t="shared" si="158"/>
        <v/>
      </c>
      <c r="DT63" s="62" t="str">
        <f t="shared" si="159"/>
        <v/>
      </c>
      <c r="DU63" s="421"/>
      <c r="DV63" s="59" t="str">
        <f t="shared" si="160"/>
        <v/>
      </c>
      <c r="DW63" s="62" t="str">
        <f t="shared" si="161"/>
        <v/>
      </c>
      <c r="DX63" s="161"/>
    </row>
    <row r="64" spans="2:128" ht="23.25" customHeight="1" x14ac:dyDescent="0.2">
      <c r="B64" s="377"/>
      <c r="C64" s="348">
        <f t="shared" si="81"/>
        <v>33</v>
      </c>
      <c r="D64" s="425"/>
      <c r="E64" s="57"/>
      <c r="F64" s="57"/>
      <c r="G64" s="420"/>
      <c r="H64" s="421"/>
      <c r="I64" s="129" t="str">
        <f t="shared" si="82"/>
        <v/>
      </c>
      <c r="J64" s="97" t="str">
        <f t="shared" si="83"/>
        <v/>
      </c>
      <c r="K64" s="421"/>
      <c r="L64" s="59" t="str">
        <f t="shared" si="84"/>
        <v/>
      </c>
      <c r="M64" s="60" t="str">
        <f t="shared" si="85"/>
        <v/>
      </c>
      <c r="N64" s="421"/>
      <c r="O64" s="59" t="str">
        <f t="shared" si="86"/>
        <v/>
      </c>
      <c r="P64" s="60" t="str">
        <f t="shared" si="87"/>
        <v/>
      </c>
      <c r="Q64" s="421"/>
      <c r="R64" s="59" t="str">
        <f t="shared" si="88"/>
        <v/>
      </c>
      <c r="S64" s="61" t="str">
        <f t="shared" si="89"/>
        <v/>
      </c>
      <c r="T64" s="421"/>
      <c r="U64" s="59" t="str">
        <f t="shared" si="90"/>
        <v/>
      </c>
      <c r="V64" s="60" t="str">
        <f t="shared" si="91"/>
        <v/>
      </c>
      <c r="W64" s="422"/>
      <c r="X64" s="59" t="str">
        <f t="shared" si="92"/>
        <v/>
      </c>
      <c r="Y64" s="62" t="str">
        <f t="shared" si="93"/>
        <v/>
      </c>
      <c r="Z64" s="421"/>
      <c r="AA64" s="59" t="str">
        <f t="shared" si="94"/>
        <v/>
      </c>
      <c r="AB64" s="62" t="str">
        <f t="shared" si="95"/>
        <v/>
      </c>
      <c r="AC64" s="422"/>
      <c r="AD64" s="59" t="str">
        <f t="shared" si="96"/>
        <v/>
      </c>
      <c r="AE64" s="62" t="str">
        <f t="shared" si="97"/>
        <v/>
      </c>
      <c r="AF64" s="421"/>
      <c r="AG64" s="59" t="str">
        <f t="shared" si="98"/>
        <v/>
      </c>
      <c r="AH64" s="62" t="str">
        <f t="shared" si="99"/>
        <v/>
      </c>
      <c r="AI64" s="421"/>
      <c r="AJ64" s="59" t="str">
        <f t="shared" si="100"/>
        <v/>
      </c>
      <c r="AK64" s="62" t="str">
        <f t="shared" si="101"/>
        <v/>
      </c>
      <c r="AL64" s="421"/>
      <c r="AM64" s="59" t="str">
        <f t="shared" si="102"/>
        <v/>
      </c>
      <c r="AN64" s="62" t="str">
        <f t="shared" si="103"/>
        <v/>
      </c>
      <c r="AO64" s="421"/>
      <c r="AP64" s="59" t="str">
        <f t="shared" si="104"/>
        <v/>
      </c>
      <c r="AQ64" s="62" t="str">
        <f t="shared" si="105"/>
        <v/>
      </c>
      <c r="AR64" s="421"/>
      <c r="AS64" s="59" t="str">
        <f t="shared" si="106"/>
        <v/>
      </c>
      <c r="AT64" s="62" t="str">
        <f t="shared" si="107"/>
        <v/>
      </c>
      <c r="AU64" s="421"/>
      <c r="AV64" s="59" t="str">
        <f t="shared" si="108"/>
        <v/>
      </c>
      <c r="AW64" s="62" t="str">
        <f t="shared" si="109"/>
        <v/>
      </c>
      <c r="AX64" s="421"/>
      <c r="AY64" s="59" t="str">
        <f t="shared" si="110"/>
        <v/>
      </c>
      <c r="AZ64" s="62" t="str">
        <f t="shared" si="111"/>
        <v/>
      </c>
      <c r="BA64" s="421"/>
      <c r="BB64" s="59" t="str">
        <f t="shared" si="112"/>
        <v/>
      </c>
      <c r="BC64" s="62" t="str">
        <f t="shared" si="113"/>
        <v/>
      </c>
      <c r="BD64" s="421"/>
      <c r="BE64" s="59" t="str">
        <f t="shared" si="114"/>
        <v/>
      </c>
      <c r="BF64" s="62" t="str">
        <f t="shared" si="115"/>
        <v/>
      </c>
      <c r="BG64" s="421"/>
      <c r="BH64" s="59" t="str">
        <f t="shared" si="116"/>
        <v/>
      </c>
      <c r="BI64" s="62" t="str">
        <f t="shared" si="117"/>
        <v/>
      </c>
      <c r="BJ64" s="421"/>
      <c r="BK64" s="59" t="str">
        <f t="shared" si="118"/>
        <v/>
      </c>
      <c r="BL64" s="62" t="str">
        <f t="shared" si="119"/>
        <v/>
      </c>
      <c r="BM64" s="421"/>
      <c r="BN64" s="59" t="str">
        <f t="shared" si="120"/>
        <v/>
      </c>
      <c r="BO64" s="62" t="str">
        <f t="shared" si="121"/>
        <v/>
      </c>
      <c r="BP64" s="421"/>
      <c r="BQ64" s="59" t="str">
        <f t="shared" si="122"/>
        <v/>
      </c>
      <c r="BR64" s="62" t="str">
        <f t="shared" si="123"/>
        <v/>
      </c>
      <c r="BS64" s="421"/>
      <c r="BT64" s="59" t="str">
        <f t="shared" si="124"/>
        <v/>
      </c>
      <c r="BU64" s="62" t="str">
        <f t="shared" si="125"/>
        <v/>
      </c>
      <c r="BV64" s="421"/>
      <c r="BW64" s="59" t="str">
        <f t="shared" si="126"/>
        <v/>
      </c>
      <c r="BX64" s="62" t="str">
        <f t="shared" si="127"/>
        <v/>
      </c>
      <c r="BY64" s="421"/>
      <c r="BZ64" s="59" t="str">
        <f t="shared" si="128"/>
        <v/>
      </c>
      <c r="CA64" s="62" t="str">
        <f t="shared" si="129"/>
        <v/>
      </c>
      <c r="CB64" s="421"/>
      <c r="CC64" s="59" t="str">
        <f t="shared" si="130"/>
        <v/>
      </c>
      <c r="CD64" s="62" t="str">
        <f t="shared" si="131"/>
        <v/>
      </c>
      <c r="CE64" s="421"/>
      <c r="CF64" s="59" t="str">
        <f t="shared" si="132"/>
        <v/>
      </c>
      <c r="CG64" s="62" t="str">
        <f t="shared" si="133"/>
        <v/>
      </c>
      <c r="CH64" s="421"/>
      <c r="CI64" s="59" t="str">
        <f t="shared" si="134"/>
        <v/>
      </c>
      <c r="CJ64" s="62" t="str">
        <f t="shared" si="135"/>
        <v/>
      </c>
      <c r="CK64" s="421"/>
      <c r="CL64" s="59" t="str">
        <f t="shared" si="136"/>
        <v/>
      </c>
      <c r="CM64" s="62" t="str">
        <f t="shared" si="137"/>
        <v/>
      </c>
      <c r="CN64" s="421"/>
      <c r="CO64" s="59" t="str">
        <f t="shared" si="138"/>
        <v/>
      </c>
      <c r="CP64" s="62" t="str">
        <f t="shared" si="139"/>
        <v/>
      </c>
      <c r="CQ64" s="421"/>
      <c r="CR64" s="59" t="str">
        <f t="shared" si="140"/>
        <v/>
      </c>
      <c r="CS64" s="62" t="str">
        <f t="shared" si="141"/>
        <v/>
      </c>
      <c r="CT64" s="421"/>
      <c r="CU64" s="59" t="str">
        <f t="shared" si="142"/>
        <v/>
      </c>
      <c r="CV64" s="62" t="str">
        <f t="shared" si="143"/>
        <v/>
      </c>
      <c r="CW64" s="421"/>
      <c r="CX64" s="59" t="str">
        <f t="shared" si="144"/>
        <v/>
      </c>
      <c r="CY64" s="62" t="str">
        <f t="shared" si="145"/>
        <v/>
      </c>
      <c r="CZ64" s="421"/>
      <c r="DA64" s="59" t="str">
        <f t="shared" si="146"/>
        <v/>
      </c>
      <c r="DB64" s="62" t="str">
        <f t="shared" si="147"/>
        <v/>
      </c>
      <c r="DC64" s="421"/>
      <c r="DD64" s="59" t="str">
        <f t="shared" si="148"/>
        <v/>
      </c>
      <c r="DE64" s="62" t="str">
        <f t="shared" si="149"/>
        <v/>
      </c>
      <c r="DF64" s="421"/>
      <c r="DG64" s="59" t="str">
        <f t="shared" si="150"/>
        <v/>
      </c>
      <c r="DH64" s="62" t="str">
        <f t="shared" si="151"/>
        <v/>
      </c>
      <c r="DI64" s="421"/>
      <c r="DJ64" s="59" t="str">
        <f t="shared" si="152"/>
        <v/>
      </c>
      <c r="DK64" s="62" t="str">
        <f t="shared" si="153"/>
        <v/>
      </c>
      <c r="DL64" s="421"/>
      <c r="DM64" s="59" t="str">
        <f t="shared" si="154"/>
        <v/>
      </c>
      <c r="DN64" s="62" t="str">
        <f t="shared" si="155"/>
        <v/>
      </c>
      <c r="DO64" s="421"/>
      <c r="DP64" s="59" t="str">
        <f t="shared" si="156"/>
        <v/>
      </c>
      <c r="DQ64" s="62" t="str">
        <f t="shared" si="157"/>
        <v/>
      </c>
      <c r="DR64" s="421"/>
      <c r="DS64" s="59" t="str">
        <f t="shared" si="158"/>
        <v/>
      </c>
      <c r="DT64" s="62" t="str">
        <f t="shared" si="159"/>
        <v/>
      </c>
      <c r="DU64" s="421"/>
      <c r="DV64" s="59" t="str">
        <f t="shared" si="160"/>
        <v/>
      </c>
      <c r="DW64" s="62" t="str">
        <f t="shared" si="161"/>
        <v/>
      </c>
      <c r="DX64" s="161"/>
    </row>
    <row r="65" spans="2:128" ht="23.25" customHeight="1" x14ac:dyDescent="0.2">
      <c r="B65" s="377"/>
      <c r="C65" s="348">
        <f t="shared" si="81"/>
        <v>34</v>
      </c>
      <c r="D65" s="425"/>
      <c r="E65" s="57"/>
      <c r="F65" s="57"/>
      <c r="G65" s="420"/>
      <c r="H65" s="421"/>
      <c r="I65" s="129" t="str">
        <f t="shared" si="82"/>
        <v/>
      </c>
      <c r="J65" s="97" t="str">
        <f t="shared" si="83"/>
        <v/>
      </c>
      <c r="K65" s="421"/>
      <c r="L65" s="59" t="str">
        <f t="shared" si="84"/>
        <v/>
      </c>
      <c r="M65" s="60" t="str">
        <f t="shared" si="85"/>
        <v/>
      </c>
      <c r="N65" s="421"/>
      <c r="O65" s="59" t="str">
        <f t="shared" si="86"/>
        <v/>
      </c>
      <c r="P65" s="60" t="str">
        <f t="shared" si="87"/>
        <v/>
      </c>
      <c r="Q65" s="421"/>
      <c r="R65" s="59" t="str">
        <f t="shared" si="88"/>
        <v/>
      </c>
      <c r="S65" s="61" t="str">
        <f t="shared" si="89"/>
        <v/>
      </c>
      <c r="T65" s="421"/>
      <c r="U65" s="59" t="str">
        <f t="shared" si="90"/>
        <v/>
      </c>
      <c r="V65" s="60" t="str">
        <f t="shared" si="91"/>
        <v/>
      </c>
      <c r="W65" s="422"/>
      <c r="X65" s="59" t="str">
        <f t="shared" si="92"/>
        <v/>
      </c>
      <c r="Y65" s="62" t="str">
        <f t="shared" si="93"/>
        <v/>
      </c>
      <c r="Z65" s="421"/>
      <c r="AA65" s="59" t="str">
        <f t="shared" si="94"/>
        <v/>
      </c>
      <c r="AB65" s="62" t="str">
        <f t="shared" si="95"/>
        <v/>
      </c>
      <c r="AC65" s="422"/>
      <c r="AD65" s="59" t="str">
        <f t="shared" si="96"/>
        <v/>
      </c>
      <c r="AE65" s="62" t="str">
        <f t="shared" si="97"/>
        <v/>
      </c>
      <c r="AF65" s="421"/>
      <c r="AG65" s="59" t="str">
        <f t="shared" si="98"/>
        <v/>
      </c>
      <c r="AH65" s="62" t="str">
        <f t="shared" si="99"/>
        <v/>
      </c>
      <c r="AI65" s="421"/>
      <c r="AJ65" s="59" t="str">
        <f t="shared" si="100"/>
        <v/>
      </c>
      <c r="AK65" s="62" t="str">
        <f t="shared" si="101"/>
        <v/>
      </c>
      <c r="AL65" s="421"/>
      <c r="AM65" s="59" t="str">
        <f t="shared" si="102"/>
        <v/>
      </c>
      <c r="AN65" s="62" t="str">
        <f t="shared" si="103"/>
        <v/>
      </c>
      <c r="AO65" s="421"/>
      <c r="AP65" s="59" t="str">
        <f t="shared" si="104"/>
        <v/>
      </c>
      <c r="AQ65" s="62" t="str">
        <f t="shared" si="105"/>
        <v/>
      </c>
      <c r="AR65" s="421"/>
      <c r="AS65" s="59" t="str">
        <f t="shared" si="106"/>
        <v/>
      </c>
      <c r="AT65" s="62" t="str">
        <f t="shared" si="107"/>
        <v/>
      </c>
      <c r="AU65" s="421"/>
      <c r="AV65" s="59" t="str">
        <f t="shared" si="108"/>
        <v/>
      </c>
      <c r="AW65" s="62" t="str">
        <f t="shared" si="109"/>
        <v/>
      </c>
      <c r="AX65" s="421"/>
      <c r="AY65" s="59" t="str">
        <f t="shared" si="110"/>
        <v/>
      </c>
      <c r="AZ65" s="62" t="str">
        <f t="shared" si="111"/>
        <v/>
      </c>
      <c r="BA65" s="421"/>
      <c r="BB65" s="59" t="str">
        <f t="shared" si="112"/>
        <v/>
      </c>
      <c r="BC65" s="62" t="str">
        <f t="shared" si="113"/>
        <v/>
      </c>
      <c r="BD65" s="421"/>
      <c r="BE65" s="59" t="str">
        <f t="shared" si="114"/>
        <v/>
      </c>
      <c r="BF65" s="62" t="str">
        <f t="shared" si="115"/>
        <v/>
      </c>
      <c r="BG65" s="421"/>
      <c r="BH65" s="59" t="str">
        <f t="shared" si="116"/>
        <v/>
      </c>
      <c r="BI65" s="62" t="str">
        <f t="shared" si="117"/>
        <v/>
      </c>
      <c r="BJ65" s="421"/>
      <c r="BK65" s="59" t="str">
        <f t="shared" si="118"/>
        <v/>
      </c>
      <c r="BL65" s="62" t="str">
        <f t="shared" si="119"/>
        <v/>
      </c>
      <c r="BM65" s="421"/>
      <c r="BN65" s="59" t="str">
        <f t="shared" si="120"/>
        <v/>
      </c>
      <c r="BO65" s="62" t="str">
        <f t="shared" si="121"/>
        <v/>
      </c>
      <c r="BP65" s="421"/>
      <c r="BQ65" s="59" t="str">
        <f t="shared" si="122"/>
        <v/>
      </c>
      <c r="BR65" s="62" t="str">
        <f t="shared" si="123"/>
        <v/>
      </c>
      <c r="BS65" s="421"/>
      <c r="BT65" s="59" t="str">
        <f t="shared" si="124"/>
        <v/>
      </c>
      <c r="BU65" s="62" t="str">
        <f t="shared" si="125"/>
        <v/>
      </c>
      <c r="BV65" s="421"/>
      <c r="BW65" s="59" t="str">
        <f t="shared" si="126"/>
        <v/>
      </c>
      <c r="BX65" s="62" t="str">
        <f t="shared" si="127"/>
        <v/>
      </c>
      <c r="BY65" s="421"/>
      <c r="BZ65" s="59" t="str">
        <f t="shared" si="128"/>
        <v/>
      </c>
      <c r="CA65" s="62" t="str">
        <f t="shared" si="129"/>
        <v/>
      </c>
      <c r="CB65" s="421"/>
      <c r="CC65" s="59" t="str">
        <f t="shared" si="130"/>
        <v/>
      </c>
      <c r="CD65" s="62" t="str">
        <f t="shared" si="131"/>
        <v/>
      </c>
      <c r="CE65" s="421"/>
      <c r="CF65" s="59" t="str">
        <f t="shared" si="132"/>
        <v/>
      </c>
      <c r="CG65" s="62" t="str">
        <f t="shared" si="133"/>
        <v/>
      </c>
      <c r="CH65" s="421"/>
      <c r="CI65" s="59" t="str">
        <f t="shared" si="134"/>
        <v/>
      </c>
      <c r="CJ65" s="62" t="str">
        <f t="shared" si="135"/>
        <v/>
      </c>
      <c r="CK65" s="421"/>
      <c r="CL65" s="59" t="str">
        <f t="shared" si="136"/>
        <v/>
      </c>
      <c r="CM65" s="62" t="str">
        <f t="shared" si="137"/>
        <v/>
      </c>
      <c r="CN65" s="421"/>
      <c r="CO65" s="59" t="str">
        <f t="shared" si="138"/>
        <v/>
      </c>
      <c r="CP65" s="62" t="str">
        <f t="shared" si="139"/>
        <v/>
      </c>
      <c r="CQ65" s="421"/>
      <c r="CR65" s="59" t="str">
        <f t="shared" si="140"/>
        <v/>
      </c>
      <c r="CS65" s="62" t="str">
        <f t="shared" si="141"/>
        <v/>
      </c>
      <c r="CT65" s="421"/>
      <c r="CU65" s="59" t="str">
        <f t="shared" si="142"/>
        <v/>
      </c>
      <c r="CV65" s="62" t="str">
        <f t="shared" si="143"/>
        <v/>
      </c>
      <c r="CW65" s="421"/>
      <c r="CX65" s="59" t="str">
        <f t="shared" si="144"/>
        <v/>
      </c>
      <c r="CY65" s="62" t="str">
        <f t="shared" si="145"/>
        <v/>
      </c>
      <c r="CZ65" s="421"/>
      <c r="DA65" s="59" t="str">
        <f t="shared" si="146"/>
        <v/>
      </c>
      <c r="DB65" s="62" t="str">
        <f t="shared" si="147"/>
        <v/>
      </c>
      <c r="DC65" s="421"/>
      <c r="DD65" s="59" t="str">
        <f t="shared" si="148"/>
        <v/>
      </c>
      <c r="DE65" s="62" t="str">
        <f t="shared" si="149"/>
        <v/>
      </c>
      <c r="DF65" s="421"/>
      <c r="DG65" s="59" t="str">
        <f t="shared" si="150"/>
        <v/>
      </c>
      <c r="DH65" s="62" t="str">
        <f t="shared" si="151"/>
        <v/>
      </c>
      <c r="DI65" s="421"/>
      <c r="DJ65" s="59" t="str">
        <f t="shared" si="152"/>
        <v/>
      </c>
      <c r="DK65" s="62" t="str">
        <f t="shared" si="153"/>
        <v/>
      </c>
      <c r="DL65" s="421"/>
      <c r="DM65" s="59" t="str">
        <f t="shared" si="154"/>
        <v/>
      </c>
      <c r="DN65" s="62" t="str">
        <f t="shared" si="155"/>
        <v/>
      </c>
      <c r="DO65" s="421"/>
      <c r="DP65" s="59" t="str">
        <f t="shared" si="156"/>
        <v/>
      </c>
      <c r="DQ65" s="62" t="str">
        <f t="shared" si="157"/>
        <v/>
      </c>
      <c r="DR65" s="421"/>
      <c r="DS65" s="59" t="str">
        <f t="shared" si="158"/>
        <v/>
      </c>
      <c r="DT65" s="62" t="str">
        <f t="shared" si="159"/>
        <v/>
      </c>
      <c r="DU65" s="421"/>
      <c r="DV65" s="59" t="str">
        <f t="shared" si="160"/>
        <v/>
      </c>
      <c r="DW65" s="62" t="str">
        <f t="shared" si="161"/>
        <v/>
      </c>
      <c r="DX65" s="161"/>
    </row>
    <row r="66" spans="2:128" ht="23.25" customHeight="1" x14ac:dyDescent="0.2">
      <c r="B66" s="377"/>
      <c r="C66" s="348">
        <f t="shared" si="81"/>
        <v>35</v>
      </c>
      <c r="D66" s="425"/>
      <c r="E66" s="57"/>
      <c r="F66" s="57"/>
      <c r="G66" s="420"/>
      <c r="H66" s="421"/>
      <c r="I66" s="129" t="str">
        <f t="shared" si="82"/>
        <v/>
      </c>
      <c r="J66" s="97" t="str">
        <f t="shared" si="83"/>
        <v/>
      </c>
      <c r="K66" s="421"/>
      <c r="L66" s="59" t="str">
        <f t="shared" si="84"/>
        <v/>
      </c>
      <c r="M66" s="60" t="str">
        <f t="shared" si="85"/>
        <v/>
      </c>
      <c r="N66" s="421"/>
      <c r="O66" s="59" t="str">
        <f t="shared" si="86"/>
        <v/>
      </c>
      <c r="P66" s="60" t="str">
        <f t="shared" si="87"/>
        <v/>
      </c>
      <c r="Q66" s="421"/>
      <c r="R66" s="59" t="str">
        <f t="shared" si="88"/>
        <v/>
      </c>
      <c r="S66" s="61" t="str">
        <f t="shared" si="89"/>
        <v/>
      </c>
      <c r="T66" s="421"/>
      <c r="U66" s="59" t="str">
        <f t="shared" si="90"/>
        <v/>
      </c>
      <c r="V66" s="60" t="str">
        <f t="shared" si="91"/>
        <v/>
      </c>
      <c r="W66" s="422"/>
      <c r="X66" s="59" t="str">
        <f t="shared" si="92"/>
        <v/>
      </c>
      <c r="Y66" s="62" t="str">
        <f t="shared" si="93"/>
        <v/>
      </c>
      <c r="Z66" s="421"/>
      <c r="AA66" s="59" t="str">
        <f t="shared" si="94"/>
        <v/>
      </c>
      <c r="AB66" s="62" t="str">
        <f t="shared" si="95"/>
        <v/>
      </c>
      <c r="AC66" s="422"/>
      <c r="AD66" s="59" t="str">
        <f t="shared" si="96"/>
        <v/>
      </c>
      <c r="AE66" s="62" t="str">
        <f t="shared" si="97"/>
        <v/>
      </c>
      <c r="AF66" s="421"/>
      <c r="AG66" s="59" t="str">
        <f t="shared" si="98"/>
        <v/>
      </c>
      <c r="AH66" s="62" t="str">
        <f t="shared" si="99"/>
        <v/>
      </c>
      <c r="AI66" s="421"/>
      <c r="AJ66" s="59" t="str">
        <f t="shared" si="100"/>
        <v/>
      </c>
      <c r="AK66" s="62" t="str">
        <f t="shared" si="101"/>
        <v/>
      </c>
      <c r="AL66" s="421"/>
      <c r="AM66" s="59" t="str">
        <f t="shared" si="102"/>
        <v/>
      </c>
      <c r="AN66" s="62" t="str">
        <f t="shared" si="103"/>
        <v/>
      </c>
      <c r="AO66" s="421"/>
      <c r="AP66" s="59" t="str">
        <f t="shared" si="104"/>
        <v/>
      </c>
      <c r="AQ66" s="62" t="str">
        <f t="shared" si="105"/>
        <v/>
      </c>
      <c r="AR66" s="421"/>
      <c r="AS66" s="59" t="str">
        <f t="shared" si="106"/>
        <v/>
      </c>
      <c r="AT66" s="62" t="str">
        <f t="shared" si="107"/>
        <v/>
      </c>
      <c r="AU66" s="421"/>
      <c r="AV66" s="59" t="str">
        <f t="shared" si="108"/>
        <v/>
      </c>
      <c r="AW66" s="62" t="str">
        <f t="shared" si="109"/>
        <v/>
      </c>
      <c r="AX66" s="421"/>
      <c r="AY66" s="59" t="str">
        <f t="shared" si="110"/>
        <v/>
      </c>
      <c r="AZ66" s="62" t="str">
        <f t="shared" si="111"/>
        <v/>
      </c>
      <c r="BA66" s="421"/>
      <c r="BB66" s="59" t="str">
        <f t="shared" si="112"/>
        <v/>
      </c>
      <c r="BC66" s="62" t="str">
        <f t="shared" si="113"/>
        <v/>
      </c>
      <c r="BD66" s="421"/>
      <c r="BE66" s="59" t="str">
        <f t="shared" si="114"/>
        <v/>
      </c>
      <c r="BF66" s="62" t="str">
        <f t="shared" si="115"/>
        <v/>
      </c>
      <c r="BG66" s="421"/>
      <c r="BH66" s="59" t="str">
        <f t="shared" si="116"/>
        <v/>
      </c>
      <c r="BI66" s="62" t="str">
        <f t="shared" si="117"/>
        <v/>
      </c>
      <c r="BJ66" s="421"/>
      <c r="BK66" s="59" t="str">
        <f t="shared" si="118"/>
        <v/>
      </c>
      <c r="BL66" s="62" t="str">
        <f t="shared" si="119"/>
        <v/>
      </c>
      <c r="BM66" s="421"/>
      <c r="BN66" s="59" t="str">
        <f t="shared" si="120"/>
        <v/>
      </c>
      <c r="BO66" s="62" t="str">
        <f t="shared" si="121"/>
        <v/>
      </c>
      <c r="BP66" s="421"/>
      <c r="BQ66" s="59" t="str">
        <f t="shared" si="122"/>
        <v/>
      </c>
      <c r="BR66" s="62" t="str">
        <f t="shared" si="123"/>
        <v/>
      </c>
      <c r="BS66" s="421"/>
      <c r="BT66" s="59" t="str">
        <f t="shared" si="124"/>
        <v/>
      </c>
      <c r="BU66" s="62" t="str">
        <f t="shared" si="125"/>
        <v/>
      </c>
      <c r="BV66" s="421"/>
      <c r="BW66" s="59" t="str">
        <f t="shared" si="126"/>
        <v/>
      </c>
      <c r="BX66" s="62" t="str">
        <f t="shared" si="127"/>
        <v/>
      </c>
      <c r="BY66" s="421"/>
      <c r="BZ66" s="59" t="str">
        <f t="shared" si="128"/>
        <v/>
      </c>
      <c r="CA66" s="62" t="str">
        <f t="shared" si="129"/>
        <v/>
      </c>
      <c r="CB66" s="421"/>
      <c r="CC66" s="59" t="str">
        <f t="shared" si="130"/>
        <v/>
      </c>
      <c r="CD66" s="62" t="str">
        <f t="shared" si="131"/>
        <v/>
      </c>
      <c r="CE66" s="421"/>
      <c r="CF66" s="59" t="str">
        <f t="shared" si="132"/>
        <v/>
      </c>
      <c r="CG66" s="62" t="str">
        <f t="shared" si="133"/>
        <v/>
      </c>
      <c r="CH66" s="421"/>
      <c r="CI66" s="59" t="str">
        <f t="shared" si="134"/>
        <v/>
      </c>
      <c r="CJ66" s="62" t="str">
        <f t="shared" si="135"/>
        <v/>
      </c>
      <c r="CK66" s="421"/>
      <c r="CL66" s="59" t="str">
        <f t="shared" si="136"/>
        <v/>
      </c>
      <c r="CM66" s="62" t="str">
        <f t="shared" si="137"/>
        <v/>
      </c>
      <c r="CN66" s="421"/>
      <c r="CO66" s="59" t="str">
        <f t="shared" si="138"/>
        <v/>
      </c>
      <c r="CP66" s="62" t="str">
        <f t="shared" si="139"/>
        <v/>
      </c>
      <c r="CQ66" s="421"/>
      <c r="CR66" s="59" t="str">
        <f t="shared" si="140"/>
        <v/>
      </c>
      <c r="CS66" s="62" t="str">
        <f t="shared" si="141"/>
        <v/>
      </c>
      <c r="CT66" s="421"/>
      <c r="CU66" s="59" t="str">
        <f t="shared" si="142"/>
        <v/>
      </c>
      <c r="CV66" s="62" t="str">
        <f t="shared" si="143"/>
        <v/>
      </c>
      <c r="CW66" s="421"/>
      <c r="CX66" s="59" t="str">
        <f t="shared" si="144"/>
        <v/>
      </c>
      <c r="CY66" s="62" t="str">
        <f t="shared" si="145"/>
        <v/>
      </c>
      <c r="CZ66" s="421"/>
      <c r="DA66" s="59" t="str">
        <f t="shared" si="146"/>
        <v/>
      </c>
      <c r="DB66" s="62" t="str">
        <f t="shared" si="147"/>
        <v/>
      </c>
      <c r="DC66" s="421"/>
      <c r="DD66" s="59" t="str">
        <f t="shared" si="148"/>
        <v/>
      </c>
      <c r="DE66" s="62" t="str">
        <f t="shared" si="149"/>
        <v/>
      </c>
      <c r="DF66" s="421"/>
      <c r="DG66" s="59" t="str">
        <f t="shared" si="150"/>
        <v/>
      </c>
      <c r="DH66" s="62" t="str">
        <f t="shared" si="151"/>
        <v/>
      </c>
      <c r="DI66" s="421"/>
      <c r="DJ66" s="59" t="str">
        <f t="shared" si="152"/>
        <v/>
      </c>
      <c r="DK66" s="62" t="str">
        <f t="shared" si="153"/>
        <v/>
      </c>
      <c r="DL66" s="421"/>
      <c r="DM66" s="59" t="str">
        <f t="shared" si="154"/>
        <v/>
      </c>
      <c r="DN66" s="62" t="str">
        <f t="shared" si="155"/>
        <v/>
      </c>
      <c r="DO66" s="421"/>
      <c r="DP66" s="59" t="str">
        <f t="shared" si="156"/>
        <v/>
      </c>
      <c r="DQ66" s="62" t="str">
        <f t="shared" si="157"/>
        <v/>
      </c>
      <c r="DR66" s="421"/>
      <c r="DS66" s="59" t="str">
        <f t="shared" si="158"/>
        <v/>
      </c>
      <c r="DT66" s="62" t="str">
        <f t="shared" si="159"/>
        <v/>
      </c>
      <c r="DU66" s="421"/>
      <c r="DV66" s="59" t="str">
        <f t="shared" si="160"/>
        <v/>
      </c>
      <c r="DW66" s="62" t="str">
        <f t="shared" si="161"/>
        <v/>
      </c>
      <c r="DX66" s="161"/>
    </row>
    <row r="67" spans="2:128" ht="23.25" customHeight="1" x14ac:dyDescent="0.2">
      <c r="B67" s="377"/>
      <c r="C67" s="348">
        <f t="shared" si="81"/>
        <v>36</v>
      </c>
      <c r="D67" s="425"/>
      <c r="E67" s="57"/>
      <c r="F67" s="57"/>
      <c r="G67" s="420"/>
      <c r="H67" s="421"/>
      <c r="I67" s="129" t="str">
        <f t="shared" si="82"/>
        <v/>
      </c>
      <c r="J67" s="97" t="str">
        <f t="shared" si="83"/>
        <v/>
      </c>
      <c r="K67" s="421"/>
      <c r="L67" s="59" t="str">
        <f t="shared" si="84"/>
        <v/>
      </c>
      <c r="M67" s="60" t="str">
        <f t="shared" si="85"/>
        <v/>
      </c>
      <c r="N67" s="421"/>
      <c r="O67" s="59" t="str">
        <f t="shared" si="86"/>
        <v/>
      </c>
      <c r="P67" s="60" t="str">
        <f t="shared" si="87"/>
        <v/>
      </c>
      <c r="Q67" s="421"/>
      <c r="R67" s="59" t="str">
        <f t="shared" si="88"/>
        <v/>
      </c>
      <c r="S67" s="61" t="str">
        <f t="shared" si="89"/>
        <v/>
      </c>
      <c r="T67" s="421"/>
      <c r="U67" s="59" t="str">
        <f t="shared" si="90"/>
        <v/>
      </c>
      <c r="V67" s="60" t="str">
        <f t="shared" si="91"/>
        <v/>
      </c>
      <c r="W67" s="422"/>
      <c r="X67" s="59" t="str">
        <f t="shared" si="92"/>
        <v/>
      </c>
      <c r="Y67" s="62" t="str">
        <f t="shared" si="93"/>
        <v/>
      </c>
      <c r="Z67" s="421"/>
      <c r="AA67" s="59" t="str">
        <f t="shared" si="94"/>
        <v/>
      </c>
      <c r="AB67" s="62" t="str">
        <f t="shared" si="95"/>
        <v/>
      </c>
      <c r="AC67" s="422"/>
      <c r="AD67" s="59" t="str">
        <f t="shared" si="96"/>
        <v/>
      </c>
      <c r="AE67" s="62" t="str">
        <f t="shared" si="97"/>
        <v/>
      </c>
      <c r="AF67" s="421"/>
      <c r="AG67" s="59" t="str">
        <f t="shared" si="98"/>
        <v/>
      </c>
      <c r="AH67" s="62" t="str">
        <f t="shared" si="99"/>
        <v/>
      </c>
      <c r="AI67" s="421"/>
      <c r="AJ67" s="59" t="str">
        <f t="shared" si="100"/>
        <v/>
      </c>
      <c r="AK67" s="62" t="str">
        <f t="shared" si="101"/>
        <v/>
      </c>
      <c r="AL67" s="421"/>
      <c r="AM67" s="59" t="str">
        <f t="shared" si="102"/>
        <v/>
      </c>
      <c r="AN67" s="62" t="str">
        <f t="shared" si="103"/>
        <v/>
      </c>
      <c r="AO67" s="421"/>
      <c r="AP67" s="59" t="str">
        <f t="shared" si="104"/>
        <v/>
      </c>
      <c r="AQ67" s="62" t="str">
        <f t="shared" si="105"/>
        <v/>
      </c>
      <c r="AR67" s="421"/>
      <c r="AS67" s="59" t="str">
        <f t="shared" si="106"/>
        <v/>
      </c>
      <c r="AT67" s="62" t="str">
        <f t="shared" si="107"/>
        <v/>
      </c>
      <c r="AU67" s="421"/>
      <c r="AV67" s="59" t="str">
        <f t="shared" si="108"/>
        <v/>
      </c>
      <c r="AW67" s="62" t="str">
        <f t="shared" si="109"/>
        <v/>
      </c>
      <c r="AX67" s="421"/>
      <c r="AY67" s="59" t="str">
        <f t="shared" si="110"/>
        <v/>
      </c>
      <c r="AZ67" s="62" t="str">
        <f t="shared" si="111"/>
        <v/>
      </c>
      <c r="BA67" s="421"/>
      <c r="BB67" s="59" t="str">
        <f t="shared" si="112"/>
        <v/>
      </c>
      <c r="BC67" s="62" t="str">
        <f t="shared" si="113"/>
        <v/>
      </c>
      <c r="BD67" s="421"/>
      <c r="BE67" s="59" t="str">
        <f t="shared" si="114"/>
        <v/>
      </c>
      <c r="BF67" s="62" t="str">
        <f t="shared" si="115"/>
        <v/>
      </c>
      <c r="BG67" s="421"/>
      <c r="BH67" s="59" t="str">
        <f t="shared" si="116"/>
        <v/>
      </c>
      <c r="BI67" s="62" t="str">
        <f t="shared" si="117"/>
        <v/>
      </c>
      <c r="BJ67" s="421"/>
      <c r="BK67" s="59" t="str">
        <f t="shared" si="118"/>
        <v/>
      </c>
      <c r="BL67" s="62" t="str">
        <f t="shared" si="119"/>
        <v/>
      </c>
      <c r="BM67" s="421"/>
      <c r="BN67" s="59" t="str">
        <f t="shared" si="120"/>
        <v/>
      </c>
      <c r="BO67" s="62" t="str">
        <f t="shared" si="121"/>
        <v/>
      </c>
      <c r="BP67" s="421"/>
      <c r="BQ67" s="59" t="str">
        <f t="shared" si="122"/>
        <v/>
      </c>
      <c r="BR67" s="62" t="str">
        <f t="shared" si="123"/>
        <v/>
      </c>
      <c r="BS67" s="421"/>
      <c r="BT67" s="59" t="str">
        <f t="shared" si="124"/>
        <v/>
      </c>
      <c r="BU67" s="62" t="str">
        <f t="shared" si="125"/>
        <v/>
      </c>
      <c r="BV67" s="421"/>
      <c r="BW67" s="59" t="str">
        <f t="shared" si="126"/>
        <v/>
      </c>
      <c r="BX67" s="62" t="str">
        <f t="shared" si="127"/>
        <v/>
      </c>
      <c r="BY67" s="421"/>
      <c r="BZ67" s="59" t="str">
        <f t="shared" si="128"/>
        <v/>
      </c>
      <c r="CA67" s="62" t="str">
        <f t="shared" si="129"/>
        <v/>
      </c>
      <c r="CB67" s="421"/>
      <c r="CC67" s="59" t="str">
        <f t="shared" si="130"/>
        <v/>
      </c>
      <c r="CD67" s="62" t="str">
        <f t="shared" si="131"/>
        <v/>
      </c>
      <c r="CE67" s="421"/>
      <c r="CF67" s="59" t="str">
        <f t="shared" si="132"/>
        <v/>
      </c>
      <c r="CG67" s="62" t="str">
        <f t="shared" si="133"/>
        <v/>
      </c>
      <c r="CH67" s="421"/>
      <c r="CI67" s="59" t="str">
        <f t="shared" si="134"/>
        <v/>
      </c>
      <c r="CJ67" s="62" t="str">
        <f t="shared" si="135"/>
        <v/>
      </c>
      <c r="CK67" s="421"/>
      <c r="CL67" s="59" t="str">
        <f t="shared" si="136"/>
        <v/>
      </c>
      <c r="CM67" s="62" t="str">
        <f t="shared" si="137"/>
        <v/>
      </c>
      <c r="CN67" s="421"/>
      <c r="CO67" s="59" t="str">
        <f t="shared" si="138"/>
        <v/>
      </c>
      <c r="CP67" s="62" t="str">
        <f t="shared" si="139"/>
        <v/>
      </c>
      <c r="CQ67" s="421"/>
      <c r="CR67" s="59" t="str">
        <f t="shared" si="140"/>
        <v/>
      </c>
      <c r="CS67" s="62" t="str">
        <f t="shared" si="141"/>
        <v/>
      </c>
      <c r="CT67" s="421"/>
      <c r="CU67" s="59" t="str">
        <f t="shared" si="142"/>
        <v/>
      </c>
      <c r="CV67" s="62" t="str">
        <f t="shared" si="143"/>
        <v/>
      </c>
      <c r="CW67" s="421"/>
      <c r="CX67" s="59" t="str">
        <f t="shared" si="144"/>
        <v/>
      </c>
      <c r="CY67" s="62" t="str">
        <f t="shared" si="145"/>
        <v/>
      </c>
      <c r="CZ67" s="421"/>
      <c r="DA67" s="59" t="str">
        <f t="shared" si="146"/>
        <v/>
      </c>
      <c r="DB67" s="62" t="str">
        <f t="shared" si="147"/>
        <v/>
      </c>
      <c r="DC67" s="421"/>
      <c r="DD67" s="59" t="str">
        <f t="shared" si="148"/>
        <v/>
      </c>
      <c r="DE67" s="62" t="str">
        <f t="shared" si="149"/>
        <v/>
      </c>
      <c r="DF67" s="421"/>
      <c r="DG67" s="59" t="str">
        <f t="shared" si="150"/>
        <v/>
      </c>
      <c r="DH67" s="62" t="str">
        <f t="shared" si="151"/>
        <v/>
      </c>
      <c r="DI67" s="421"/>
      <c r="DJ67" s="59" t="str">
        <f t="shared" si="152"/>
        <v/>
      </c>
      <c r="DK67" s="62" t="str">
        <f t="shared" si="153"/>
        <v/>
      </c>
      <c r="DL67" s="421"/>
      <c r="DM67" s="59" t="str">
        <f t="shared" si="154"/>
        <v/>
      </c>
      <c r="DN67" s="62" t="str">
        <f t="shared" si="155"/>
        <v/>
      </c>
      <c r="DO67" s="421"/>
      <c r="DP67" s="59" t="str">
        <f t="shared" si="156"/>
        <v/>
      </c>
      <c r="DQ67" s="62" t="str">
        <f t="shared" si="157"/>
        <v/>
      </c>
      <c r="DR67" s="421"/>
      <c r="DS67" s="59" t="str">
        <f t="shared" si="158"/>
        <v/>
      </c>
      <c r="DT67" s="62" t="str">
        <f t="shared" si="159"/>
        <v/>
      </c>
      <c r="DU67" s="421"/>
      <c r="DV67" s="59" t="str">
        <f t="shared" si="160"/>
        <v/>
      </c>
      <c r="DW67" s="62" t="str">
        <f t="shared" si="161"/>
        <v/>
      </c>
      <c r="DX67" s="161"/>
    </row>
    <row r="68" spans="2:128" ht="23.25" customHeight="1" x14ac:dyDescent="0.2">
      <c r="B68" s="377"/>
      <c r="C68" s="348">
        <f t="shared" si="81"/>
        <v>37</v>
      </c>
      <c r="D68" s="425"/>
      <c r="E68" s="57"/>
      <c r="F68" s="57"/>
      <c r="G68" s="420"/>
      <c r="H68" s="421"/>
      <c r="I68" s="129" t="str">
        <f t="shared" si="82"/>
        <v/>
      </c>
      <c r="J68" s="97" t="str">
        <f t="shared" si="83"/>
        <v/>
      </c>
      <c r="K68" s="421"/>
      <c r="L68" s="59" t="str">
        <f t="shared" si="84"/>
        <v/>
      </c>
      <c r="M68" s="60" t="str">
        <f t="shared" si="85"/>
        <v/>
      </c>
      <c r="N68" s="421"/>
      <c r="O68" s="59" t="str">
        <f t="shared" si="86"/>
        <v/>
      </c>
      <c r="P68" s="60" t="str">
        <f t="shared" si="87"/>
        <v/>
      </c>
      <c r="Q68" s="421"/>
      <c r="R68" s="59" t="str">
        <f t="shared" si="88"/>
        <v/>
      </c>
      <c r="S68" s="61" t="str">
        <f t="shared" si="89"/>
        <v/>
      </c>
      <c r="T68" s="421"/>
      <c r="U68" s="59" t="str">
        <f t="shared" si="90"/>
        <v/>
      </c>
      <c r="V68" s="60" t="str">
        <f t="shared" si="91"/>
        <v/>
      </c>
      <c r="W68" s="422"/>
      <c r="X68" s="59" t="str">
        <f t="shared" si="92"/>
        <v/>
      </c>
      <c r="Y68" s="62" t="str">
        <f t="shared" si="93"/>
        <v/>
      </c>
      <c r="Z68" s="421"/>
      <c r="AA68" s="59" t="str">
        <f t="shared" si="94"/>
        <v/>
      </c>
      <c r="AB68" s="62" t="str">
        <f t="shared" si="95"/>
        <v/>
      </c>
      <c r="AC68" s="422"/>
      <c r="AD68" s="59" t="str">
        <f t="shared" si="96"/>
        <v/>
      </c>
      <c r="AE68" s="62" t="str">
        <f t="shared" si="97"/>
        <v/>
      </c>
      <c r="AF68" s="421"/>
      <c r="AG68" s="59" t="str">
        <f t="shared" si="98"/>
        <v/>
      </c>
      <c r="AH68" s="62" t="str">
        <f t="shared" si="99"/>
        <v/>
      </c>
      <c r="AI68" s="421"/>
      <c r="AJ68" s="59" t="str">
        <f t="shared" si="100"/>
        <v/>
      </c>
      <c r="AK68" s="62" t="str">
        <f t="shared" si="101"/>
        <v/>
      </c>
      <c r="AL68" s="421"/>
      <c r="AM68" s="59" t="str">
        <f t="shared" si="102"/>
        <v/>
      </c>
      <c r="AN68" s="62" t="str">
        <f t="shared" si="103"/>
        <v/>
      </c>
      <c r="AO68" s="421"/>
      <c r="AP68" s="59" t="str">
        <f t="shared" si="104"/>
        <v/>
      </c>
      <c r="AQ68" s="62" t="str">
        <f t="shared" si="105"/>
        <v/>
      </c>
      <c r="AR68" s="421"/>
      <c r="AS68" s="59" t="str">
        <f t="shared" si="106"/>
        <v/>
      </c>
      <c r="AT68" s="62" t="str">
        <f t="shared" si="107"/>
        <v/>
      </c>
      <c r="AU68" s="421"/>
      <c r="AV68" s="59" t="str">
        <f t="shared" si="108"/>
        <v/>
      </c>
      <c r="AW68" s="62" t="str">
        <f t="shared" si="109"/>
        <v/>
      </c>
      <c r="AX68" s="421"/>
      <c r="AY68" s="59" t="str">
        <f t="shared" si="110"/>
        <v/>
      </c>
      <c r="AZ68" s="62" t="str">
        <f t="shared" si="111"/>
        <v/>
      </c>
      <c r="BA68" s="421"/>
      <c r="BB68" s="59" t="str">
        <f t="shared" si="112"/>
        <v/>
      </c>
      <c r="BC68" s="62" t="str">
        <f t="shared" si="113"/>
        <v/>
      </c>
      <c r="BD68" s="421"/>
      <c r="BE68" s="59" t="str">
        <f t="shared" si="114"/>
        <v/>
      </c>
      <c r="BF68" s="62" t="str">
        <f t="shared" si="115"/>
        <v/>
      </c>
      <c r="BG68" s="421"/>
      <c r="BH68" s="59" t="str">
        <f t="shared" si="116"/>
        <v/>
      </c>
      <c r="BI68" s="62" t="str">
        <f t="shared" si="117"/>
        <v/>
      </c>
      <c r="BJ68" s="421"/>
      <c r="BK68" s="59" t="str">
        <f t="shared" si="118"/>
        <v/>
      </c>
      <c r="BL68" s="62" t="str">
        <f t="shared" si="119"/>
        <v/>
      </c>
      <c r="BM68" s="421"/>
      <c r="BN68" s="59" t="str">
        <f t="shared" si="120"/>
        <v/>
      </c>
      <c r="BO68" s="62" t="str">
        <f t="shared" si="121"/>
        <v/>
      </c>
      <c r="BP68" s="421"/>
      <c r="BQ68" s="59" t="str">
        <f t="shared" si="122"/>
        <v/>
      </c>
      <c r="BR68" s="62" t="str">
        <f t="shared" si="123"/>
        <v/>
      </c>
      <c r="BS68" s="421"/>
      <c r="BT68" s="59" t="str">
        <f t="shared" si="124"/>
        <v/>
      </c>
      <c r="BU68" s="62" t="str">
        <f t="shared" si="125"/>
        <v/>
      </c>
      <c r="BV68" s="421"/>
      <c r="BW68" s="59" t="str">
        <f t="shared" si="126"/>
        <v/>
      </c>
      <c r="BX68" s="62" t="str">
        <f t="shared" si="127"/>
        <v/>
      </c>
      <c r="BY68" s="421"/>
      <c r="BZ68" s="59" t="str">
        <f t="shared" si="128"/>
        <v/>
      </c>
      <c r="CA68" s="62" t="str">
        <f t="shared" si="129"/>
        <v/>
      </c>
      <c r="CB68" s="421"/>
      <c r="CC68" s="59" t="str">
        <f t="shared" si="130"/>
        <v/>
      </c>
      <c r="CD68" s="62" t="str">
        <f t="shared" si="131"/>
        <v/>
      </c>
      <c r="CE68" s="421"/>
      <c r="CF68" s="59" t="str">
        <f t="shared" si="132"/>
        <v/>
      </c>
      <c r="CG68" s="62" t="str">
        <f t="shared" si="133"/>
        <v/>
      </c>
      <c r="CH68" s="421"/>
      <c r="CI68" s="59" t="str">
        <f t="shared" si="134"/>
        <v/>
      </c>
      <c r="CJ68" s="62" t="str">
        <f t="shared" si="135"/>
        <v/>
      </c>
      <c r="CK68" s="421"/>
      <c r="CL68" s="59" t="str">
        <f t="shared" si="136"/>
        <v/>
      </c>
      <c r="CM68" s="62" t="str">
        <f t="shared" si="137"/>
        <v/>
      </c>
      <c r="CN68" s="421"/>
      <c r="CO68" s="59" t="str">
        <f t="shared" si="138"/>
        <v/>
      </c>
      <c r="CP68" s="62" t="str">
        <f t="shared" si="139"/>
        <v/>
      </c>
      <c r="CQ68" s="421"/>
      <c r="CR68" s="59" t="str">
        <f t="shared" si="140"/>
        <v/>
      </c>
      <c r="CS68" s="62" t="str">
        <f t="shared" si="141"/>
        <v/>
      </c>
      <c r="CT68" s="421"/>
      <c r="CU68" s="59" t="str">
        <f t="shared" si="142"/>
        <v/>
      </c>
      <c r="CV68" s="62" t="str">
        <f t="shared" si="143"/>
        <v/>
      </c>
      <c r="CW68" s="421"/>
      <c r="CX68" s="59" t="str">
        <f t="shared" si="144"/>
        <v/>
      </c>
      <c r="CY68" s="62" t="str">
        <f t="shared" si="145"/>
        <v/>
      </c>
      <c r="CZ68" s="421"/>
      <c r="DA68" s="59" t="str">
        <f t="shared" si="146"/>
        <v/>
      </c>
      <c r="DB68" s="62" t="str">
        <f t="shared" si="147"/>
        <v/>
      </c>
      <c r="DC68" s="421"/>
      <c r="DD68" s="59" t="str">
        <f t="shared" si="148"/>
        <v/>
      </c>
      <c r="DE68" s="62" t="str">
        <f t="shared" si="149"/>
        <v/>
      </c>
      <c r="DF68" s="421"/>
      <c r="DG68" s="59" t="str">
        <f t="shared" si="150"/>
        <v/>
      </c>
      <c r="DH68" s="62" t="str">
        <f t="shared" si="151"/>
        <v/>
      </c>
      <c r="DI68" s="421"/>
      <c r="DJ68" s="59" t="str">
        <f t="shared" si="152"/>
        <v/>
      </c>
      <c r="DK68" s="62" t="str">
        <f t="shared" si="153"/>
        <v/>
      </c>
      <c r="DL68" s="421"/>
      <c r="DM68" s="59" t="str">
        <f t="shared" si="154"/>
        <v/>
      </c>
      <c r="DN68" s="62" t="str">
        <f t="shared" si="155"/>
        <v/>
      </c>
      <c r="DO68" s="421"/>
      <c r="DP68" s="59" t="str">
        <f t="shared" si="156"/>
        <v/>
      </c>
      <c r="DQ68" s="62" t="str">
        <f t="shared" si="157"/>
        <v/>
      </c>
      <c r="DR68" s="421"/>
      <c r="DS68" s="59" t="str">
        <f t="shared" si="158"/>
        <v/>
      </c>
      <c r="DT68" s="62" t="str">
        <f t="shared" si="159"/>
        <v/>
      </c>
      <c r="DU68" s="421"/>
      <c r="DV68" s="59" t="str">
        <f t="shared" si="160"/>
        <v/>
      </c>
      <c r="DW68" s="62" t="str">
        <f t="shared" si="161"/>
        <v/>
      </c>
      <c r="DX68" s="161"/>
    </row>
    <row r="69" spans="2:128" ht="23.25" customHeight="1" x14ac:dyDescent="0.2">
      <c r="B69" s="377"/>
      <c r="C69" s="348">
        <f t="shared" si="81"/>
        <v>38</v>
      </c>
      <c r="D69" s="425"/>
      <c r="E69" s="57"/>
      <c r="F69" s="57"/>
      <c r="G69" s="420"/>
      <c r="H69" s="421"/>
      <c r="I69" s="129" t="str">
        <f t="shared" si="82"/>
        <v/>
      </c>
      <c r="J69" s="97" t="str">
        <f t="shared" si="83"/>
        <v/>
      </c>
      <c r="K69" s="421"/>
      <c r="L69" s="59" t="str">
        <f t="shared" si="84"/>
        <v/>
      </c>
      <c r="M69" s="60" t="str">
        <f t="shared" si="85"/>
        <v/>
      </c>
      <c r="N69" s="421"/>
      <c r="O69" s="59" t="str">
        <f t="shared" si="86"/>
        <v/>
      </c>
      <c r="P69" s="60" t="str">
        <f t="shared" si="87"/>
        <v/>
      </c>
      <c r="Q69" s="421"/>
      <c r="R69" s="59" t="str">
        <f t="shared" si="88"/>
        <v/>
      </c>
      <c r="S69" s="61" t="str">
        <f t="shared" si="89"/>
        <v/>
      </c>
      <c r="T69" s="421"/>
      <c r="U69" s="59" t="str">
        <f t="shared" si="90"/>
        <v/>
      </c>
      <c r="V69" s="60" t="str">
        <f t="shared" si="91"/>
        <v/>
      </c>
      <c r="W69" s="422"/>
      <c r="X69" s="59" t="str">
        <f t="shared" si="92"/>
        <v/>
      </c>
      <c r="Y69" s="62" t="str">
        <f t="shared" si="93"/>
        <v/>
      </c>
      <c r="Z69" s="421"/>
      <c r="AA69" s="59" t="str">
        <f t="shared" si="94"/>
        <v/>
      </c>
      <c r="AB69" s="62" t="str">
        <f t="shared" si="95"/>
        <v/>
      </c>
      <c r="AC69" s="422"/>
      <c r="AD69" s="59" t="str">
        <f t="shared" si="96"/>
        <v/>
      </c>
      <c r="AE69" s="62" t="str">
        <f t="shared" si="97"/>
        <v/>
      </c>
      <c r="AF69" s="421"/>
      <c r="AG69" s="59" t="str">
        <f t="shared" si="98"/>
        <v/>
      </c>
      <c r="AH69" s="62" t="str">
        <f t="shared" si="99"/>
        <v/>
      </c>
      <c r="AI69" s="421"/>
      <c r="AJ69" s="59" t="str">
        <f t="shared" si="100"/>
        <v/>
      </c>
      <c r="AK69" s="62" t="str">
        <f t="shared" si="101"/>
        <v/>
      </c>
      <c r="AL69" s="421"/>
      <c r="AM69" s="59" t="str">
        <f t="shared" si="102"/>
        <v/>
      </c>
      <c r="AN69" s="62" t="str">
        <f t="shared" si="103"/>
        <v/>
      </c>
      <c r="AO69" s="421"/>
      <c r="AP69" s="59" t="str">
        <f t="shared" si="104"/>
        <v/>
      </c>
      <c r="AQ69" s="62" t="str">
        <f t="shared" si="105"/>
        <v/>
      </c>
      <c r="AR69" s="421"/>
      <c r="AS69" s="59" t="str">
        <f t="shared" si="106"/>
        <v/>
      </c>
      <c r="AT69" s="62" t="str">
        <f t="shared" si="107"/>
        <v/>
      </c>
      <c r="AU69" s="421"/>
      <c r="AV69" s="59" t="str">
        <f t="shared" si="108"/>
        <v/>
      </c>
      <c r="AW69" s="62" t="str">
        <f t="shared" si="109"/>
        <v/>
      </c>
      <c r="AX69" s="421"/>
      <c r="AY69" s="59" t="str">
        <f t="shared" si="110"/>
        <v/>
      </c>
      <c r="AZ69" s="62" t="str">
        <f t="shared" si="111"/>
        <v/>
      </c>
      <c r="BA69" s="421"/>
      <c r="BB69" s="59" t="str">
        <f t="shared" si="112"/>
        <v/>
      </c>
      <c r="BC69" s="62" t="str">
        <f t="shared" si="113"/>
        <v/>
      </c>
      <c r="BD69" s="421"/>
      <c r="BE69" s="59" t="str">
        <f t="shared" si="114"/>
        <v/>
      </c>
      <c r="BF69" s="62" t="str">
        <f t="shared" si="115"/>
        <v/>
      </c>
      <c r="BG69" s="421"/>
      <c r="BH69" s="59" t="str">
        <f t="shared" si="116"/>
        <v/>
      </c>
      <c r="BI69" s="62" t="str">
        <f t="shared" si="117"/>
        <v/>
      </c>
      <c r="BJ69" s="421"/>
      <c r="BK69" s="59" t="str">
        <f t="shared" si="118"/>
        <v/>
      </c>
      <c r="BL69" s="62" t="str">
        <f t="shared" si="119"/>
        <v/>
      </c>
      <c r="BM69" s="421"/>
      <c r="BN69" s="59" t="str">
        <f t="shared" si="120"/>
        <v/>
      </c>
      <c r="BO69" s="62" t="str">
        <f t="shared" si="121"/>
        <v/>
      </c>
      <c r="BP69" s="421"/>
      <c r="BQ69" s="59" t="str">
        <f t="shared" si="122"/>
        <v/>
      </c>
      <c r="BR69" s="62" t="str">
        <f t="shared" si="123"/>
        <v/>
      </c>
      <c r="BS69" s="421"/>
      <c r="BT69" s="59" t="str">
        <f t="shared" si="124"/>
        <v/>
      </c>
      <c r="BU69" s="62" t="str">
        <f t="shared" si="125"/>
        <v/>
      </c>
      <c r="BV69" s="421"/>
      <c r="BW69" s="59" t="str">
        <f t="shared" si="126"/>
        <v/>
      </c>
      <c r="BX69" s="62" t="str">
        <f t="shared" si="127"/>
        <v/>
      </c>
      <c r="BY69" s="421"/>
      <c r="BZ69" s="59" t="str">
        <f t="shared" si="128"/>
        <v/>
      </c>
      <c r="CA69" s="62" t="str">
        <f t="shared" si="129"/>
        <v/>
      </c>
      <c r="CB69" s="421"/>
      <c r="CC69" s="59" t="str">
        <f t="shared" si="130"/>
        <v/>
      </c>
      <c r="CD69" s="62" t="str">
        <f t="shared" si="131"/>
        <v/>
      </c>
      <c r="CE69" s="421"/>
      <c r="CF69" s="59" t="str">
        <f t="shared" si="132"/>
        <v/>
      </c>
      <c r="CG69" s="62" t="str">
        <f t="shared" si="133"/>
        <v/>
      </c>
      <c r="CH69" s="421"/>
      <c r="CI69" s="59" t="str">
        <f t="shared" si="134"/>
        <v/>
      </c>
      <c r="CJ69" s="62" t="str">
        <f t="shared" si="135"/>
        <v/>
      </c>
      <c r="CK69" s="421"/>
      <c r="CL69" s="59" t="str">
        <f t="shared" si="136"/>
        <v/>
      </c>
      <c r="CM69" s="62" t="str">
        <f t="shared" si="137"/>
        <v/>
      </c>
      <c r="CN69" s="421"/>
      <c r="CO69" s="59" t="str">
        <f t="shared" si="138"/>
        <v/>
      </c>
      <c r="CP69" s="62" t="str">
        <f t="shared" si="139"/>
        <v/>
      </c>
      <c r="CQ69" s="421"/>
      <c r="CR69" s="59" t="str">
        <f t="shared" si="140"/>
        <v/>
      </c>
      <c r="CS69" s="62" t="str">
        <f t="shared" si="141"/>
        <v/>
      </c>
      <c r="CT69" s="421"/>
      <c r="CU69" s="59" t="str">
        <f t="shared" si="142"/>
        <v/>
      </c>
      <c r="CV69" s="62" t="str">
        <f t="shared" si="143"/>
        <v/>
      </c>
      <c r="CW69" s="421"/>
      <c r="CX69" s="59" t="str">
        <f t="shared" si="144"/>
        <v/>
      </c>
      <c r="CY69" s="62" t="str">
        <f t="shared" si="145"/>
        <v/>
      </c>
      <c r="CZ69" s="421"/>
      <c r="DA69" s="59" t="str">
        <f t="shared" si="146"/>
        <v/>
      </c>
      <c r="DB69" s="62" t="str">
        <f t="shared" si="147"/>
        <v/>
      </c>
      <c r="DC69" s="421"/>
      <c r="DD69" s="59" t="str">
        <f t="shared" si="148"/>
        <v/>
      </c>
      <c r="DE69" s="62" t="str">
        <f t="shared" si="149"/>
        <v/>
      </c>
      <c r="DF69" s="421"/>
      <c r="DG69" s="59" t="str">
        <f t="shared" si="150"/>
        <v/>
      </c>
      <c r="DH69" s="62" t="str">
        <f t="shared" si="151"/>
        <v/>
      </c>
      <c r="DI69" s="421"/>
      <c r="DJ69" s="59" t="str">
        <f t="shared" si="152"/>
        <v/>
      </c>
      <c r="DK69" s="62" t="str">
        <f t="shared" si="153"/>
        <v/>
      </c>
      <c r="DL69" s="421"/>
      <c r="DM69" s="59" t="str">
        <f t="shared" si="154"/>
        <v/>
      </c>
      <c r="DN69" s="62" t="str">
        <f t="shared" si="155"/>
        <v/>
      </c>
      <c r="DO69" s="421"/>
      <c r="DP69" s="59" t="str">
        <f t="shared" si="156"/>
        <v/>
      </c>
      <c r="DQ69" s="62" t="str">
        <f t="shared" si="157"/>
        <v/>
      </c>
      <c r="DR69" s="421"/>
      <c r="DS69" s="59" t="str">
        <f t="shared" si="158"/>
        <v/>
      </c>
      <c r="DT69" s="62" t="str">
        <f t="shared" si="159"/>
        <v/>
      </c>
      <c r="DU69" s="421"/>
      <c r="DV69" s="59" t="str">
        <f t="shared" si="160"/>
        <v/>
      </c>
      <c r="DW69" s="62" t="str">
        <f t="shared" si="161"/>
        <v/>
      </c>
      <c r="DX69" s="161"/>
    </row>
    <row r="70" spans="2:128" ht="23.25" customHeight="1" x14ac:dyDescent="0.2">
      <c r="B70" s="377"/>
      <c r="C70" s="348">
        <f t="shared" si="81"/>
        <v>39</v>
      </c>
      <c r="D70" s="425"/>
      <c r="E70" s="57"/>
      <c r="F70" s="57"/>
      <c r="G70" s="420"/>
      <c r="H70" s="421"/>
      <c r="I70" s="129" t="str">
        <f t="shared" si="82"/>
        <v/>
      </c>
      <c r="J70" s="97" t="str">
        <f t="shared" si="83"/>
        <v/>
      </c>
      <c r="K70" s="421"/>
      <c r="L70" s="59" t="str">
        <f t="shared" si="84"/>
        <v/>
      </c>
      <c r="M70" s="60" t="str">
        <f t="shared" si="85"/>
        <v/>
      </c>
      <c r="N70" s="421"/>
      <c r="O70" s="59" t="str">
        <f t="shared" si="86"/>
        <v/>
      </c>
      <c r="P70" s="60" t="str">
        <f t="shared" si="87"/>
        <v/>
      </c>
      <c r="Q70" s="421"/>
      <c r="R70" s="59" t="str">
        <f t="shared" si="88"/>
        <v/>
      </c>
      <c r="S70" s="61" t="str">
        <f t="shared" si="89"/>
        <v/>
      </c>
      <c r="T70" s="421"/>
      <c r="U70" s="59" t="str">
        <f t="shared" si="90"/>
        <v/>
      </c>
      <c r="V70" s="60" t="str">
        <f t="shared" si="91"/>
        <v/>
      </c>
      <c r="W70" s="422"/>
      <c r="X70" s="59" t="str">
        <f t="shared" si="92"/>
        <v/>
      </c>
      <c r="Y70" s="62" t="str">
        <f t="shared" si="93"/>
        <v/>
      </c>
      <c r="Z70" s="421"/>
      <c r="AA70" s="59" t="str">
        <f t="shared" si="94"/>
        <v/>
      </c>
      <c r="AB70" s="62" t="str">
        <f t="shared" si="95"/>
        <v/>
      </c>
      <c r="AC70" s="422"/>
      <c r="AD70" s="59" t="str">
        <f t="shared" si="96"/>
        <v/>
      </c>
      <c r="AE70" s="62" t="str">
        <f t="shared" si="97"/>
        <v/>
      </c>
      <c r="AF70" s="421"/>
      <c r="AG70" s="59" t="str">
        <f t="shared" si="98"/>
        <v/>
      </c>
      <c r="AH70" s="62" t="str">
        <f t="shared" si="99"/>
        <v/>
      </c>
      <c r="AI70" s="421"/>
      <c r="AJ70" s="59" t="str">
        <f t="shared" si="100"/>
        <v/>
      </c>
      <c r="AK70" s="62" t="str">
        <f t="shared" si="101"/>
        <v/>
      </c>
      <c r="AL70" s="421"/>
      <c r="AM70" s="59" t="str">
        <f t="shared" si="102"/>
        <v/>
      </c>
      <c r="AN70" s="62" t="str">
        <f t="shared" si="103"/>
        <v/>
      </c>
      <c r="AO70" s="421"/>
      <c r="AP70" s="59" t="str">
        <f t="shared" si="104"/>
        <v/>
      </c>
      <c r="AQ70" s="62" t="str">
        <f t="shared" si="105"/>
        <v/>
      </c>
      <c r="AR70" s="421"/>
      <c r="AS70" s="59" t="str">
        <f t="shared" si="106"/>
        <v/>
      </c>
      <c r="AT70" s="62" t="str">
        <f t="shared" si="107"/>
        <v/>
      </c>
      <c r="AU70" s="421"/>
      <c r="AV70" s="59" t="str">
        <f t="shared" si="108"/>
        <v/>
      </c>
      <c r="AW70" s="62" t="str">
        <f t="shared" si="109"/>
        <v/>
      </c>
      <c r="AX70" s="421"/>
      <c r="AY70" s="59" t="str">
        <f t="shared" si="110"/>
        <v/>
      </c>
      <c r="AZ70" s="62" t="str">
        <f t="shared" si="111"/>
        <v/>
      </c>
      <c r="BA70" s="421"/>
      <c r="BB70" s="59" t="str">
        <f t="shared" si="112"/>
        <v/>
      </c>
      <c r="BC70" s="62" t="str">
        <f t="shared" si="113"/>
        <v/>
      </c>
      <c r="BD70" s="421"/>
      <c r="BE70" s="59" t="str">
        <f t="shared" si="114"/>
        <v/>
      </c>
      <c r="BF70" s="62" t="str">
        <f t="shared" si="115"/>
        <v/>
      </c>
      <c r="BG70" s="421"/>
      <c r="BH70" s="59" t="str">
        <f t="shared" si="116"/>
        <v/>
      </c>
      <c r="BI70" s="62" t="str">
        <f t="shared" si="117"/>
        <v/>
      </c>
      <c r="BJ70" s="421"/>
      <c r="BK70" s="59" t="str">
        <f t="shared" si="118"/>
        <v/>
      </c>
      <c r="BL70" s="62" t="str">
        <f t="shared" si="119"/>
        <v/>
      </c>
      <c r="BM70" s="421"/>
      <c r="BN70" s="59" t="str">
        <f t="shared" si="120"/>
        <v/>
      </c>
      <c r="BO70" s="62" t="str">
        <f t="shared" si="121"/>
        <v/>
      </c>
      <c r="BP70" s="421"/>
      <c r="BQ70" s="59" t="str">
        <f t="shared" si="122"/>
        <v/>
      </c>
      <c r="BR70" s="62" t="str">
        <f t="shared" si="123"/>
        <v/>
      </c>
      <c r="BS70" s="421"/>
      <c r="BT70" s="59" t="str">
        <f t="shared" si="124"/>
        <v/>
      </c>
      <c r="BU70" s="62" t="str">
        <f t="shared" si="125"/>
        <v/>
      </c>
      <c r="BV70" s="421"/>
      <c r="BW70" s="59" t="str">
        <f t="shared" si="126"/>
        <v/>
      </c>
      <c r="BX70" s="62" t="str">
        <f t="shared" si="127"/>
        <v/>
      </c>
      <c r="BY70" s="421"/>
      <c r="BZ70" s="59" t="str">
        <f t="shared" si="128"/>
        <v/>
      </c>
      <c r="CA70" s="62" t="str">
        <f t="shared" si="129"/>
        <v/>
      </c>
      <c r="CB70" s="421"/>
      <c r="CC70" s="59" t="str">
        <f t="shared" si="130"/>
        <v/>
      </c>
      <c r="CD70" s="62" t="str">
        <f t="shared" si="131"/>
        <v/>
      </c>
      <c r="CE70" s="421"/>
      <c r="CF70" s="59" t="str">
        <f t="shared" si="132"/>
        <v/>
      </c>
      <c r="CG70" s="62" t="str">
        <f t="shared" si="133"/>
        <v/>
      </c>
      <c r="CH70" s="421"/>
      <c r="CI70" s="59" t="str">
        <f t="shared" si="134"/>
        <v/>
      </c>
      <c r="CJ70" s="62" t="str">
        <f t="shared" si="135"/>
        <v/>
      </c>
      <c r="CK70" s="421"/>
      <c r="CL70" s="59" t="str">
        <f t="shared" si="136"/>
        <v/>
      </c>
      <c r="CM70" s="62" t="str">
        <f t="shared" si="137"/>
        <v/>
      </c>
      <c r="CN70" s="421"/>
      <c r="CO70" s="59" t="str">
        <f t="shared" si="138"/>
        <v/>
      </c>
      <c r="CP70" s="62" t="str">
        <f t="shared" si="139"/>
        <v/>
      </c>
      <c r="CQ70" s="421"/>
      <c r="CR70" s="59" t="str">
        <f t="shared" si="140"/>
        <v/>
      </c>
      <c r="CS70" s="62" t="str">
        <f t="shared" si="141"/>
        <v/>
      </c>
      <c r="CT70" s="421"/>
      <c r="CU70" s="59" t="str">
        <f t="shared" si="142"/>
        <v/>
      </c>
      <c r="CV70" s="62" t="str">
        <f t="shared" si="143"/>
        <v/>
      </c>
      <c r="CW70" s="421"/>
      <c r="CX70" s="59" t="str">
        <f t="shared" si="144"/>
        <v/>
      </c>
      <c r="CY70" s="62" t="str">
        <f t="shared" si="145"/>
        <v/>
      </c>
      <c r="CZ70" s="421"/>
      <c r="DA70" s="59" t="str">
        <f t="shared" si="146"/>
        <v/>
      </c>
      <c r="DB70" s="62" t="str">
        <f t="shared" si="147"/>
        <v/>
      </c>
      <c r="DC70" s="421"/>
      <c r="DD70" s="59" t="str">
        <f t="shared" si="148"/>
        <v/>
      </c>
      <c r="DE70" s="62" t="str">
        <f t="shared" si="149"/>
        <v/>
      </c>
      <c r="DF70" s="421"/>
      <c r="DG70" s="59" t="str">
        <f t="shared" si="150"/>
        <v/>
      </c>
      <c r="DH70" s="62" t="str">
        <f t="shared" si="151"/>
        <v/>
      </c>
      <c r="DI70" s="421"/>
      <c r="DJ70" s="59" t="str">
        <f t="shared" si="152"/>
        <v/>
      </c>
      <c r="DK70" s="62" t="str">
        <f t="shared" si="153"/>
        <v/>
      </c>
      <c r="DL70" s="421"/>
      <c r="DM70" s="59" t="str">
        <f t="shared" si="154"/>
        <v/>
      </c>
      <c r="DN70" s="62" t="str">
        <f t="shared" si="155"/>
        <v/>
      </c>
      <c r="DO70" s="421"/>
      <c r="DP70" s="59" t="str">
        <f t="shared" si="156"/>
        <v/>
      </c>
      <c r="DQ70" s="62" t="str">
        <f t="shared" si="157"/>
        <v/>
      </c>
      <c r="DR70" s="421"/>
      <c r="DS70" s="59" t="str">
        <f t="shared" si="158"/>
        <v/>
      </c>
      <c r="DT70" s="62" t="str">
        <f t="shared" si="159"/>
        <v/>
      </c>
      <c r="DU70" s="421"/>
      <c r="DV70" s="59" t="str">
        <f t="shared" si="160"/>
        <v/>
      </c>
      <c r="DW70" s="62" t="str">
        <f t="shared" si="161"/>
        <v/>
      </c>
      <c r="DX70" s="161"/>
    </row>
    <row r="71" spans="2:128" ht="23.25" customHeight="1" x14ac:dyDescent="0.2">
      <c r="B71" s="377"/>
      <c r="C71" s="348">
        <f t="shared" si="81"/>
        <v>40</v>
      </c>
      <c r="D71" s="425"/>
      <c r="E71" s="57"/>
      <c r="F71" s="57"/>
      <c r="G71" s="420"/>
      <c r="H71" s="421"/>
      <c r="I71" s="129" t="str">
        <f t="shared" si="82"/>
        <v/>
      </c>
      <c r="J71" s="97" t="str">
        <f t="shared" si="83"/>
        <v/>
      </c>
      <c r="K71" s="421"/>
      <c r="L71" s="59" t="str">
        <f t="shared" si="84"/>
        <v/>
      </c>
      <c r="M71" s="60" t="str">
        <f t="shared" si="85"/>
        <v/>
      </c>
      <c r="N71" s="421"/>
      <c r="O71" s="59" t="str">
        <f t="shared" si="86"/>
        <v/>
      </c>
      <c r="P71" s="60" t="str">
        <f t="shared" si="87"/>
        <v/>
      </c>
      <c r="Q71" s="421"/>
      <c r="R71" s="59" t="str">
        <f t="shared" si="88"/>
        <v/>
      </c>
      <c r="S71" s="61" t="str">
        <f t="shared" si="89"/>
        <v/>
      </c>
      <c r="T71" s="421"/>
      <c r="U71" s="59" t="str">
        <f t="shared" si="90"/>
        <v/>
      </c>
      <c r="V71" s="60" t="str">
        <f t="shared" si="91"/>
        <v/>
      </c>
      <c r="W71" s="422"/>
      <c r="X71" s="59" t="str">
        <f t="shared" si="92"/>
        <v/>
      </c>
      <c r="Y71" s="62" t="str">
        <f t="shared" si="93"/>
        <v/>
      </c>
      <c r="Z71" s="421"/>
      <c r="AA71" s="59" t="str">
        <f t="shared" si="94"/>
        <v/>
      </c>
      <c r="AB71" s="62" t="str">
        <f t="shared" si="95"/>
        <v/>
      </c>
      <c r="AC71" s="422"/>
      <c r="AD71" s="59" t="str">
        <f t="shared" si="96"/>
        <v/>
      </c>
      <c r="AE71" s="62" t="str">
        <f t="shared" si="97"/>
        <v/>
      </c>
      <c r="AF71" s="421"/>
      <c r="AG71" s="59" t="str">
        <f t="shared" si="98"/>
        <v/>
      </c>
      <c r="AH71" s="62" t="str">
        <f t="shared" si="99"/>
        <v/>
      </c>
      <c r="AI71" s="421"/>
      <c r="AJ71" s="59" t="str">
        <f t="shared" si="100"/>
        <v/>
      </c>
      <c r="AK71" s="62" t="str">
        <f t="shared" si="101"/>
        <v/>
      </c>
      <c r="AL71" s="421"/>
      <c r="AM71" s="59" t="str">
        <f t="shared" si="102"/>
        <v/>
      </c>
      <c r="AN71" s="62" t="str">
        <f t="shared" si="103"/>
        <v/>
      </c>
      <c r="AO71" s="421"/>
      <c r="AP71" s="59" t="str">
        <f t="shared" si="104"/>
        <v/>
      </c>
      <c r="AQ71" s="62" t="str">
        <f t="shared" si="105"/>
        <v/>
      </c>
      <c r="AR71" s="421"/>
      <c r="AS71" s="59" t="str">
        <f t="shared" si="106"/>
        <v/>
      </c>
      <c r="AT71" s="62" t="str">
        <f t="shared" si="107"/>
        <v/>
      </c>
      <c r="AU71" s="421"/>
      <c r="AV71" s="59" t="str">
        <f t="shared" si="108"/>
        <v/>
      </c>
      <c r="AW71" s="62" t="str">
        <f t="shared" si="109"/>
        <v/>
      </c>
      <c r="AX71" s="421"/>
      <c r="AY71" s="59" t="str">
        <f t="shared" si="110"/>
        <v/>
      </c>
      <c r="AZ71" s="62" t="str">
        <f t="shared" si="111"/>
        <v/>
      </c>
      <c r="BA71" s="421"/>
      <c r="BB71" s="59" t="str">
        <f t="shared" si="112"/>
        <v/>
      </c>
      <c r="BC71" s="62" t="str">
        <f t="shared" si="113"/>
        <v/>
      </c>
      <c r="BD71" s="421"/>
      <c r="BE71" s="59" t="str">
        <f t="shared" si="114"/>
        <v/>
      </c>
      <c r="BF71" s="62" t="str">
        <f t="shared" si="115"/>
        <v/>
      </c>
      <c r="BG71" s="421"/>
      <c r="BH71" s="59" t="str">
        <f t="shared" si="116"/>
        <v/>
      </c>
      <c r="BI71" s="62" t="str">
        <f t="shared" si="117"/>
        <v/>
      </c>
      <c r="BJ71" s="421"/>
      <c r="BK71" s="59" t="str">
        <f t="shared" si="118"/>
        <v/>
      </c>
      <c r="BL71" s="62" t="str">
        <f t="shared" si="119"/>
        <v/>
      </c>
      <c r="BM71" s="421"/>
      <c r="BN71" s="59" t="str">
        <f t="shared" si="120"/>
        <v/>
      </c>
      <c r="BO71" s="62" t="str">
        <f t="shared" si="121"/>
        <v/>
      </c>
      <c r="BP71" s="421"/>
      <c r="BQ71" s="59" t="str">
        <f t="shared" si="122"/>
        <v/>
      </c>
      <c r="BR71" s="62" t="str">
        <f t="shared" si="123"/>
        <v/>
      </c>
      <c r="BS71" s="421"/>
      <c r="BT71" s="59" t="str">
        <f t="shared" si="124"/>
        <v/>
      </c>
      <c r="BU71" s="62" t="str">
        <f t="shared" si="125"/>
        <v/>
      </c>
      <c r="BV71" s="421"/>
      <c r="BW71" s="59" t="str">
        <f t="shared" si="126"/>
        <v/>
      </c>
      <c r="BX71" s="62" t="str">
        <f t="shared" si="127"/>
        <v/>
      </c>
      <c r="BY71" s="421"/>
      <c r="BZ71" s="59" t="str">
        <f t="shared" si="128"/>
        <v/>
      </c>
      <c r="CA71" s="62" t="str">
        <f t="shared" si="129"/>
        <v/>
      </c>
      <c r="CB71" s="421"/>
      <c r="CC71" s="59" t="str">
        <f t="shared" si="130"/>
        <v/>
      </c>
      <c r="CD71" s="62" t="str">
        <f t="shared" si="131"/>
        <v/>
      </c>
      <c r="CE71" s="421"/>
      <c r="CF71" s="59" t="str">
        <f t="shared" si="132"/>
        <v/>
      </c>
      <c r="CG71" s="62" t="str">
        <f t="shared" si="133"/>
        <v/>
      </c>
      <c r="CH71" s="421"/>
      <c r="CI71" s="59" t="str">
        <f t="shared" si="134"/>
        <v/>
      </c>
      <c r="CJ71" s="62" t="str">
        <f t="shared" si="135"/>
        <v/>
      </c>
      <c r="CK71" s="421"/>
      <c r="CL71" s="59" t="str">
        <f t="shared" si="136"/>
        <v/>
      </c>
      <c r="CM71" s="62" t="str">
        <f t="shared" si="137"/>
        <v/>
      </c>
      <c r="CN71" s="421"/>
      <c r="CO71" s="59" t="str">
        <f t="shared" si="138"/>
        <v/>
      </c>
      <c r="CP71" s="62" t="str">
        <f t="shared" si="139"/>
        <v/>
      </c>
      <c r="CQ71" s="421"/>
      <c r="CR71" s="59" t="str">
        <f t="shared" si="140"/>
        <v/>
      </c>
      <c r="CS71" s="62" t="str">
        <f t="shared" si="141"/>
        <v/>
      </c>
      <c r="CT71" s="421"/>
      <c r="CU71" s="59" t="str">
        <f t="shared" si="142"/>
        <v/>
      </c>
      <c r="CV71" s="62" t="str">
        <f t="shared" si="143"/>
        <v/>
      </c>
      <c r="CW71" s="421"/>
      <c r="CX71" s="59" t="str">
        <f t="shared" si="144"/>
        <v/>
      </c>
      <c r="CY71" s="62" t="str">
        <f t="shared" si="145"/>
        <v/>
      </c>
      <c r="CZ71" s="421"/>
      <c r="DA71" s="59" t="str">
        <f t="shared" si="146"/>
        <v/>
      </c>
      <c r="DB71" s="62" t="str">
        <f t="shared" si="147"/>
        <v/>
      </c>
      <c r="DC71" s="421"/>
      <c r="DD71" s="59" t="str">
        <f t="shared" si="148"/>
        <v/>
      </c>
      <c r="DE71" s="62" t="str">
        <f t="shared" si="149"/>
        <v/>
      </c>
      <c r="DF71" s="421"/>
      <c r="DG71" s="59" t="str">
        <f t="shared" si="150"/>
        <v/>
      </c>
      <c r="DH71" s="62" t="str">
        <f t="shared" si="151"/>
        <v/>
      </c>
      <c r="DI71" s="421"/>
      <c r="DJ71" s="59" t="str">
        <f t="shared" si="152"/>
        <v/>
      </c>
      <c r="DK71" s="62" t="str">
        <f t="shared" si="153"/>
        <v/>
      </c>
      <c r="DL71" s="421"/>
      <c r="DM71" s="59" t="str">
        <f t="shared" si="154"/>
        <v/>
      </c>
      <c r="DN71" s="62" t="str">
        <f t="shared" si="155"/>
        <v/>
      </c>
      <c r="DO71" s="421"/>
      <c r="DP71" s="59" t="str">
        <f t="shared" si="156"/>
        <v/>
      </c>
      <c r="DQ71" s="62" t="str">
        <f t="shared" si="157"/>
        <v/>
      </c>
      <c r="DR71" s="421"/>
      <c r="DS71" s="59" t="str">
        <f t="shared" si="158"/>
        <v/>
      </c>
      <c r="DT71" s="62" t="str">
        <f t="shared" si="159"/>
        <v/>
      </c>
      <c r="DU71" s="421"/>
      <c r="DV71" s="59" t="str">
        <f t="shared" si="160"/>
        <v/>
      </c>
      <c r="DW71" s="62" t="str">
        <f t="shared" si="161"/>
        <v/>
      </c>
      <c r="DX71" s="161"/>
    </row>
    <row r="72" spans="2:128" ht="23.25" customHeight="1" x14ac:dyDescent="0.2">
      <c r="B72" s="377"/>
      <c r="C72" s="348">
        <f t="shared" si="81"/>
        <v>41</v>
      </c>
      <c r="D72" s="425"/>
      <c r="E72" s="57"/>
      <c r="F72" s="57"/>
      <c r="G72" s="420"/>
      <c r="H72" s="421"/>
      <c r="I72" s="129" t="str">
        <f t="shared" si="82"/>
        <v/>
      </c>
      <c r="J72" s="97" t="str">
        <f t="shared" si="83"/>
        <v/>
      </c>
      <c r="K72" s="421"/>
      <c r="L72" s="59" t="str">
        <f t="shared" si="84"/>
        <v/>
      </c>
      <c r="M72" s="60" t="str">
        <f t="shared" si="85"/>
        <v/>
      </c>
      <c r="N72" s="421"/>
      <c r="O72" s="59" t="str">
        <f t="shared" si="86"/>
        <v/>
      </c>
      <c r="P72" s="60" t="str">
        <f t="shared" si="87"/>
        <v/>
      </c>
      <c r="Q72" s="421"/>
      <c r="R72" s="59" t="str">
        <f t="shared" si="88"/>
        <v/>
      </c>
      <c r="S72" s="61" t="str">
        <f t="shared" si="89"/>
        <v/>
      </c>
      <c r="T72" s="421"/>
      <c r="U72" s="59" t="str">
        <f t="shared" si="90"/>
        <v/>
      </c>
      <c r="V72" s="60" t="str">
        <f t="shared" si="91"/>
        <v/>
      </c>
      <c r="W72" s="422"/>
      <c r="X72" s="59" t="str">
        <f t="shared" si="92"/>
        <v/>
      </c>
      <c r="Y72" s="62" t="str">
        <f t="shared" si="93"/>
        <v/>
      </c>
      <c r="Z72" s="421"/>
      <c r="AA72" s="59" t="str">
        <f t="shared" si="94"/>
        <v/>
      </c>
      <c r="AB72" s="62" t="str">
        <f t="shared" si="95"/>
        <v/>
      </c>
      <c r="AC72" s="422"/>
      <c r="AD72" s="59" t="str">
        <f t="shared" si="96"/>
        <v/>
      </c>
      <c r="AE72" s="62" t="str">
        <f t="shared" si="97"/>
        <v/>
      </c>
      <c r="AF72" s="421"/>
      <c r="AG72" s="59" t="str">
        <f t="shared" si="98"/>
        <v/>
      </c>
      <c r="AH72" s="62" t="str">
        <f t="shared" si="99"/>
        <v/>
      </c>
      <c r="AI72" s="421"/>
      <c r="AJ72" s="59" t="str">
        <f t="shared" si="100"/>
        <v/>
      </c>
      <c r="AK72" s="62" t="str">
        <f t="shared" si="101"/>
        <v/>
      </c>
      <c r="AL72" s="421"/>
      <c r="AM72" s="59" t="str">
        <f t="shared" si="102"/>
        <v/>
      </c>
      <c r="AN72" s="62" t="str">
        <f t="shared" si="103"/>
        <v/>
      </c>
      <c r="AO72" s="421"/>
      <c r="AP72" s="59" t="str">
        <f t="shared" si="104"/>
        <v/>
      </c>
      <c r="AQ72" s="62" t="str">
        <f t="shared" si="105"/>
        <v/>
      </c>
      <c r="AR72" s="421"/>
      <c r="AS72" s="59" t="str">
        <f t="shared" si="106"/>
        <v/>
      </c>
      <c r="AT72" s="62" t="str">
        <f t="shared" si="107"/>
        <v/>
      </c>
      <c r="AU72" s="421"/>
      <c r="AV72" s="59" t="str">
        <f t="shared" si="108"/>
        <v/>
      </c>
      <c r="AW72" s="62" t="str">
        <f t="shared" si="109"/>
        <v/>
      </c>
      <c r="AX72" s="421"/>
      <c r="AY72" s="59" t="str">
        <f t="shared" si="110"/>
        <v/>
      </c>
      <c r="AZ72" s="62" t="str">
        <f t="shared" si="111"/>
        <v/>
      </c>
      <c r="BA72" s="421"/>
      <c r="BB72" s="59" t="str">
        <f t="shared" si="112"/>
        <v/>
      </c>
      <c r="BC72" s="62" t="str">
        <f t="shared" si="113"/>
        <v/>
      </c>
      <c r="BD72" s="421"/>
      <c r="BE72" s="59" t="str">
        <f t="shared" si="114"/>
        <v/>
      </c>
      <c r="BF72" s="62" t="str">
        <f t="shared" si="115"/>
        <v/>
      </c>
      <c r="BG72" s="421"/>
      <c r="BH72" s="59" t="str">
        <f t="shared" si="116"/>
        <v/>
      </c>
      <c r="BI72" s="62" t="str">
        <f t="shared" si="117"/>
        <v/>
      </c>
      <c r="BJ72" s="421"/>
      <c r="BK72" s="59" t="str">
        <f t="shared" si="118"/>
        <v/>
      </c>
      <c r="BL72" s="62" t="str">
        <f t="shared" si="119"/>
        <v/>
      </c>
      <c r="BM72" s="421"/>
      <c r="BN72" s="59" t="str">
        <f t="shared" si="120"/>
        <v/>
      </c>
      <c r="BO72" s="62" t="str">
        <f t="shared" si="121"/>
        <v/>
      </c>
      <c r="BP72" s="421"/>
      <c r="BQ72" s="59" t="str">
        <f t="shared" si="122"/>
        <v/>
      </c>
      <c r="BR72" s="62" t="str">
        <f t="shared" si="123"/>
        <v/>
      </c>
      <c r="BS72" s="421"/>
      <c r="BT72" s="59" t="str">
        <f t="shared" si="124"/>
        <v/>
      </c>
      <c r="BU72" s="62" t="str">
        <f t="shared" si="125"/>
        <v/>
      </c>
      <c r="BV72" s="421"/>
      <c r="BW72" s="59" t="str">
        <f t="shared" si="126"/>
        <v/>
      </c>
      <c r="BX72" s="62" t="str">
        <f t="shared" si="127"/>
        <v/>
      </c>
      <c r="BY72" s="421"/>
      <c r="BZ72" s="59" t="str">
        <f t="shared" si="128"/>
        <v/>
      </c>
      <c r="CA72" s="62" t="str">
        <f t="shared" si="129"/>
        <v/>
      </c>
      <c r="CB72" s="421"/>
      <c r="CC72" s="59" t="str">
        <f t="shared" si="130"/>
        <v/>
      </c>
      <c r="CD72" s="62" t="str">
        <f t="shared" si="131"/>
        <v/>
      </c>
      <c r="CE72" s="421"/>
      <c r="CF72" s="59" t="str">
        <f t="shared" si="132"/>
        <v/>
      </c>
      <c r="CG72" s="62" t="str">
        <f t="shared" si="133"/>
        <v/>
      </c>
      <c r="CH72" s="421"/>
      <c r="CI72" s="59" t="str">
        <f t="shared" si="134"/>
        <v/>
      </c>
      <c r="CJ72" s="62" t="str">
        <f t="shared" si="135"/>
        <v/>
      </c>
      <c r="CK72" s="421"/>
      <c r="CL72" s="59" t="str">
        <f t="shared" si="136"/>
        <v/>
      </c>
      <c r="CM72" s="62" t="str">
        <f t="shared" si="137"/>
        <v/>
      </c>
      <c r="CN72" s="421"/>
      <c r="CO72" s="59" t="str">
        <f t="shared" si="138"/>
        <v/>
      </c>
      <c r="CP72" s="62" t="str">
        <f t="shared" si="139"/>
        <v/>
      </c>
      <c r="CQ72" s="421"/>
      <c r="CR72" s="59" t="str">
        <f t="shared" si="140"/>
        <v/>
      </c>
      <c r="CS72" s="62" t="str">
        <f t="shared" si="141"/>
        <v/>
      </c>
      <c r="CT72" s="421"/>
      <c r="CU72" s="59" t="str">
        <f t="shared" si="142"/>
        <v/>
      </c>
      <c r="CV72" s="62" t="str">
        <f t="shared" si="143"/>
        <v/>
      </c>
      <c r="CW72" s="421"/>
      <c r="CX72" s="59" t="str">
        <f t="shared" si="144"/>
        <v/>
      </c>
      <c r="CY72" s="62" t="str">
        <f t="shared" si="145"/>
        <v/>
      </c>
      <c r="CZ72" s="421"/>
      <c r="DA72" s="59" t="str">
        <f t="shared" si="146"/>
        <v/>
      </c>
      <c r="DB72" s="62" t="str">
        <f t="shared" si="147"/>
        <v/>
      </c>
      <c r="DC72" s="421"/>
      <c r="DD72" s="59" t="str">
        <f t="shared" si="148"/>
        <v/>
      </c>
      <c r="DE72" s="62" t="str">
        <f t="shared" si="149"/>
        <v/>
      </c>
      <c r="DF72" s="421"/>
      <c r="DG72" s="59" t="str">
        <f t="shared" si="150"/>
        <v/>
      </c>
      <c r="DH72" s="62" t="str">
        <f t="shared" si="151"/>
        <v/>
      </c>
      <c r="DI72" s="421"/>
      <c r="DJ72" s="59" t="str">
        <f t="shared" si="152"/>
        <v/>
      </c>
      <c r="DK72" s="62" t="str">
        <f t="shared" si="153"/>
        <v/>
      </c>
      <c r="DL72" s="421"/>
      <c r="DM72" s="59" t="str">
        <f t="shared" si="154"/>
        <v/>
      </c>
      <c r="DN72" s="62" t="str">
        <f t="shared" si="155"/>
        <v/>
      </c>
      <c r="DO72" s="421"/>
      <c r="DP72" s="59" t="str">
        <f t="shared" si="156"/>
        <v/>
      </c>
      <c r="DQ72" s="62" t="str">
        <f t="shared" si="157"/>
        <v/>
      </c>
      <c r="DR72" s="421"/>
      <c r="DS72" s="59" t="str">
        <f t="shared" si="158"/>
        <v/>
      </c>
      <c r="DT72" s="62" t="str">
        <f t="shared" si="159"/>
        <v/>
      </c>
      <c r="DU72" s="421"/>
      <c r="DV72" s="59" t="str">
        <f t="shared" si="160"/>
        <v/>
      </c>
      <c r="DW72" s="62" t="str">
        <f t="shared" si="161"/>
        <v/>
      </c>
      <c r="DX72" s="161"/>
    </row>
    <row r="73" spans="2:128" ht="23.25" customHeight="1" x14ac:dyDescent="0.2">
      <c r="B73" s="377"/>
      <c r="C73" s="348">
        <f t="shared" si="81"/>
        <v>42</v>
      </c>
      <c r="D73" s="425"/>
      <c r="E73" s="57"/>
      <c r="F73" s="57"/>
      <c r="G73" s="420"/>
      <c r="H73" s="421"/>
      <c r="I73" s="129" t="str">
        <f t="shared" si="82"/>
        <v/>
      </c>
      <c r="J73" s="97" t="str">
        <f t="shared" si="83"/>
        <v/>
      </c>
      <c r="K73" s="421"/>
      <c r="L73" s="59" t="str">
        <f t="shared" si="84"/>
        <v/>
      </c>
      <c r="M73" s="60" t="str">
        <f t="shared" si="85"/>
        <v/>
      </c>
      <c r="N73" s="421"/>
      <c r="O73" s="59" t="str">
        <f t="shared" si="86"/>
        <v/>
      </c>
      <c r="P73" s="60" t="str">
        <f t="shared" si="87"/>
        <v/>
      </c>
      <c r="Q73" s="421"/>
      <c r="R73" s="59" t="str">
        <f t="shared" si="88"/>
        <v/>
      </c>
      <c r="S73" s="61" t="str">
        <f t="shared" si="89"/>
        <v/>
      </c>
      <c r="T73" s="421"/>
      <c r="U73" s="59" t="str">
        <f t="shared" si="90"/>
        <v/>
      </c>
      <c r="V73" s="60" t="str">
        <f t="shared" si="91"/>
        <v/>
      </c>
      <c r="W73" s="422"/>
      <c r="X73" s="59" t="str">
        <f t="shared" si="92"/>
        <v/>
      </c>
      <c r="Y73" s="62" t="str">
        <f t="shared" si="93"/>
        <v/>
      </c>
      <c r="Z73" s="421"/>
      <c r="AA73" s="59" t="str">
        <f t="shared" si="94"/>
        <v/>
      </c>
      <c r="AB73" s="62" t="str">
        <f t="shared" si="95"/>
        <v/>
      </c>
      <c r="AC73" s="422"/>
      <c r="AD73" s="59" t="str">
        <f t="shared" si="96"/>
        <v/>
      </c>
      <c r="AE73" s="62" t="str">
        <f t="shared" si="97"/>
        <v/>
      </c>
      <c r="AF73" s="421"/>
      <c r="AG73" s="59" t="str">
        <f t="shared" si="98"/>
        <v/>
      </c>
      <c r="AH73" s="62" t="str">
        <f t="shared" si="99"/>
        <v/>
      </c>
      <c r="AI73" s="421"/>
      <c r="AJ73" s="59" t="str">
        <f t="shared" si="100"/>
        <v/>
      </c>
      <c r="AK73" s="62" t="str">
        <f t="shared" si="101"/>
        <v/>
      </c>
      <c r="AL73" s="421"/>
      <c r="AM73" s="59" t="str">
        <f t="shared" si="102"/>
        <v/>
      </c>
      <c r="AN73" s="62" t="str">
        <f t="shared" si="103"/>
        <v/>
      </c>
      <c r="AO73" s="421"/>
      <c r="AP73" s="59" t="str">
        <f t="shared" si="104"/>
        <v/>
      </c>
      <c r="AQ73" s="62" t="str">
        <f t="shared" si="105"/>
        <v/>
      </c>
      <c r="AR73" s="421"/>
      <c r="AS73" s="59" t="str">
        <f t="shared" si="106"/>
        <v/>
      </c>
      <c r="AT73" s="62" t="str">
        <f t="shared" si="107"/>
        <v/>
      </c>
      <c r="AU73" s="421"/>
      <c r="AV73" s="59" t="str">
        <f t="shared" si="108"/>
        <v/>
      </c>
      <c r="AW73" s="62" t="str">
        <f t="shared" si="109"/>
        <v/>
      </c>
      <c r="AX73" s="421"/>
      <c r="AY73" s="59" t="str">
        <f t="shared" si="110"/>
        <v/>
      </c>
      <c r="AZ73" s="62" t="str">
        <f t="shared" si="111"/>
        <v/>
      </c>
      <c r="BA73" s="421"/>
      <c r="BB73" s="59" t="str">
        <f t="shared" si="112"/>
        <v/>
      </c>
      <c r="BC73" s="62" t="str">
        <f t="shared" si="113"/>
        <v/>
      </c>
      <c r="BD73" s="421"/>
      <c r="BE73" s="59" t="str">
        <f t="shared" si="114"/>
        <v/>
      </c>
      <c r="BF73" s="62" t="str">
        <f t="shared" si="115"/>
        <v/>
      </c>
      <c r="BG73" s="421"/>
      <c r="BH73" s="59" t="str">
        <f t="shared" si="116"/>
        <v/>
      </c>
      <c r="BI73" s="62" t="str">
        <f t="shared" si="117"/>
        <v/>
      </c>
      <c r="BJ73" s="421"/>
      <c r="BK73" s="59" t="str">
        <f t="shared" si="118"/>
        <v/>
      </c>
      <c r="BL73" s="62" t="str">
        <f t="shared" si="119"/>
        <v/>
      </c>
      <c r="BM73" s="421"/>
      <c r="BN73" s="59" t="str">
        <f t="shared" si="120"/>
        <v/>
      </c>
      <c r="BO73" s="62" t="str">
        <f t="shared" si="121"/>
        <v/>
      </c>
      <c r="BP73" s="421"/>
      <c r="BQ73" s="59" t="str">
        <f t="shared" si="122"/>
        <v/>
      </c>
      <c r="BR73" s="62" t="str">
        <f t="shared" si="123"/>
        <v/>
      </c>
      <c r="BS73" s="421"/>
      <c r="BT73" s="59" t="str">
        <f t="shared" si="124"/>
        <v/>
      </c>
      <c r="BU73" s="62" t="str">
        <f t="shared" si="125"/>
        <v/>
      </c>
      <c r="BV73" s="421"/>
      <c r="BW73" s="59" t="str">
        <f t="shared" si="126"/>
        <v/>
      </c>
      <c r="BX73" s="62" t="str">
        <f t="shared" si="127"/>
        <v/>
      </c>
      <c r="BY73" s="421"/>
      <c r="BZ73" s="59" t="str">
        <f t="shared" si="128"/>
        <v/>
      </c>
      <c r="CA73" s="62" t="str">
        <f t="shared" si="129"/>
        <v/>
      </c>
      <c r="CB73" s="421"/>
      <c r="CC73" s="59" t="str">
        <f t="shared" si="130"/>
        <v/>
      </c>
      <c r="CD73" s="62" t="str">
        <f t="shared" si="131"/>
        <v/>
      </c>
      <c r="CE73" s="421"/>
      <c r="CF73" s="59" t="str">
        <f t="shared" si="132"/>
        <v/>
      </c>
      <c r="CG73" s="62" t="str">
        <f t="shared" si="133"/>
        <v/>
      </c>
      <c r="CH73" s="421"/>
      <c r="CI73" s="59" t="str">
        <f t="shared" si="134"/>
        <v/>
      </c>
      <c r="CJ73" s="62" t="str">
        <f t="shared" si="135"/>
        <v/>
      </c>
      <c r="CK73" s="421"/>
      <c r="CL73" s="59" t="str">
        <f t="shared" si="136"/>
        <v/>
      </c>
      <c r="CM73" s="62" t="str">
        <f t="shared" si="137"/>
        <v/>
      </c>
      <c r="CN73" s="421"/>
      <c r="CO73" s="59" t="str">
        <f t="shared" si="138"/>
        <v/>
      </c>
      <c r="CP73" s="62" t="str">
        <f t="shared" si="139"/>
        <v/>
      </c>
      <c r="CQ73" s="421"/>
      <c r="CR73" s="59" t="str">
        <f t="shared" si="140"/>
        <v/>
      </c>
      <c r="CS73" s="62" t="str">
        <f t="shared" si="141"/>
        <v/>
      </c>
      <c r="CT73" s="421"/>
      <c r="CU73" s="59" t="str">
        <f t="shared" si="142"/>
        <v/>
      </c>
      <c r="CV73" s="62" t="str">
        <f t="shared" si="143"/>
        <v/>
      </c>
      <c r="CW73" s="421"/>
      <c r="CX73" s="59" t="str">
        <f t="shared" si="144"/>
        <v/>
      </c>
      <c r="CY73" s="62" t="str">
        <f t="shared" si="145"/>
        <v/>
      </c>
      <c r="CZ73" s="421"/>
      <c r="DA73" s="59" t="str">
        <f t="shared" si="146"/>
        <v/>
      </c>
      <c r="DB73" s="62" t="str">
        <f t="shared" si="147"/>
        <v/>
      </c>
      <c r="DC73" s="421"/>
      <c r="DD73" s="59" t="str">
        <f t="shared" si="148"/>
        <v/>
      </c>
      <c r="DE73" s="62" t="str">
        <f t="shared" si="149"/>
        <v/>
      </c>
      <c r="DF73" s="421"/>
      <c r="DG73" s="59" t="str">
        <f t="shared" si="150"/>
        <v/>
      </c>
      <c r="DH73" s="62" t="str">
        <f t="shared" si="151"/>
        <v/>
      </c>
      <c r="DI73" s="421"/>
      <c r="DJ73" s="59" t="str">
        <f t="shared" si="152"/>
        <v/>
      </c>
      <c r="DK73" s="62" t="str">
        <f t="shared" si="153"/>
        <v/>
      </c>
      <c r="DL73" s="421"/>
      <c r="DM73" s="59" t="str">
        <f t="shared" si="154"/>
        <v/>
      </c>
      <c r="DN73" s="62" t="str">
        <f t="shared" si="155"/>
        <v/>
      </c>
      <c r="DO73" s="421"/>
      <c r="DP73" s="59" t="str">
        <f t="shared" si="156"/>
        <v/>
      </c>
      <c r="DQ73" s="62" t="str">
        <f t="shared" si="157"/>
        <v/>
      </c>
      <c r="DR73" s="421"/>
      <c r="DS73" s="59" t="str">
        <f t="shared" si="158"/>
        <v/>
      </c>
      <c r="DT73" s="62" t="str">
        <f t="shared" si="159"/>
        <v/>
      </c>
      <c r="DU73" s="421"/>
      <c r="DV73" s="59" t="str">
        <f t="shared" si="160"/>
        <v/>
      </c>
      <c r="DW73" s="62" t="str">
        <f t="shared" si="161"/>
        <v/>
      </c>
      <c r="DX73" s="161"/>
    </row>
    <row r="74" spans="2:128" ht="23.25" customHeight="1" x14ac:dyDescent="0.2">
      <c r="B74" s="377"/>
      <c r="C74" s="348">
        <f t="shared" si="81"/>
        <v>43</v>
      </c>
      <c r="D74" s="425"/>
      <c r="E74" s="57"/>
      <c r="F74" s="57"/>
      <c r="G74" s="420"/>
      <c r="H74" s="421"/>
      <c r="I74" s="129" t="str">
        <f t="shared" si="82"/>
        <v/>
      </c>
      <c r="J74" s="97" t="str">
        <f t="shared" si="83"/>
        <v/>
      </c>
      <c r="K74" s="421"/>
      <c r="L74" s="59" t="str">
        <f t="shared" si="84"/>
        <v/>
      </c>
      <c r="M74" s="60" t="str">
        <f t="shared" si="85"/>
        <v/>
      </c>
      <c r="N74" s="421"/>
      <c r="O74" s="59" t="str">
        <f t="shared" si="86"/>
        <v/>
      </c>
      <c r="P74" s="60" t="str">
        <f t="shared" si="87"/>
        <v/>
      </c>
      <c r="Q74" s="421"/>
      <c r="R74" s="59" t="str">
        <f t="shared" si="88"/>
        <v/>
      </c>
      <c r="S74" s="61" t="str">
        <f t="shared" si="89"/>
        <v/>
      </c>
      <c r="T74" s="421"/>
      <c r="U74" s="59" t="str">
        <f t="shared" si="90"/>
        <v/>
      </c>
      <c r="V74" s="60" t="str">
        <f t="shared" si="91"/>
        <v/>
      </c>
      <c r="W74" s="422"/>
      <c r="X74" s="59" t="str">
        <f t="shared" si="92"/>
        <v/>
      </c>
      <c r="Y74" s="62" t="str">
        <f t="shared" si="93"/>
        <v/>
      </c>
      <c r="Z74" s="421"/>
      <c r="AA74" s="59" t="str">
        <f t="shared" si="94"/>
        <v/>
      </c>
      <c r="AB74" s="62" t="str">
        <f t="shared" si="95"/>
        <v/>
      </c>
      <c r="AC74" s="422"/>
      <c r="AD74" s="59" t="str">
        <f t="shared" si="96"/>
        <v/>
      </c>
      <c r="AE74" s="62" t="str">
        <f t="shared" si="97"/>
        <v/>
      </c>
      <c r="AF74" s="421"/>
      <c r="AG74" s="59" t="str">
        <f t="shared" si="98"/>
        <v/>
      </c>
      <c r="AH74" s="62" t="str">
        <f t="shared" si="99"/>
        <v/>
      </c>
      <c r="AI74" s="421"/>
      <c r="AJ74" s="59" t="str">
        <f t="shared" si="100"/>
        <v/>
      </c>
      <c r="AK74" s="62" t="str">
        <f t="shared" si="101"/>
        <v/>
      </c>
      <c r="AL74" s="421"/>
      <c r="AM74" s="59" t="str">
        <f t="shared" si="102"/>
        <v/>
      </c>
      <c r="AN74" s="62" t="str">
        <f t="shared" si="103"/>
        <v/>
      </c>
      <c r="AO74" s="421"/>
      <c r="AP74" s="59" t="str">
        <f t="shared" si="104"/>
        <v/>
      </c>
      <c r="AQ74" s="62" t="str">
        <f t="shared" si="105"/>
        <v/>
      </c>
      <c r="AR74" s="421"/>
      <c r="AS74" s="59" t="str">
        <f t="shared" si="106"/>
        <v/>
      </c>
      <c r="AT74" s="62" t="str">
        <f t="shared" si="107"/>
        <v/>
      </c>
      <c r="AU74" s="421"/>
      <c r="AV74" s="59" t="str">
        <f t="shared" si="108"/>
        <v/>
      </c>
      <c r="AW74" s="62" t="str">
        <f t="shared" si="109"/>
        <v/>
      </c>
      <c r="AX74" s="421"/>
      <c r="AY74" s="59" t="str">
        <f t="shared" si="110"/>
        <v/>
      </c>
      <c r="AZ74" s="62" t="str">
        <f t="shared" si="111"/>
        <v/>
      </c>
      <c r="BA74" s="421"/>
      <c r="BB74" s="59" t="str">
        <f t="shared" si="112"/>
        <v/>
      </c>
      <c r="BC74" s="62" t="str">
        <f t="shared" si="113"/>
        <v/>
      </c>
      <c r="BD74" s="421"/>
      <c r="BE74" s="59" t="str">
        <f t="shared" si="114"/>
        <v/>
      </c>
      <c r="BF74" s="62" t="str">
        <f t="shared" si="115"/>
        <v/>
      </c>
      <c r="BG74" s="421"/>
      <c r="BH74" s="59" t="str">
        <f t="shared" si="116"/>
        <v/>
      </c>
      <c r="BI74" s="62" t="str">
        <f t="shared" si="117"/>
        <v/>
      </c>
      <c r="BJ74" s="421"/>
      <c r="BK74" s="59" t="str">
        <f t="shared" si="118"/>
        <v/>
      </c>
      <c r="BL74" s="62" t="str">
        <f t="shared" si="119"/>
        <v/>
      </c>
      <c r="BM74" s="421"/>
      <c r="BN74" s="59" t="str">
        <f t="shared" si="120"/>
        <v/>
      </c>
      <c r="BO74" s="62" t="str">
        <f t="shared" si="121"/>
        <v/>
      </c>
      <c r="BP74" s="421"/>
      <c r="BQ74" s="59" t="str">
        <f t="shared" si="122"/>
        <v/>
      </c>
      <c r="BR74" s="62" t="str">
        <f t="shared" si="123"/>
        <v/>
      </c>
      <c r="BS74" s="421"/>
      <c r="BT74" s="59" t="str">
        <f t="shared" si="124"/>
        <v/>
      </c>
      <c r="BU74" s="62" t="str">
        <f t="shared" si="125"/>
        <v/>
      </c>
      <c r="BV74" s="421"/>
      <c r="BW74" s="59" t="str">
        <f t="shared" si="126"/>
        <v/>
      </c>
      <c r="BX74" s="62" t="str">
        <f t="shared" si="127"/>
        <v/>
      </c>
      <c r="BY74" s="421"/>
      <c r="BZ74" s="59" t="str">
        <f t="shared" si="128"/>
        <v/>
      </c>
      <c r="CA74" s="62" t="str">
        <f t="shared" si="129"/>
        <v/>
      </c>
      <c r="CB74" s="421"/>
      <c r="CC74" s="59" t="str">
        <f t="shared" si="130"/>
        <v/>
      </c>
      <c r="CD74" s="62" t="str">
        <f t="shared" si="131"/>
        <v/>
      </c>
      <c r="CE74" s="421"/>
      <c r="CF74" s="59" t="str">
        <f t="shared" si="132"/>
        <v/>
      </c>
      <c r="CG74" s="62" t="str">
        <f t="shared" si="133"/>
        <v/>
      </c>
      <c r="CH74" s="421"/>
      <c r="CI74" s="59" t="str">
        <f t="shared" si="134"/>
        <v/>
      </c>
      <c r="CJ74" s="62" t="str">
        <f t="shared" si="135"/>
        <v/>
      </c>
      <c r="CK74" s="421"/>
      <c r="CL74" s="59" t="str">
        <f t="shared" si="136"/>
        <v/>
      </c>
      <c r="CM74" s="62" t="str">
        <f t="shared" si="137"/>
        <v/>
      </c>
      <c r="CN74" s="421"/>
      <c r="CO74" s="59" t="str">
        <f t="shared" si="138"/>
        <v/>
      </c>
      <c r="CP74" s="62" t="str">
        <f t="shared" si="139"/>
        <v/>
      </c>
      <c r="CQ74" s="421"/>
      <c r="CR74" s="59" t="str">
        <f t="shared" si="140"/>
        <v/>
      </c>
      <c r="CS74" s="62" t="str">
        <f t="shared" si="141"/>
        <v/>
      </c>
      <c r="CT74" s="421"/>
      <c r="CU74" s="59" t="str">
        <f t="shared" si="142"/>
        <v/>
      </c>
      <c r="CV74" s="62" t="str">
        <f t="shared" si="143"/>
        <v/>
      </c>
      <c r="CW74" s="421"/>
      <c r="CX74" s="59" t="str">
        <f t="shared" si="144"/>
        <v/>
      </c>
      <c r="CY74" s="62" t="str">
        <f t="shared" si="145"/>
        <v/>
      </c>
      <c r="CZ74" s="421"/>
      <c r="DA74" s="59" t="str">
        <f t="shared" si="146"/>
        <v/>
      </c>
      <c r="DB74" s="62" t="str">
        <f t="shared" si="147"/>
        <v/>
      </c>
      <c r="DC74" s="421"/>
      <c r="DD74" s="59" t="str">
        <f t="shared" si="148"/>
        <v/>
      </c>
      <c r="DE74" s="62" t="str">
        <f t="shared" si="149"/>
        <v/>
      </c>
      <c r="DF74" s="421"/>
      <c r="DG74" s="59" t="str">
        <f t="shared" si="150"/>
        <v/>
      </c>
      <c r="DH74" s="62" t="str">
        <f t="shared" si="151"/>
        <v/>
      </c>
      <c r="DI74" s="421"/>
      <c r="DJ74" s="59" t="str">
        <f t="shared" si="152"/>
        <v/>
      </c>
      <c r="DK74" s="62" t="str">
        <f t="shared" si="153"/>
        <v/>
      </c>
      <c r="DL74" s="421"/>
      <c r="DM74" s="59" t="str">
        <f t="shared" si="154"/>
        <v/>
      </c>
      <c r="DN74" s="62" t="str">
        <f t="shared" si="155"/>
        <v/>
      </c>
      <c r="DO74" s="421"/>
      <c r="DP74" s="59" t="str">
        <f t="shared" si="156"/>
        <v/>
      </c>
      <c r="DQ74" s="62" t="str">
        <f t="shared" si="157"/>
        <v/>
      </c>
      <c r="DR74" s="421"/>
      <c r="DS74" s="59" t="str">
        <f t="shared" si="158"/>
        <v/>
      </c>
      <c r="DT74" s="62" t="str">
        <f t="shared" si="159"/>
        <v/>
      </c>
      <c r="DU74" s="421"/>
      <c r="DV74" s="59" t="str">
        <f t="shared" si="160"/>
        <v/>
      </c>
      <c r="DW74" s="62" t="str">
        <f t="shared" si="161"/>
        <v/>
      </c>
      <c r="DX74" s="161"/>
    </row>
    <row r="75" spans="2:128" ht="23.25" customHeight="1" x14ac:dyDescent="0.2">
      <c r="B75" s="377"/>
      <c r="C75" s="348">
        <f t="shared" si="81"/>
        <v>44</v>
      </c>
      <c r="D75" s="425"/>
      <c r="E75" s="57"/>
      <c r="F75" s="57"/>
      <c r="G75" s="420"/>
      <c r="H75" s="421"/>
      <c r="I75" s="129" t="str">
        <f t="shared" si="82"/>
        <v/>
      </c>
      <c r="J75" s="97" t="str">
        <f t="shared" si="83"/>
        <v/>
      </c>
      <c r="K75" s="421"/>
      <c r="L75" s="59" t="str">
        <f t="shared" si="84"/>
        <v/>
      </c>
      <c r="M75" s="60" t="str">
        <f t="shared" si="85"/>
        <v/>
      </c>
      <c r="N75" s="421"/>
      <c r="O75" s="59" t="str">
        <f t="shared" si="86"/>
        <v/>
      </c>
      <c r="P75" s="60" t="str">
        <f t="shared" si="87"/>
        <v/>
      </c>
      <c r="Q75" s="421"/>
      <c r="R75" s="59" t="str">
        <f t="shared" si="88"/>
        <v/>
      </c>
      <c r="S75" s="61" t="str">
        <f t="shared" si="89"/>
        <v/>
      </c>
      <c r="T75" s="421"/>
      <c r="U75" s="59" t="str">
        <f t="shared" si="90"/>
        <v/>
      </c>
      <c r="V75" s="60" t="str">
        <f t="shared" si="91"/>
        <v/>
      </c>
      <c r="W75" s="422"/>
      <c r="X75" s="59" t="str">
        <f t="shared" si="92"/>
        <v/>
      </c>
      <c r="Y75" s="62" t="str">
        <f t="shared" si="93"/>
        <v/>
      </c>
      <c r="Z75" s="421"/>
      <c r="AA75" s="59" t="str">
        <f t="shared" si="94"/>
        <v/>
      </c>
      <c r="AB75" s="62" t="str">
        <f t="shared" si="95"/>
        <v/>
      </c>
      <c r="AC75" s="422"/>
      <c r="AD75" s="59" t="str">
        <f t="shared" si="96"/>
        <v/>
      </c>
      <c r="AE75" s="62" t="str">
        <f t="shared" si="97"/>
        <v/>
      </c>
      <c r="AF75" s="421"/>
      <c r="AG75" s="59" t="str">
        <f t="shared" si="98"/>
        <v/>
      </c>
      <c r="AH75" s="62" t="str">
        <f t="shared" si="99"/>
        <v/>
      </c>
      <c r="AI75" s="421"/>
      <c r="AJ75" s="59" t="str">
        <f t="shared" si="100"/>
        <v/>
      </c>
      <c r="AK75" s="62" t="str">
        <f t="shared" si="101"/>
        <v/>
      </c>
      <c r="AL75" s="421"/>
      <c r="AM75" s="59" t="str">
        <f t="shared" si="102"/>
        <v/>
      </c>
      <c r="AN75" s="62" t="str">
        <f t="shared" si="103"/>
        <v/>
      </c>
      <c r="AO75" s="421"/>
      <c r="AP75" s="59" t="str">
        <f t="shared" si="104"/>
        <v/>
      </c>
      <c r="AQ75" s="62" t="str">
        <f t="shared" si="105"/>
        <v/>
      </c>
      <c r="AR75" s="421"/>
      <c r="AS75" s="59" t="str">
        <f t="shared" si="106"/>
        <v/>
      </c>
      <c r="AT75" s="62" t="str">
        <f t="shared" si="107"/>
        <v/>
      </c>
      <c r="AU75" s="421"/>
      <c r="AV75" s="59" t="str">
        <f t="shared" si="108"/>
        <v/>
      </c>
      <c r="AW75" s="62" t="str">
        <f t="shared" si="109"/>
        <v/>
      </c>
      <c r="AX75" s="421"/>
      <c r="AY75" s="59" t="str">
        <f t="shared" si="110"/>
        <v/>
      </c>
      <c r="AZ75" s="62" t="str">
        <f t="shared" si="111"/>
        <v/>
      </c>
      <c r="BA75" s="421"/>
      <c r="BB75" s="59" t="str">
        <f t="shared" si="112"/>
        <v/>
      </c>
      <c r="BC75" s="62" t="str">
        <f t="shared" si="113"/>
        <v/>
      </c>
      <c r="BD75" s="421"/>
      <c r="BE75" s="59" t="str">
        <f t="shared" si="114"/>
        <v/>
      </c>
      <c r="BF75" s="62" t="str">
        <f t="shared" si="115"/>
        <v/>
      </c>
      <c r="BG75" s="421"/>
      <c r="BH75" s="59" t="str">
        <f t="shared" si="116"/>
        <v/>
      </c>
      <c r="BI75" s="62" t="str">
        <f t="shared" si="117"/>
        <v/>
      </c>
      <c r="BJ75" s="421"/>
      <c r="BK75" s="59" t="str">
        <f t="shared" si="118"/>
        <v/>
      </c>
      <c r="BL75" s="62" t="str">
        <f t="shared" si="119"/>
        <v/>
      </c>
      <c r="BM75" s="421"/>
      <c r="BN75" s="59" t="str">
        <f t="shared" si="120"/>
        <v/>
      </c>
      <c r="BO75" s="62" t="str">
        <f t="shared" si="121"/>
        <v/>
      </c>
      <c r="BP75" s="421"/>
      <c r="BQ75" s="59" t="str">
        <f t="shared" si="122"/>
        <v/>
      </c>
      <c r="BR75" s="62" t="str">
        <f t="shared" si="123"/>
        <v/>
      </c>
      <c r="BS75" s="421"/>
      <c r="BT75" s="59" t="str">
        <f t="shared" si="124"/>
        <v/>
      </c>
      <c r="BU75" s="62" t="str">
        <f t="shared" si="125"/>
        <v/>
      </c>
      <c r="BV75" s="421"/>
      <c r="BW75" s="59" t="str">
        <f t="shared" si="126"/>
        <v/>
      </c>
      <c r="BX75" s="62" t="str">
        <f t="shared" si="127"/>
        <v/>
      </c>
      <c r="BY75" s="421"/>
      <c r="BZ75" s="59" t="str">
        <f t="shared" si="128"/>
        <v/>
      </c>
      <c r="CA75" s="62" t="str">
        <f t="shared" si="129"/>
        <v/>
      </c>
      <c r="CB75" s="421"/>
      <c r="CC75" s="59" t="str">
        <f t="shared" si="130"/>
        <v/>
      </c>
      <c r="CD75" s="62" t="str">
        <f t="shared" si="131"/>
        <v/>
      </c>
      <c r="CE75" s="421"/>
      <c r="CF75" s="59" t="str">
        <f t="shared" si="132"/>
        <v/>
      </c>
      <c r="CG75" s="62" t="str">
        <f t="shared" si="133"/>
        <v/>
      </c>
      <c r="CH75" s="421"/>
      <c r="CI75" s="59" t="str">
        <f t="shared" si="134"/>
        <v/>
      </c>
      <c r="CJ75" s="62" t="str">
        <f t="shared" si="135"/>
        <v/>
      </c>
      <c r="CK75" s="421"/>
      <c r="CL75" s="59" t="str">
        <f t="shared" si="136"/>
        <v/>
      </c>
      <c r="CM75" s="62" t="str">
        <f t="shared" si="137"/>
        <v/>
      </c>
      <c r="CN75" s="421"/>
      <c r="CO75" s="59" t="str">
        <f t="shared" si="138"/>
        <v/>
      </c>
      <c r="CP75" s="62" t="str">
        <f t="shared" si="139"/>
        <v/>
      </c>
      <c r="CQ75" s="421"/>
      <c r="CR75" s="59" t="str">
        <f t="shared" si="140"/>
        <v/>
      </c>
      <c r="CS75" s="62" t="str">
        <f t="shared" si="141"/>
        <v/>
      </c>
      <c r="CT75" s="421"/>
      <c r="CU75" s="59" t="str">
        <f t="shared" si="142"/>
        <v/>
      </c>
      <c r="CV75" s="62" t="str">
        <f t="shared" si="143"/>
        <v/>
      </c>
      <c r="CW75" s="421"/>
      <c r="CX75" s="59" t="str">
        <f t="shared" si="144"/>
        <v/>
      </c>
      <c r="CY75" s="62" t="str">
        <f t="shared" si="145"/>
        <v/>
      </c>
      <c r="CZ75" s="421"/>
      <c r="DA75" s="59" t="str">
        <f t="shared" si="146"/>
        <v/>
      </c>
      <c r="DB75" s="62" t="str">
        <f t="shared" si="147"/>
        <v/>
      </c>
      <c r="DC75" s="421"/>
      <c r="DD75" s="59" t="str">
        <f t="shared" si="148"/>
        <v/>
      </c>
      <c r="DE75" s="62" t="str">
        <f t="shared" si="149"/>
        <v/>
      </c>
      <c r="DF75" s="421"/>
      <c r="DG75" s="59" t="str">
        <f t="shared" si="150"/>
        <v/>
      </c>
      <c r="DH75" s="62" t="str">
        <f t="shared" si="151"/>
        <v/>
      </c>
      <c r="DI75" s="421"/>
      <c r="DJ75" s="59" t="str">
        <f t="shared" si="152"/>
        <v/>
      </c>
      <c r="DK75" s="62" t="str">
        <f t="shared" si="153"/>
        <v/>
      </c>
      <c r="DL75" s="421"/>
      <c r="DM75" s="59" t="str">
        <f t="shared" si="154"/>
        <v/>
      </c>
      <c r="DN75" s="62" t="str">
        <f t="shared" si="155"/>
        <v/>
      </c>
      <c r="DO75" s="421"/>
      <c r="DP75" s="59" t="str">
        <f t="shared" si="156"/>
        <v/>
      </c>
      <c r="DQ75" s="62" t="str">
        <f t="shared" si="157"/>
        <v/>
      </c>
      <c r="DR75" s="421"/>
      <c r="DS75" s="59" t="str">
        <f t="shared" si="158"/>
        <v/>
      </c>
      <c r="DT75" s="62" t="str">
        <f t="shared" si="159"/>
        <v/>
      </c>
      <c r="DU75" s="421"/>
      <c r="DV75" s="59" t="str">
        <f t="shared" si="160"/>
        <v/>
      </c>
      <c r="DW75" s="62" t="str">
        <f t="shared" si="161"/>
        <v/>
      </c>
      <c r="DX75" s="161"/>
    </row>
    <row r="76" spans="2:128" ht="23.25" customHeight="1" x14ac:dyDescent="0.2">
      <c r="B76" s="377"/>
      <c r="C76" s="348">
        <f t="shared" si="81"/>
        <v>45</v>
      </c>
      <c r="D76" s="425"/>
      <c r="E76" s="57"/>
      <c r="F76" s="57"/>
      <c r="G76" s="420"/>
      <c r="H76" s="421"/>
      <c r="I76" s="129" t="str">
        <f t="shared" si="82"/>
        <v/>
      </c>
      <c r="J76" s="97" t="str">
        <f t="shared" si="83"/>
        <v/>
      </c>
      <c r="K76" s="421"/>
      <c r="L76" s="59" t="str">
        <f t="shared" si="84"/>
        <v/>
      </c>
      <c r="M76" s="60" t="str">
        <f t="shared" si="85"/>
        <v/>
      </c>
      <c r="N76" s="421"/>
      <c r="O76" s="59" t="str">
        <f t="shared" si="86"/>
        <v/>
      </c>
      <c r="P76" s="60" t="str">
        <f t="shared" si="87"/>
        <v/>
      </c>
      <c r="Q76" s="421"/>
      <c r="R76" s="59" t="str">
        <f t="shared" si="88"/>
        <v/>
      </c>
      <c r="S76" s="61" t="str">
        <f t="shared" si="89"/>
        <v/>
      </c>
      <c r="T76" s="421"/>
      <c r="U76" s="59" t="str">
        <f t="shared" si="90"/>
        <v/>
      </c>
      <c r="V76" s="60" t="str">
        <f t="shared" si="91"/>
        <v/>
      </c>
      <c r="W76" s="422"/>
      <c r="X76" s="59" t="str">
        <f t="shared" si="92"/>
        <v/>
      </c>
      <c r="Y76" s="62" t="str">
        <f t="shared" si="93"/>
        <v/>
      </c>
      <c r="Z76" s="421"/>
      <c r="AA76" s="59" t="str">
        <f t="shared" si="94"/>
        <v/>
      </c>
      <c r="AB76" s="62" t="str">
        <f t="shared" si="95"/>
        <v/>
      </c>
      <c r="AC76" s="422"/>
      <c r="AD76" s="59" t="str">
        <f t="shared" si="96"/>
        <v/>
      </c>
      <c r="AE76" s="62" t="str">
        <f t="shared" si="97"/>
        <v/>
      </c>
      <c r="AF76" s="421"/>
      <c r="AG76" s="59" t="str">
        <f t="shared" si="98"/>
        <v/>
      </c>
      <c r="AH76" s="62" t="str">
        <f t="shared" si="99"/>
        <v/>
      </c>
      <c r="AI76" s="421"/>
      <c r="AJ76" s="59" t="str">
        <f t="shared" si="100"/>
        <v/>
      </c>
      <c r="AK76" s="62" t="str">
        <f t="shared" si="101"/>
        <v/>
      </c>
      <c r="AL76" s="421"/>
      <c r="AM76" s="59" t="str">
        <f t="shared" si="102"/>
        <v/>
      </c>
      <c r="AN76" s="62" t="str">
        <f t="shared" si="103"/>
        <v/>
      </c>
      <c r="AO76" s="421"/>
      <c r="AP76" s="59" t="str">
        <f t="shared" si="104"/>
        <v/>
      </c>
      <c r="AQ76" s="62" t="str">
        <f t="shared" si="105"/>
        <v/>
      </c>
      <c r="AR76" s="421"/>
      <c r="AS76" s="59" t="str">
        <f t="shared" si="106"/>
        <v/>
      </c>
      <c r="AT76" s="62" t="str">
        <f t="shared" si="107"/>
        <v/>
      </c>
      <c r="AU76" s="421"/>
      <c r="AV76" s="59" t="str">
        <f t="shared" si="108"/>
        <v/>
      </c>
      <c r="AW76" s="62" t="str">
        <f t="shared" si="109"/>
        <v/>
      </c>
      <c r="AX76" s="421"/>
      <c r="AY76" s="59" t="str">
        <f t="shared" si="110"/>
        <v/>
      </c>
      <c r="AZ76" s="62" t="str">
        <f t="shared" si="111"/>
        <v/>
      </c>
      <c r="BA76" s="421"/>
      <c r="BB76" s="59" t="str">
        <f t="shared" si="112"/>
        <v/>
      </c>
      <c r="BC76" s="62" t="str">
        <f t="shared" si="113"/>
        <v/>
      </c>
      <c r="BD76" s="421"/>
      <c r="BE76" s="59" t="str">
        <f t="shared" si="114"/>
        <v/>
      </c>
      <c r="BF76" s="62" t="str">
        <f t="shared" si="115"/>
        <v/>
      </c>
      <c r="BG76" s="421"/>
      <c r="BH76" s="59" t="str">
        <f t="shared" si="116"/>
        <v/>
      </c>
      <c r="BI76" s="62" t="str">
        <f t="shared" si="117"/>
        <v/>
      </c>
      <c r="BJ76" s="421"/>
      <c r="BK76" s="59" t="str">
        <f t="shared" si="118"/>
        <v/>
      </c>
      <c r="BL76" s="62" t="str">
        <f t="shared" si="119"/>
        <v/>
      </c>
      <c r="BM76" s="421"/>
      <c r="BN76" s="59" t="str">
        <f t="shared" si="120"/>
        <v/>
      </c>
      <c r="BO76" s="62" t="str">
        <f t="shared" si="121"/>
        <v/>
      </c>
      <c r="BP76" s="421"/>
      <c r="BQ76" s="59" t="str">
        <f t="shared" si="122"/>
        <v/>
      </c>
      <c r="BR76" s="62" t="str">
        <f t="shared" si="123"/>
        <v/>
      </c>
      <c r="BS76" s="421"/>
      <c r="BT76" s="59" t="str">
        <f t="shared" si="124"/>
        <v/>
      </c>
      <c r="BU76" s="62" t="str">
        <f t="shared" si="125"/>
        <v/>
      </c>
      <c r="BV76" s="421"/>
      <c r="BW76" s="59" t="str">
        <f t="shared" si="126"/>
        <v/>
      </c>
      <c r="BX76" s="62" t="str">
        <f t="shared" si="127"/>
        <v/>
      </c>
      <c r="BY76" s="421"/>
      <c r="BZ76" s="59" t="str">
        <f t="shared" si="128"/>
        <v/>
      </c>
      <c r="CA76" s="62" t="str">
        <f t="shared" si="129"/>
        <v/>
      </c>
      <c r="CB76" s="421"/>
      <c r="CC76" s="59" t="str">
        <f t="shared" si="130"/>
        <v/>
      </c>
      <c r="CD76" s="62" t="str">
        <f t="shared" si="131"/>
        <v/>
      </c>
      <c r="CE76" s="421"/>
      <c r="CF76" s="59" t="str">
        <f t="shared" si="132"/>
        <v/>
      </c>
      <c r="CG76" s="62" t="str">
        <f t="shared" si="133"/>
        <v/>
      </c>
      <c r="CH76" s="421"/>
      <c r="CI76" s="59" t="str">
        <f t="shared" si="134"/>
        <v/>
      </c>
      <c r="CJ76" s="62" t="str">
        <f t="shared" si="135"/>
        <v/>
      </c>
      <c r="CK76" s="421"/>
      <c r="CL76" s="59" t="str">
        <f t="shared" si="136"/>
        <v/>
      </c>
      <c r="CM76" s="62" t="str">
        <f t="shared" si="137"/>
        <v/>
      </c>
      <c r="CN76" s="421"/>
      <c r="CO76" s="59" t="str">
        <f t="shared" si="138"/>
        <v/>
      </c>
      <c r="CP76" s="62" t="str">
        <f t="shared" si="139"/>
        <v/>
      </c>
      <c r="CQ76" s="421"/>
      <c r="CR76" s="59" t="str">
        <f t="shared" si="140"/>
        <v/>
      </c>
      <c r="CS76" s="62" t="str">
        <f t="shared" si="141"/>
        <v/>
      </c>
      <c r="CT76" s="421"/>
      <c r="CU76" s="59" t="str">
        <f t="shared" si="142"/>
        <v/>
      </c>
      <c r="CV76" s="62" t="str">
        <f t="shared" si="143"/>
        <v/>
      </c>
      <c r="CW76" s="421"/>
      <c r="CX76" s="59" t="str">
        <f t="shared" si="144"/>
        <v/>
      </c>
      <c r="CY76" s="62" t="str">
        <f t="shared" si="145"/>
        <v/>
      </c>
      <c r="CZ76" s="421"/>
      <c r="DA76" s="59" t="str">
        <f t="shared" si="146"/>
        <v/>
      </c>
      <c r="DB76" s="62" t="str">
        <f t="shared" si="147"/>
        <v/>
      </c>
      <c r="DC76" s="421"/>
      <c r="DD76" s="59" t="str">
        <f t="shared" si="148"/>
        <v/>
      </c>
      <c r="DE76" s="62" t="str">
        <f t="shared" si="149"/>
        <v/>
      </c>
      <c r="DF76" s="421"/>
      <c r="DG76" s="59" t="str">
        <f t="shared" si="150"/>
        <v/>
      </c>
      <c r="DH76" s="62" t="str">
        <f t="shared" si="151"/>
        <v/>
      </c>
      <c r="DI76" s="421"/>
      <c r="DJ76" s="59" t="str">
        <f t="shared" si="152"/>
        <v/>
      </c>
      <c r="DK76" s="62" t="str">
        <f t="shared" si="153"/>
        <v/>
      </c>
      <c r="DL76" s="421"/>
      <c r="DM76" s="59" t="str">
        <f t="shared" si="154"/>
        <v/>
      </c>
      <c r="DN76" s="62" t="str">
        <f t="shared" si="155"/>
        <v/>
      </c>
      <c r="DO76" s="421"/>
      <c r="DP76" s="59" t="str">
        <f t="shared" si="156"/>
        <v/>
      </c>
      <c r="DQ76" s="62" t="str">
        <f t="shared" si="157"/>
        <v/>
      </c>
      <c r="DR76" s="421"/>
      <c r="DS76" s="59" t="str">
        <f t="shared" si="158"/>
        <v/>
      </c>
      <c r="DT76" s="62" t="str">
        <f t="shared" si="159"/>
        <v/>
      </c>
      <c r="DU76" s="421"/>
      <c r="DV76" s="59" t="str">
        <f t="shared" si="160"/>
        <v/>
      </c>
      <c r="DW76" s="62" t="str">
        <f t="shared" si="161"/>
        <v/>
      </c>
      <c r="DX76" s="161"/>
    </row>
    <row r="77" spans="2:128" ht="23.25" customHeight="1" x14ac:dyDescent="0.2">
      <c r="B77" s="377"/>
      <c r="C77" s="348">
        <f t="shared" si="81"/>
        <v>46</v>
      </c>
      <c r="D77" s="425"/>
      <c r="E77" s="57"/>
      <c r="F77" s="57"/>
      <c r="G77" s="420"/>
      <c r="H77" s="421"/>
      <c r="I77" s="129" t="str">
        <f t="shared" si="82"/>
        <v/>
      </c>
      <c r="J77" s="97" t="str">
        <f t="shared" si="83"/>
        <v/>
      </c>
      <c r="K77" s="421"/>
      <c r="L77" s="59" t="str">
        <f t="shared" si="84"/>
        <v/>
      </c>
      <c r="M77" s="60" t="str">
        <f t="shared" si="85"/>
        <v/>
      </c>
      <c r="N77" s="421"/>
      <c r="O77" s="59" t="str">
        <f t="shared" si="86"/>
        <v/>
      </c>
      <c r="P77" s="60" t="str">
        <f t="shared" si="87"/>
        <v/>
      </c>
      <c r="Q77" s="421"/>
      <c r="R77" s="59" t="str">
        <f t="shared" si="88"/>
        <v/>
      </c>
      <c r="S77" s="61" t="str">
        <f t="shared" si="89"/>
        <v/>
      </c>
      <c r="T77" s="421"/>
      <c r="U77" s="59" t="str">
        <f t="shared" si="90"/>
        <v/>
      </c>
      <c r="V77" s="60" t="str">
        <f t="shared" si="91"/>
        <v/>
      </c>
      <c r="W77" s="422"/>
      <c r="X77" s="59" t="str">
        <f t="shared" si="92"/>
        <v/>
      </c>
      <c r="Y77" s="62" t="str">
        <f t="shared" si="93"/>
        <v/>
      </c>
      <c r="Z77" s="421"/>
      <c r="AA77" s="59" t="str">
        <f t="shared" si="94"/>
        <v/>
      </c>
      <c r="AB77" s="62" t="str">
        <f t="shared" si="95"/>
        <v/>
      </c>
      <c r="AC77" s="422"/>
      <c r="AD77" s="59" t="str">
        <f t="shared" si="96"/>
        <v/>
      </c>
      <c r="AE77" s="62" t="str">
        <f t="shared" si="97"/>
        <v/>
      </c>
      <c r="AF77" s="421"/>
      <c r="AG77" s="59" t="str">
        <f t="shared" si="98"/>
        <v/>
      </c>
      <c r="AH77" s="62" t="str">
        <f t="shared" si="99"/>
        <v/>
      </c>
      <c r="AI77" s="421"/>
      <c r="AJ77" s="59" t="str">
        <f t="shared" si="100"/>
        <v/>
      </c>
      <c r="AK77" s="62" t="str">
        <f t="shared" si="101"/>
        <v/>
      </c>
      <c r="AL77" s="421"/>
      <c r="AM77" s="59" t="str">
        <f t="shared" si="102"/>
        <v/>
      </c>
      <c r="AN77" s="62" t="str">
        <f t="shared" si="103"/>
        <v/>
      </c>
      <c r="AO77" s="421"/>
      <c r="AP77" s="59" t="str">
        <f t="shared" si="104"/>
        <v/>
      </c>
      <c r="AQ77" s="62" t="str">
        <f t="shared" si="105"/>
        <v/>
      </c>
      <c r="AR77" s="421"/>
      <c r="AS77" s="59" t="str">
        <f t="shared" si="106"/>
        <v/>
      </c>
      <c r="AT77" s="62" t="str">
        <f t="shared" si="107"/>
        <v/>
      </c>
      <c r="AU77" s="421"/>
      <c r="AV77" s="59" t="str">
        <f t="shared" si="108"/>
        <v/>
      </c>
      <c r="AW77" s="62" t="str">
        <f t="shared" si="109"/>
        <v/>
      </c>
      <c r="AX77" s="421"/>
      <c r="AY77" s="59" t="str">
        <f t="shared" si="110"/>
        <v/>
      </c>
      <c r="AZ77" s="62" t="str">
        <f t="shared" si="111"/>
        <v/>
      </c>
      <c r="BA77" s="421"/>
      <c r="BB77" s="59" t="str">
        <f t="shared" si="112"/>
        <v/>
      </c>
      <c r="BC77" s="62" t="str">
        <f t="shared" si="113"/>
        <v/>
      </c>
      <c r="BD77" s="421"/>
      <c r="BE77" s="59" t="str">
        <f t="shared" si="114"/>
        <v/>
      </c>
      <c r="BF77" s="62" t="str">
        <f t="shared" si="115"/>
        <v/>
      </c>
      <c r="BG77" s="421"/>
      <c r="BH77" s="59" t="str">
        <f t="shared" si="116"/>
        <v/>
      </c>
      <c r="BI77" s="62" t="str">
        <f t="shared" si="117"/>
        <v/>
      </c>
      <c r="BJ77" s="421"/>
      <c r="BK77" s="59" t="str">
        <f t="shared" si="118"/>
        <v/>
      </c>
      <c r="BL77" s="62" t="str">
        <f t="shared" si="119"/>
        <v/>
      </c>
      <c r="BM77" s="421"/>
      <c r="BN77" s="59" t="str">
        <f t="shared" si="120"/>
        <v/>
      </c>
      <c r="BO77" s="62" t="str">
        <f t="shared" si="121"/>
        <v/>
      </c>
      <c r="BP77" s="421"/>
      <c r="BQ77" s="59" t="str">
        <f t="shared" si="122"/>
        <v/>
      </c>
      <c r="BR77" s="62" t="str">
        <f t="shared" si="123"/>
        <v/>
      </c>
      <c r="BS77" s="421"/>
      <c r="BT77" s="59" t="str">
        <f t="shared" si="124"/>
        <v/>
      </c>
      <c r="BU77" s="62" t="str">
        <f t="shared" si="125"/>
        <v/>
      </c>
      <c r="BV77" s="421"/>
      <c r="BW77" s="59" t="str">
        <f t="shared" si="126"/>
        <v/>
      </c>
      <c r="BX77" s="62" t="str">
        <f t="shared" si="127"/>
        <v/>
      </c>
      <c r="BY77" s="421"/>
      <c r="BZ77" s="59" t="str">
        <f t="shared" si="128"/>
        <v/>
      </c>
      <c r="CA77" s="62" t="str">
        <f t="shared" si="129"/>
        <v/>
      </c>
      <c r="CB77" s="421"/>
      <c r="CC77" s="59" t="str">
        <f t="shared" si="130"/>
        <v/>
      </c>
      <c r="CD77" s="62" t="str">
        <f t="shared" si="131"/>
        <v/>
      </c>
      <c r="CE77" s="421"/>
      <c r="CF77" s="59" t="str">
        <f t="shared" si="132"/>
        <v/>
      </c>
      <c r="CG77" s="62" t="str">
        <f t="shared" si="133"/>
        <v/>
      </c>
      <c r="CH77" s="421"/>
      <c r="CI77" s="59" t="str">
        <f t="shared" si="134"/>
        <v/>
      </c>
      <c r="CJ77" s="62" t="str">
        <f t="shared" si="135"/>
        <v/>
      </c>
      <c r="CK77" s="421"/>
      <c r="CL77" s="59" t="str">
        <f t="shared" si="136"/>
        <v/>
      </c>
      <c r="CM77" s="62" t="str">
        <f t="shared" si="137"/>
        <v/>
      </c>
      <c r="CN77" s="421"/>
      <c r="CO77" s="59" t="str">
        <f t="shared" si="138"/>
        <v/>
      </c>
      <c r="CP77" s="62" t="str">
        <f t="shared" si="139"/>
        <v/>
      </c>
      <c r="CQ77" s="421"/>
      <c r="CR77" s="59" t="str">
        <f t="shared" si="140"/>
        <v/>
      </c>
      <c r="CS77" s="62" t="str">
        <f t="shared" si="141"/>
        <v/>
      </c>
      <c r="CT77" s="421"/>
      <c r="CU77" s="59" t="str">
        <f t="shared" si="142"/>
        <v/>
      </c>
      <c r="CV77" s="62" t="str">
        <f t="shared" si="143"/>
        <v/>
      </c>
      <c r="CW77" s="421"/>
      <c r="CX77" s="59" t="str">
        <f t="shared" si="144"/>
        <v/>
      </c>
      <c r="CY77" s="62" t="str">
        <f t="shared" si="145"/>
        <v/>
      </c>
      <c r="CZ77" s="421"/>
      <c r="DA77" s="59" t="str">
        <f t="shared" si="146"/>
        <v/>
      </c>
      <c r="DB77" s="62" t="str">
        <f t="shared" si="147"/>
        <v/>
      </c>
      <c r="DC77" s="421"/>
      <c r="DD77" s="59" t="str">
        <f t="shared" si="148"/>
        <v/>
      </c>
      <c r="DE77" s="62" t="str">
        <f t="shared" si="149"/>
        <v/>
      </c>
      <c r="DF77" s="421"/>
      <c r="DG77" s="59" t="str">
        <f t="shared" si="150"/>
        <v/>
      </c>
      <c r="DH77" s="62" t="str">
        <f t="shared" si="151"/>
        <v/>
      </c>
      <c r="DI77" s="421"/>
      <c r="DJ77" s="59" t="str">
        <f t="shared" si="152"/>
        <v/>
      </c>
      <c r="DK77" s="62" t="str">
        <f t="shared" si="153"/>
        <v/>
      </c>
      <c r="DL77" s="421"/>
      <c r="DM77" s="59" t="str">
        <f t="shared" si="154"/>
        <v/>
      </c>
      <c r="DN77" s="62" t="str">
        <f t="shared" si="155"/>
        <v/>
      </c>
      <c r="DO77" s="421"/>
      <c r="DP77" s="59" t="str">
        <f t="shared" si="156"/>
        <v/>
      </c>
      <c r="DQ77" s="62" t="str">
        <f t="shared" si="157"/>
        <v/>
      </c>
      <c r="DR77" s="421"/>
      <c r="DS77" s="59" t="str">
        <f t="shared" si="158"/>
        <v/>
      </c>
      <c r="DT77" s="62" t="str">
        <f t="shared" si="159"/>
        <v/>
      </c>
      <c r="DU77" s="421"/>
      <c r="DV77" s="59" t="str">
        <f t="shared" si="160"/>
        <v/>
      </c>
      <c r="DW77" s="62" t="str">
        <f t="shared" si="161"/>
        <v/>
      </c>
      <c r="DX77" s="161"/>
    </row>
    <row r="78" spans="2:128" ht="23.25" customHeight="1" x14ac:dyDescent="0.2">
      <c r="B78" s="377"/>
      <c r="C78" s="348">
        <f t="shared" si="81"/>
        <v>47</v>
      </c>
      <c r="D78" s="425"/>
      <c r="E78" s="57"/>
      <c r="F78" s="57"/>
      <c r="G78" s="420"/>
      <c r="H78" s="421"/>
      <c r="I78" s="129" t="str">
        <f t="shared" si="82"/>
        <v/>
      </c>
      <c r="J78" s="97" t="str">
        <f t="shared" si="83"/>
        <v/>
      </c>
      <c r="K78" s="421"/>
      <c r="L78" s="59" t="str">
        <f t="shared" si="84"/>
        <v/>
      </c>
      <c r="M78" s="60" t="str">
        <f t="shared" si="85"/>
        <v/>
      </c>
      <c r="N78" s="421"/>
      <c r="O78" s="59" t="str">
        <f t="shared" si="86"/>
        <v/>
      </c>
      <c r="P78" s="60" t="str">
        <f t="shared" si="87"/>
        <v/>
      </c>
      <c r="Q78" s="421"/>
      <c r="R78" s="59" t="str">
        <f t="shared" si="88"/>
        <v/>
      </c>
      <c r="S78" s="61" t="str">
        <f t="shared" si="89"/>
        <v/>
      </c>
      <c r="T78" s="421"/>
      <c r="U78" s="59" t="str">
        <f t="shared" si="90"/>
        <v/>
      </c>
      <c r="V78" s="60" t="str">
        <f t="shared" si="91"/>
        <v/>
      </c>
      <c r="W78" s="422"/>
      <c r="X78" s="59" t="str">
        <f t="shared" si="92"/>
        <v/>
      </c>
      <c r="Y78" s="62" t="str">
        <f t="shared" si="93"/>
        <v/>
      </c>
      <c r="Z78" s="421"/>
      <c r="AA78" s="59" t="str">
        <f t="shared" si="94"/>
        <v/>
      </c>
      <c r="AB78" s="62" t="str">
        <f t="shared" si="95"/>
        <v/>
      </c>
      <c r="AC78" s="422"/>
      <c r="AD78" s="59" t="str">
        <f t="shared" si="96"/>
        <v/>
      </c>
      <c r="AE78" s="62" t="str">
        <f t="shared" si="97"/>
        <v/>
      </c>
      <c r="AF78" s="421"/>
      <c r="AG78" s="59" t="str">
        <f t="shared" si="98"/>
        <v/>
      </c>
      <c r="AH78" s="62" t="str">
        <f t="shared" si="99"/>
        <v/>
      </c>
      <c r="AI78" s="421"/>
      <c r="AJ78" s="59" t="str">
        <f t="shared" si="100"/>
        <v/>
      </c>
      <c r="AK78" s="62" t="str">
        <f t="shared" si="101"/>
        <v/>
      </c>
      <c r="AL78" s="421"/>
      <c r="AM78" s="59" t="str">
        <f t="shared" si="102"/>
        <v/>
      </c>
      <c r="AN78" s="62" t="str">
        <f t="shared" si="103"/>
        <v/>
      </c>
      <c r="AO78" s="421"/>
      <c r="AP78" s="59" t="str">
        <f t="shared" si="104"/>
        <v/>
      </c>
      <c r="AQ78" s="62" t="str">
        <f t="shared" si="105"/>
        <v/>
      </c>
      <c r="AR78" s="421"/>
      <c r="AS78" s="59" t="str">
        <f t="shared" si="106"/>
        <v/>
      </c>
      <c r="AT78" s="62" t="str">
        <f t="shared" si="107"/>
        <v/>
      </c>
      <c r="AU78" s="421"/>
      <c r="AV78" s="59" t="str">
        <f t="shared" si="108"/>
        <v/>
      </c>
      <c r="AW78" s="62" t="str">
        <f t="shared" si="109"/>
        <v/>
      </c>
      <c r="AX78" s="421"/>
      <c r="AY78" s="59" t="str">
        <f t="shared" si="110"/>
        <v/>
      </c>
      <c r="AZ78" s="62" t="str">
        <f t="shared" si="111"/>
        <v/>
      </c>
      <c r="BA78" s="421"/>
      <c r="BB78" s="59" t="str">
        <f t="shared" si="112"/>
        <v/>
      </c>
      <c r="BC78" s="62" t="str">
        <f t="shared" si="113"/>
        <v/>
      </c>
      <c r="BD78" s="421"/>
      <c r="BE78" s="59" t="str">
        <f t="shared" si="114"/>
        <v/>
      </c>
      <c r="BF78" s="62" t="str">
        <f t="shared" si="115"/>
        <v/>
      </c>
      <c r="BG78" s="421"/>
      <c r="BH78" s="59" t="str">
        <f t="shared" si="116"/>
        <v/>
      </c>
      <c r="BI78" s="62" t="str">
        <f t="shared" si="117"/>
        <v/>
      </c>
      <c r="BJ78" s="421"/>
      <c r="BK78" s="59" t="str">
        <f t="shared" si="118"/>
        <v/>
      </c>
      <c r="BL78" s="62" t="str">
        <f t="shared" si="119"/>
        <v/>
      </c>
      <c r="BM78" s="421"/>
      <c r="BN78" s="59" t="str">
        <f t="shared" si="120"/>
        <v/>
      </c>
      <c r="BO78" s="62" t="str">
        <f t="shared" si="121"/>
        <v/>
      </c>
      <c r="BP78" s="421"/>
      <c r="BQ78" s="59" t="str">
        <f t="shared" si="122"/>
        <v/>
      </c>
      <c r="BR78" s="62" t="str">
        <f t="shared" si="123"/>
        <v/>
      </c>
      <c r="BS78" s="421"/>
      <c r="BT78" s="59" t="str">
        <f t="shared" si="124"/>
        <v/>
      </c>
      <c r="BU78" s="62" t="str">
        <f t="shared" si="125"/>
        <v/>
      </c>
      <c r="BV78" s="421"/>
      <c r="BW78" s="59" t="str">
        <f t="shared" si="126"/>
        <v/>
      </c>
      <c r="BX78" s="62" t="str">
        <f t="shared" si="127"/>
        <v/>
      </c>
      <c r="BY78" s="421"/>
      <c r="BZ78" s="59" t="str">
        <f t="shared" si="128"/>
        <v/>
      </c>
      <c r="CA78" s="62" t="str">
        <f t="shared" si="129"/>
        <v/>
      </c>
      <c r="CB78" s="421"/>
      <c r="CC78" s="59" t="str">
        <f t="shared" si="130"/>
        <v/>
      </c>
      <c r="CD78" s="62" t="str">
        <f t="shared" si="131"/>
        <v/>
      </c>
      <c r="CE78" s="421"/>
      <c r="CF78" s="59" t="str">
        <f t="shared" si="132"/>
        <v/>
      </c>
      <c r="CG78" s="62" t="str">
        <f t="shared" si="133"/>
        <v/>
      </c>
      <c r="CH78" s="421"/>
      <c r="CI78" s="59" t="str">
        <f t="shared" si="134"/>
        <v/>
      </c>
      <c r="CJ78" s="62" t="str">
        <f t="shared" si="135"/>
        <v/>
      </c>
      <c r="CK78" s="421"/>
      <c r="CL78" s="59" t="str">
        <f t="shared" si="136"/>
        <v/>
      </c>
      <c r="CM78" s="62" t="str">
        <f t="shared" si="137"/>
        <v/>
      </c>
      <c r="CN78" s="421"/>
      <c r="CO78" s="59" t="str">
        <f t="shared" si="138"/>
        <v/>
      </c>
      <c r="CP78" s="62" t="str">
        <f t="shared" si="139"/>
        <v/>
      </c>
      <c r="CQ78" s="421"/>
      <c r="CR78" s="59" t="str">
        <f t="shared" si="140"/>
        <v/>
      </c>
      <c r="CS78" s="62" t="str">
        <f t="shared" si="141"/>
        <v/>
      </c>
      <c r="CT78" s="421"/>
      <c r="CU78" s="59" t="str">
        <f t="shared" si="142"/>
        <v/>
      </c>
      <c r="CV78" s="62" t="str">
        <f t="shared" si="143"/>
        <v/>
      </c>
      <c r="CW78" s="421"/>
      <c r="CX78" s="59" t="str">
        <f t="shared" si="144"/>
        <v/>
      </c>
      <c r="CY78" s="62" t="str">
        <f t="shared" si="145"/>
        <v/>
      </c>
      <c r="CZ78" s="421"/>
      <c r="DA78" s="59" t="str">
        <f t="shared" si="146"/>
        <v/>
      </c>
      <c r="DB78" s="62" t="str">
        <f t="shared" si="147"/>
        <v/>
      </c>
      <c r="DC78" s="421"/>
      <c r="DD78" s="59" t="str">
        <f t="shared" si="148"/>
        <v/>
      </c>
      <c r="DE78" s="62" t="str">
        <f t="shared" si="149"/>
        <v/>
      </c>
      <c r="DF78" s="421"/>
      <c r="DG78" s="59" t="str">
        <f t="shared" si="150"/>
        <v/>
      </c>
      <c r="DH78" s="62" t="str">
        <f t="shared" si="151"/>
        <v/>
      </c>
      <c r="DI78" s="421"/>
      <c r="DJ78" s="59" t="str">
        <f t="shared" si="152"/>
        <v/>
      </c>
      <c r="DK78" s="62" t="str">
        <f t="shared" si="153"/>
        <v/>
      </c>
      <c r="DL78" s="421"/>
      <c r="DM78" s="59" t="str">
        <f t="shared" si="154"/>
        <v/>
      </c>
      <c r="DN78" s="62" t="str">
        <f t="shared" si="155"/>
        <v/>
      </c>
      <c r="DO78" s="421"/>
      <c r="DP78" s="59" t="str">
        <f t="shared" si="156"/>
        <v/>
      </c>
      <c r="DQ78" s="62" t="str">
        <f t="shared" si="157"/>
        <v/>
      </c>
      <c r="DR78" s="421"/>
      <c r="DS78" s="59" t="str">
        <f t="shared" si="158"/>
        <v/>
      </c>
      <c r="DT78" s="62" t="str">
        <f t="shared" si="159"/>
        <v/>
      </c>
      <c r="DU78" s="421"/>
      <c r="DV78" s="59" t="str">
        <f t="shared" si="160"/>
        <v/>
      </c>
      <c r="DW78" s="62" t="str">
        <f t="shared" si="161"/>
        <v/>
      </c>
      <c r="DX78" s="161"/>
    </row>
    <row r="79" spans="2:128" ht="23.25" customHeight="1" x14ac:dyDescent="0.2">
      <c r="B79" s="377"/>
      <c r="C79" s="348">
        <f t="shared" si="81"/>
        <v>48</v>
      </c>
      <c r="D79" s="425"/>
      <c r="E79" s="57"/>
      <c r="F79" s="57"/>
      <c r="G79" s="420"/>
      <c r="H79" s="421"/>
      <c r="I79" s="129" t="str">
        <f t="shared" si="82"/>
        <v/>
      </c>
      <c r="J79" s="97" t="str">
        <f t="shared" si="83"/>
        <v/>
      </c>
      <c r="K79" s="421"/>
      <c r="L79" s="59" t="str">
        <f t="shared" si="84"/>
        <v/>
      </c>
      <c r="M79" s="60" t="str">
        <f t="shared" si="85"/>
        <v/>
      </c>
      <c r="N79" s="421"/>
      <c r="O79" s="59" t="str">
        <f t="shared" si="86"/>
        <v/>
      </c>
      <c r="P79" s="60" t="str">
        <f t="shared" si="87"/>
        <v/>
      </c>
      <c r="Q79" s="421"/>
      <c r="R79" s="59" t="str">
        <f t="shared" si="88"/>
        <v/>
      </c>
      <c r="S79" s="61" t="str">
        <f t="shared" si="89"/>
        <v/>
      </c>
      <c r="T79" s="421"/>
      <c r="U79" s="59" t="str">
        <f t="shared" si="90"/>
        <v/>
      </c>
      <c r="V79" s="60" t="str">
        <f t="shared" si="91"/>
        <v/>
      </c>
      <c r="W79" s="422"/>
      <c r="X79" s="59" t="str">
        <f t="shared" si="92"/>
        <v/>
      </c>
      <c r="Y79" s="62" t="str">
        <f t="shared" si="93"/>
        <v/>
      </c>
      <c r="Z79" s="421"/>
      <c r="AA79" s="59" t="str">
        <f t="shared" si="94"/>
        <v/>
      </c>
      <c r="AB79" s="62" t="str">
        <f t="shared" si="95"/>
        <v/>
      </c>
      <c r="AC79" s="422"/>
      <c r="AD79" s="59" t="str">
        <f t="shared" si="96"/>
        <v/>
      </c>
      <c r="AE79" s="62" t="str">
        <f t="shared" si="97"/>
        <v/>
      </c>
      <c r="AF79" s="421"/>
      <c r="AG79" s="59" t="str">
        <f t="shared" si="98"/>
        <v/>
      </c>
      <c r="AH79" s="62" t="str">
        <f t="shared" si="99"/>
        <v/>
      </c>
      <c r="AI79" s="421"/>
      <c r="AJ79" s="59" t="str">
        <f t="shared" si="100"/>
        <v/>
      </c>
      <c r="AK79" s="62" t="str">
        <f t="shared" si="101"/>
        <v/>
      </c>
      <c r="AL79" s="421"/>
      <c r="AM79" s="59" t="str">
        <f t="shared" si="102"/>
        <v/>
      </c>
      <c r="AN79" s="62" t="str">
        <f t="shared" si="103"/>
        <v/>
      </c>
      <c r="AO79" s="421"/>
      <c r="AP79" s="59" t="str">
        <f t="shared" si="104"/>
        <v/>
      </c>
      <c r="AQ79" s="62" t="str">
        <f t="shared" si="105"/>
        <v/>
      </c>
      <c r="AR79" s="421"/>
      <c r="AS79" s="59" t="str">
        <f t="shared" si="106"/>
        <v/>
      </c>
      <c r="AT79" s="62" t="str">
        <f t="shared" si="107"/>
        <v/>
      </c>
      <c r="AU79" s="421"/>
      <c r="AV79" s="59" t="str">
        <f t="shared" si="108"/>
        <v/>
      </c>
      <c r="AW79" s="62" t="str">
        <f t="shared" si="109"/>
        <v/>
      </c>
      <c r="AX79" s="421"/>
      <c r="AY79" s="59" t="str">
        <f t="shared" si="110"/>
        <v/>
      </c>
      <c r="AZ79" s="62" t="str">
        <f t="shared" si="111"/>
        <v/>
      </c>
      <c r="BA79" s="421"/>
      <c r="BB79" s="59" t="str">
        <f t="shared" si="112"/>
        <v/>
      </c>
      <c r="BC79" s="62" t="str">
        <f t="shared" si="113"/>
        <v/>
      </c>
      <c r="BD79" s="421"/>
      <c r="BE79" s="59" t="str">
        <f t="shared" si="114"/>
        <v/>
      </c>
      <c r="BF79" s="62" t="str">
        <f t="shared" si="115"/>
        <v/>
      </c>
      <c r="BG79" s="421"/>
      <c r="BH79" s="59" t="str">
        <f t="shared" si="116"/>
        <v/>
      </c>
      <c r="BI79" s="62" t="str">
        <f t="shared" si="117"/>
        <v/>
      </c>
      <c r="BJ79" s="421"/>
      <c r="BK79" s="59" t="str">
        <f t="shared" si="118"/>
        <v/>
      </c>
      <c r="BL79" s="62" t="str">
        <f t="shared" si="119"/>
        <v/>
      </c>
      <c r="BM79" s="421"/>
      <c r="BN79" s="59" t="str">
        <f t="shared" si="120"/>
        <v/>
      </c>
      <c r="BO79" s="62" t="str">
        <f t="shared" si="121"/>
        <v/>
      </c>
      <c r="BP79" s="421"/>
      <c r="BQ79" s="59" t="str">
        <f t="shared" si="122"/>
        <v/>
      </c>
      <c r="BR79" s="62" t="str">
        <f t="shared" si="123"/>
        <v/>
      </c>
      <c r="BS79" s="421"/>
      <c r="BT79" s="59" t="str">
        <f t="shared" si="124"/>
        <v/>
      </c>
      <c r="BU79" s="62" t="str">
        <f t="shared" si="125"/>
        <v/>
      </c>
      <c r="BV79" s="421"/>
      <c r="BW79" s="59" t="str">
        <f t="shared" si="126"/>
        <v/>
      </c>
      <c r="BX79" s="62" t="str">
        <f t="shared" si="127"/>
        <v/>
      </c>
      <c r="BY79" s="421"/>
      <c r="BZ79" s="59" t="str">
        <f t="shared" si="128"/>
        <v/>
      </c>
      <c r="CA79" s="62" t="str">
        <f t="shared" si="129"/>
        <v/>
      </c>
      <c r="CB79" s="421"/>
      <c r="CC79" s="59" t="str">
        <f t="shared" si="130"/>
        <v/>
      </c>
      <c r="CD79" s="62" t="str">
        <f t="shared" si="131"/>
        <v/>
      </c>
      <c r="CE79" s="421"/>
      <c r="CF79" s="59" t="str">
        <f t="shared" si="132"/>
        <v/>
      </c>
      <c r="CG79" s="62" t="str">
        <f t="shared" si="133"/>
        <v/>
      </c>
      <c r="CH79" s="421"/>
      <c r="CI79" s="59" t="str">
        <f t="shared" si="134"/>
        <v/>
      </c>
      <c r="CJ79" s="62" t="str">
        <f t="shared" si="135"/>
        <v/>
      </c>
      <c r="CK79" s="421"/>
      <c r="CL79" s="59" t="str">
        <f t="shared" si="136"/>
        <v/>
      </c>
      <c r="CM79" s="62" t="str">
        <f t="shared" si="137"/>
        <v/>
      </c>
      <c r="CN79" s="421"/>
      <c r="CO79" s="59" t="str">
        <f t="shared" si="138"/>
        <v/>
      </c>
      <c r="CP79" s="62" t="str">
        <f t="shared" si="139"/>
        <v/>
      </c>
      <c r="CQ79" s="421"/>
      <c r="CR79" s="59" t="str">
        <f t="shared" si="140"/>
        <v/>
      </c>
      <c r="CS79" s="62" t="str">
        <f t="shared" si="141"/>
        <v/>
      </c>
      <c r="CT79" s="421"/>
      <c r="CU79" s="59" t="str">
        <f t="shared" si="142"/>
        <v/>
      </c>
      <c r="CV79" s="62" t="str">
        <f t="shared" si="143"/>
        <v/>
      </c>
      <c r="CW79" s="421"/>
      <c r="CX79" s="59" t="str">
        <f t="shared" si="144"/>
        <v/>
      </c>
      <c r="CY79" s="62" t="str">
        <f t="shared" si="145"/>
        <v/>
      </c>
      <c r="CZ79" s="421"/>
      <c r="DA79" s="59" t="str">
        <f t="shared" si="146"/>
        <v/>
      </c>
      <c r="DB79" s="62" t="str">
        <f t="shared" si="147"/>
        <v/>
      </c>
      <c r="DC79" s="421"/>
      <c r="DD79" s="59" t="str">
        <f t="shared" si="148"/>
        <v/>
      </c>
      <c r="DE79" s="62" t="str">
        <f t="shared" si="149"/>
        <v/>
      </c>
      <c r="DF79" s="421"/>
      <c r="DG79" s="59" t="str">
        <f t="shared" si="150"/>
        <v/>
      </c>
      <c r="DH79" s="62" t="str">
        <f t="shared" si="151"/>
        <v/>
      </c>
      <c r="DI79" s="421"/>
      <c r="DJ79" s="59" t="str">
        <f t="shared" si="152"/>
        <v/>
      </c>
      <c r="DK79" s="62" t="str">
        <f t="shared" si="153"/>
        <v/>
      </c>
      <c r="DL79" s="421"/>
      <c r="DM79" s="59" t="str">
        <f t="shared" si="154"/>
        <v/>
      </c>
      <c r="DN79" s="62" t="str">
        <f t="shared" si="155"/>
        <v/>
      </c>
      <c r="DO79" s="421"/>
      <c r="DP79" s="59" t="str">
        <f t="shared" si="156"/>
        <v/>
      </c>
      <c r="DQ79" s="62" t="str">
        <f t="shared" si="157"/>
        <v/>
      </c>
      <c r="DR79" s="421"/>
      <c r="DS79" s="59" t="str">
        <f t="shared" si="158"/>
        <v/>
      </c>
      <c r="DT79" s="62" t="str">
        <f t="shared" si="159"/>
        <v/>
      </c>
      <c r="DU79" s="421"/>
      <c r="DV79" s="59" t="str">
        <f t="shared" si="160"/>
        <v/>
      </c>
      <c r="DW79" s="62" t="str">
        <f t="shared" si="161"/>
        <v/>
      </c>
      <c r="DX79" s="161"/>
    </row>
    <row r="80" spans="2:128" ht="20.25" customHeight="1" x14ac:dyDescent="0.2">
      <c r="B80" s="377"/>
      <c r="C80" s="348">
        <f t="shared" si="81"/>
        <v>49</v>
      </c>
      <c r="D80" s="425"/>
      <c r="E80" s="57"/>
      <c r="F80" s="57"/>
      <c r="G80" s="420"/>
      <c r="H80" s="421"/>
      <c r="I80" s="129" t="str">
        <f t="shared" si="82"/>
        <v/>
      </c>
      <c r="J80" s="97" t="str">
        <f t="shared" si="83"/>
        <v/>
      </c>
      <c r="K80" s="421"/>
      <c r="L80" s="59" t="str">
        <f t="shared" si="84"/>
        <v/>
      </c>
      <c r="M80" s="60" t="str">
        <f t="shared" si="85"/>
        <v/>
      </c>
      <c r="N80" s="421"/>
      <c r="O80" s="59" t="str">
        <f t="shared" si="86"/>
        <v/>
      </c>
      <c r="P80" s="60" t="str">
        <f t="shared" si="87"/>
        <v/>
      </c>
      <c r="Q80" s="421"/>
      <c r="R80" s="59" t="str">
        <f t="shared" si="88"/>
        <v/>
      </c>
      <c r="S80" s="61" t="str">
        <f t="shared" si="89"/>
        <v/>
      </c>
      <c r="T80" s="421"/>
      <c r="U80" s="59" t="str">
        <f t="shared" si="90"/>
        <v/>
      </c>
      <c r="V80" s="60" t="str">
        <f t="shared" si="91"/>
        <v/>
      </c>
      <c r="W80" s="422"/>
      <c r="X80" s="59" t="str">
        <f t="shared" si="92"/>
        <v/>
      </c>
      <c r="Y80" s="62" t="str">
        <f t="shared" si="93"/>
        <v/>
      </c>
      <c r="Z80" s="421"/>
      <c r="AA80" s="59" t="str">
        <f t="shared" si="94"/>
        <v/>
      </c>
      <c r="AB80" s="62" t="str">
        <f t="shared" si="95"/>
        <v/>
      </c>
      <c r="AC80" s="422"/>
      <c r="AD80" s="59" t="str">
        <f t="shared" si="96"/>
        <v/>
      </c>
      <c r="AE80" s="62" t="str">
        <f t="shared" si="97"/>
        <v/>
      </c>
      <c r="AF80" s="421"/>
      <c r="AG80" s="59" t="str">
        <f t="shared" si="98"/>
        <v/>
      </c>
      <c r="AH80" s="62" t="str">
        <f t="shared" si="99"/>
        <v/>
      </c>
      <c r="AI80" s="421"/>
      <c r="AJ80" s="59" t="str">
        <f t="shared" si="100"/>
        <v/>
      </c>
      <c r="AK80" s="62" t="str">
        <f t="shared" si="101"/>
        <v/>
      </c>
      <c r="AL80" s="421"/>
      <c r="AM80" s="59" t="str">
        <f t="shared" si="102"/>
        <v/>
      </c>
      <c r="AN80" s="62" t="str">
        <f t="shared" si="103"/>
        <v/>
      </c>
      <c r="AO80" s="421"/>
      <c r="AP80" s="59" t="str">
        <f t="shared" si="104"/>
        <v/>
      </c>
      <c r="AQ80" s="62" t="str">
        <f t="shared" si="105"/>
        <v/>
      </c>
      <c r="AR80" s="421"/>
      <c r="AS80" s="59" t="str">
        <f t="shared" si="106"/>
        <v/>
      </c>
      <c r="AT80" s="62" t="str">
        <f t="shared" si="107"/>
        <v/>
      </c>
      <c r="AU80" s="421"/>
      <c r="AV80" s="59" t="str">
        <f t="shared" si="108"/>
        <v/>
      </c>
      <c r="AW80" s="62" t="str">
        <f t="shared" si="109"/>
        <v/>
      </c>
      <c r="AX80" s="421"/>
      <c r="AY80" s="59" t="str">
        <f t="shared" si="110"/>
        <v/>
      </c>
      <c r="AZ80" s="62" t="str">
        <f t="shared" si="111"/>
        <v/>
      </c>
      <c r="BA80" s="421"/>
      <c r="BB80" s="59" t="str">
        <f t="shared" si="112"/>
        <v/>
      </c>
      <c r="BC80" s="62" t="str">
        <f t="shared" si="113"/>
        <v/>
      </c>
      <c r="BD80" s="421"/>
      <c r="BE80" s="59" t="str">
        <f t="shared" si="114"/>
        <v/>
      </c>
      <c r="BF80" s="62" t="str">
        <f t="shared" si="115"/>
        <v/>
      </c>
      <c r="BG80" s="421"/>
      <c r="BH80" s="59" t="str">
        <f t="shared" si="116"/>
        <v/>
      </c>
      <c r="BI80" s="62" t="str">
        <f t="shared" si="117"/>
        <v/>
      </c>
      <c r="BJ80" s="421"/>
      <c r="BK80" s="59" t="str">
        <f t="shared" si="118"/>
        <v/>
      </c>
      <c r="BL80" s="62" t="str">
        <f t="shared" si="119"/>
        <v/>
      </c>
      <c r="BM80" s="421"/>
      <c r="BN80" s="59" t="str">
        <f t="shared" si="120"/>
        <v/>
      </c>
      <c r="BO80" s="62" t="str">
        <f t="shared" si="121"/>
        <v/>
      </c>
      <c r="BP80" s="421"/>
      <c r="BQ80" s="59" t="str">
        <f t="shared" si="122"/>
        <v/>
      </c>
      <c r="BR80" s="62" t="str">
        <f t="shared" si="123"/>
        <v/>
      </c>
      <c r="BS80" s="421"/>
      <c r="BT80" s="59" t="str">
        <f t="shared" si="124"/>
        <v/>
      </c>
      <c r="BU80" s="62" t="str">
        <f t="shared" si="125"/>
        <v/>
      </c>
      <c r="BV80" s="421"/>
      <c r="BW80" s="59" t="str">
        <f t="shared" si="126"/>
        <v/>
      </c>
      <c r="BX80" s="62" t="str">
        <f t="shared" si="127"/>
        <v/>
      </c>
      <c r="BY80" s="421"/>
      <c r="BZ80" s="59" t="str">
        <f t="shared" si="128"/>
        <v/>
      </c>
      <c r="CA80" s="62" t="str">
        <f t="shared" si="129"/>
        <v/>
      </c>
      <c r="CB80" s="421"/>
      <c r="CC80" s="59" t="str">
        <f t="shared" si="130"/>
        <v/>
      </c>
      <c r="CD80" s="62" t="str">
        <f t="shared" si="131"/>
        <v/>
      </c>
      <c r="CE80" s="421"/>
      <c r="CF80" s="59" t="str">
        <f t="shared" si="132"/>
        <v/>
      </c>
      <c r="CG80" s="62" t="str">
        <f t="shared" si="133"/>
        <v/>
      </c>
      <c r="CH80" s="421"/>
      <c r="CI80" s="59" t="str">
        <f t="shared" si="134"/>
        <v/>
      </c>
      <c r="CJ80" s="62" t="str">
        <f t="shared" si="135"/>
        <v/>
      </c>
      <c r="CK80" s="421"/>
      <c r="CL80" s="59" t="str">
        <f t="shared" si="136"/>
        <v/>
      </c>
      <c r="CM80" s="62" t="str">
        <f t="shared" si="137"/>
        <v/>
      </c>
      <c r="CN80" s="421"/>
      <c r="CO80" s="59" t="str">
        <f t="shared" si="138"/>
        <v/>
      </c>
      <c r="CP80" s="62" t="str">
        <f t="shared" si="139"/>
        <v/>
      </c>
      <c r="CQ80" s="421"/>
      <c r="CR80" s="59" t="str">
        <f t="shared" si="140"/>
        <v/>
      </c>
      <c r="CS80" s="62" t="str">
        <f t="shared" si="141"/>
        <v/>
      </c>
      <c r="CT80" s="421"/>
      <c r="CU80" s="59" t="str">
        <f t="shared" si="142"/>
        <v/>
      </c>
      <c r="CV80" s="62" t="str">
        <f t="shared" si="143"/>
        <v/>
      </c>
      <c r="CW80" s="421"/>
      <c r="CX80" s="59" t="str">
        <f t="shared" si="144"/>
        <v/>
      </c>
      <c r="CY80" s="62" t="str">
        <f t="shared" si="145"/>
        <v/>
      </c>
      <c r="CZ80" s="421"/>
      <c r="DA80" s="59" t="str">
        <f t="shared" si="146"/>
        <v/>
      </c>
      <c r="DB80" s="62" t="str">
        <f t="shared" si="147"/>
        <v/>
      </c>
      <c r="DC80" s="421"/>
      <c r="DD80" s="59" t="str">
        <f t="shared" si="148"/>
        <v/>
      </c>
      <c r="DE80" s="62" t="str">
        <f t="shared" si="149"/>
        <v/>
      </c>
      <c r="DF80" s="421"/>
      <c r="DG80" s="59" t="str">
        <f t="shared" si="150"/>
        <v/>
      </c>
      <c r="DH80" s="62" t="str">
        <f t="shared" si="151"/>
        <v/>
      </c>
      <c r="DI80" s="421"/>
      <c r="DJ80" s="59" t="str">
        <f t="shared" si="152"/>
        <v/>
      </c>
      <c r="DK80" s="62" t="str">
        <f t="shared" si="153"/>
        <v/>
      </c>
      <c r="DL80" s="421"/>
      <c r="DM80" s="59" t="str">
        <f t="shared" si="154"/>
        <v/>
      </c>
      <c r="DN80" s="62" t="str">
        <f t="shared" si="155"/>
        <v/>
      </c>
      <c r="DO80" s="421"/>
      <c r="DP80" s="59" t="str">
        <f t="shared" si="156"/>
        <v/>
      </c>
      <c r="DQ80" s="62" t="str">
        <f t="shared" si="157"/>
        <v/>
      </c>
      <c r="DR80" s="421"/>
      <c r="DS80" s="59" t="str">
        <f t="shared" si="158"/>
        <v/>
      </c>
      <c r="DT80" s="62" t="str">
        <f t="shared" si="159"/>
        <v/>
      </c>
      <c r="DU80" s="421"/>
      <c r="DV80" s="59" t="str">
        <f t="shared" si="160"/>
        <v/>
      </c>
      <c r="DW80" s="62" t="str">
        <f t="shared" si="161"/>
        <v/>
      </c>
      <c r="DX80" s="161"/>
    </row>
    <row r="81" spans="2:128" ht="20.25" customHeight="1" x14ac:dyDescent="0.2">
      <c r="B81" s="377"/>
      <c r="C81" s="348">
        <f t="shared" si="81"/>
        <v>50</v>
      </c>
      <c r="D81" s="425"/>
      <c r="E81" s="57"/>
      <c r="F81" s="57"/>
      <c r="G81" s="420"/>
      <c r="H81" s="421"/>
      <c r="I81" s="129" t="str">
        <f t="shared" si="82"/>
        <v/>
      </c>
      <c r="J81" s="97" t="str">
        <f t="shared" si="83"/>
        <v/>
      </c>
      <c r="K81" s="421"/>
      <c r="L81" s="59" t="str">
        <f t="shared" si="84"/>
        <v/>
      </c>
      <c r="M81" s="60" t="str">
        <f t="shared" si="85"/>
        <v/>
      </c>
      <c r="N81" s="421"/>
      <c r="O81" s="59" t="str">
        <f t="shared" si="86"/>
        <v/>
      </c>
      <c r="P81" s="60" t="str">
        <f t="shared" si="87"/>
        <v/>
      </c>
      <c r="Q81" s="421"/>
      <c r="R81" s="59" t="str">
        <f t="shared" si="88"/>
        <v/>
      </c>
      <c r="S81" s="61" t="str">
        <f t="shared" si="89"/>
        <v/>
      </c>
      <c r="T81" s="421"/>
      <c r="U81" s="59" t="str">
        <f t="shared" si="90"/>
        <v/>
      </c>
      <c r="V81" s="60" t="str">
        <f t="shared" si="91"/>
        <v/>
      </c>
      <c r="W81" s="422"/>
      <c r="X81" s="59" t="str">
        <f t="shared" si="92"/>
        <v/>
      </c>
      <c r="Y81" s="62" t="str">
        <f t="shared" si="93"/>
        <v/>
      </c>
      <c r="Z81" s="421"/>
      <c r="AA81" s="59" t="str">
        <f t="shared" si="94"/>
        <v/>
      </c>
      <c r="AB81" s="62" t="str">
        <f t="shared" si="95"/>
        <v/>
      </c>
      <c r="AC81" s="422"/>
      <c r="AD81" s="59" t="str">
        <f t="shared" si="96"/>
        <v/>
      </c>
      <c r="AE81" s="62" t="str">
        <f t="shared" si="97"/>
        <v/>
      </c>
      <c r="AF81" s="421"/>
      <c r="AG81" s="59" t="str">
        <f t="shared" si="98"/>
        <v/>
      </c>
      <c r="AH81" s="62" t="str">
        <f t="shared" si="99"/>
        <v/>
      </c>
      <c r="AI81" s="421"/>
      <c r="AJ81" s="59" t="str">
        <f t="shared" si="100"/>
        <v/>
      </c>
      <c r="AK81" s="62" t="str">
        <f t="shared" si="101"/>
        <v/>
      </c>
      <c r="AL81" s="421"/>
      <c r="AM81" s="59" t="str">
        <f t="shared" si="102"/>
        <v/>
      </c>
      <c r="AN81" s="62" t="str">
        <f t="shared" si="103"/>
        <v/>
      </c>
      <c r="AO81" s="421"/>
      <c r="AP81" s="59" t="str">
        <f t="shared" si="104"/>
        <v/>
      </c>
      <c r="AQ81" s="62" t="str">
        <f t="shared" si="105"/>
        <v/>
      </c>
      <c r="AR81" s="421"/>
      <c r="AS81" s="59" t="str">
        <f t="shared" si="106"/>
        <v/>
      </c>
      <c r="AT81" s="62" t="str">
        <f t="shared" si="107"/>
        <v/>
      </c>
      <c r="AU81" s="421"/>
      <c r="AV81" s="59" t="str">
        <f t="shared" si="108"/>
        <v/>
      </c>
      <c r="AW81" s="62" t="str">
        <f t="shared" si="109"/>
        <v/>
      </c>
      <c r="AX81" s="421"/>
      <c r="AY81" s="59" t="str">
        <f t="shared" si="110"/>
        <v/>
      </c>
      <c r="AZ81" s="62" t="str">
        <f t="shared" si="111"/>
        <v/>
      </c>
      <c r="BA81" s="421"/>
      <c r="BB81" s="59" t="str">
        <f t="shared" si="112"/>
        <v/>
      </c>
      <c r="BC81" s="62" t="str">
        <f t="shared" si="113"/>
        <v/>
      </c>
      <c r="BD81" s="421"/>
      <c r="BE81" s="59" t="str">
        <f t="shared" si="114"/>
        <v/>
      </c>
      <c r="BF81" s="62" t="str">
        <f t="shared" si="115"/>
        <v/>
      </c>
      <c r="BG81" s="421"/>
      <c r="BH81" s="59" t="str">
        <f t="shared" si="116"/>
        <v/>
      </c>
      <c r="BI81" s="62" t="str">
        <f t="shared" si="117"/>
        <v/>
      </c>
      <c r="BJ81" s="421"/>
      <c r="BK81" s="59" t="str">
        <f t="shared" si="118"/>
        <v/>
      </c>
      <c r="BL81" s="62" t="str">
        <f t="shared" si="119"/>
        <v/>
      </c>
      <c r="BM81" s="421"/>
      <c r="BN81" s="59" t="str">
        <f t="shared" si="120"/>
        <v/>
      </c>
      <c r="BO81" s="62" t="str">
        <f t="shared" si="121"/>
        <v/>
      </c>
      <c r="BP81" s="421"/>
      <c r="BQ81" s="59" t="str">
        <f t="shared" si="122"/>
        <v/>
      </c>
      <c r="BR81" s="62" t="str">
        <f t="shared" si="123"/>
        <v/>
      </c>
      <c r="BS81" s="421"/>
      <c r="BT81" s="59" t="str">
        <f t="shared" si="124"/>
        <v/>
      </c>
      <c r="BU81" s="62" t="str">
        <f t="shared" si="125"/>
        <v/>
      </c>
      <c r="BV81" s="421"/>
      <c r="BW81" s="59" t="str">
        <f t="shared" si="126"/>
        <v/>
      </c>
      <c r="BX81" s="62" t="str">
        <f t="shared" si="127"/>
        <v/>
      </c>
      <c r="BY81" s="421"/>
      <c r="BZ81" s="59" t="str">
        <f t="shared" si="128"/>
        <v/>
      </c>
      <c r="CA81" s="62" t="str">
        <f t="shared" si="129"/>
        <v/>
      </c>
      <c r="CB81" s="421"/>
      <c r="CC81" s="59" t="str">
        <f t="shared" si="130"/>
        <v/>
      </c>
      <c r="CD81" s="62" t="str">
        <f t="shared" si="131"/>
        <v/>
      </c>
      <c r="CE81" s="421"/>
      <c r="CF81" s="59" t="str">
        <f t="shared" si="132"/>
        <v/>
      </c>
      <c r="CG81" s="62" t="str">
        <f t="shared" si="133"/>
        <v/>
      </c>
      <c r="CH81" s="421"/>
      <c r="CI81" s="59" t="str">
        <f t="shared" si="134"/>
        <v/>
      </c>
      <c r="CJ81" s="62" t="str">
        <f t="shared" si="135"/>
        <v/>
      </c>
      <c r="CK81" s="421"/>
      <c r="CL81" s="59" t="str">
        <f t="shared" si="136"/>
        <v/>
      </c>
      <c r="CM81" s="62" t="str">
        <f t="shared" si="137"/>
        <v/>
      </c>
      <c r="CN81" s="421"/>
      <c r="CO81" s="59" t="str">
        <f t="shared" si="138"/>
        <v/>
      </c>
      <c r="CP81" s="62" t="str">
        <f t="shared" si="139"/>
        <v/>
      </c>
      <c r="CQ81" s="421"/>
      <c r="CR81" s="59" t="str">
        <f t="shared" si="140"/>
        <v/>
      </c>
      <c r="CS81" s="62" t="str">
        <f t="shared" si="141"/>
        <v/>
      </c>
      <c r="CT81" s="421"/>
      <c r="CU81" s="59" t="str">
        <f t="shared" si="142"/>
        <v/>
      </c>
      <c r="CV81" s="62" t="str">
        <f t="shared" si="143"/>
        <v/>
      </c>
      <c r="CW81" s="421"/>
      <c r="CX81" s="59" t="str">
        <f t="shared" si="144"/>
        <v/>
      </c>
      <c r="CY81" s="62" t="str">
        <f t="shared" si="145"/>
        <v/>
      </c>
      <c r="CZ81" s="421"/>
      <c r="DA81" s="59" t="str">
        <f t="shared" si="146"/>
        <v/>
      </c>
      <c r="DB81" s="62" t="str">
        <f t="shared" si="147"/>
        <v/>
      </c>
      <c r="DC81" s="421"/>
      <c r="DD81" s="59" t="str">
        <f t="shared" si="148"/>
        <v/>
      </c>
      <c r="DE81" s="62" t="str">
        <f t="shared" si="149"/>
        <v/>
      </c>
      <c r="DF81" s="421"/>
      <c r="DG81" s="59" t="str">
        <f t="shared" si="150"/>
        <v/>
      </c>
      <c r="DH81" s="62" t="str">
        <f t="shared" si="151"/>
        <v/>
      </c>
      <c r="DI81" s="421"/>
      <c r="DJ81" s="59" t="str">
        <f t="shared" si="152"/>
        <v/>
      </c>
      <c r="DK81" s="62" t="str">
        <f t="shared" si="153"/>
        <v/>
      </c>
      <c r="DL81" s="421"/>
      <c r="DM81" s="59" t="str">
        <f t="shared" si="154"/>
        <v/>
      </c>
      <c r="DN81" s="62" t="str">
        <f t="shared" si="155"/>
        <v/>
      </c>
      <c r="DO81" s="421"/>
      <c r="DP81" s="59" t="str">
        <f t="shared" si="156"/>
        <v/>
      </c>
      <c r="DQ81" s="62" t="str">
        <f t="shared" si="157"/>
        <v/>
      </c>
      <c r="DR81" s="421"/>
      <c r="DS81" s="59" t="str">
        <f t="shared" si="158"/>
        <v/>
      </c>
      <c r="DT81" s="62" t="str">
        <f t="shared" si="159"/>
        <v/>
      </c>
      <c r="DU81" s="421"/>
      <c r="DV81" s="59" t="str">
        <f t="shared" si="160"/>
        <v/>
      </c>
      <c r="DW81" s="62" t="str">
        <f t="shared" si="161"/>
        <v/>
      </c>
      <c r="DX81" s="161"/>
    </row>
    <row r="82" spans="2:128" ht="20.25" customHeight="1" x14ac:dyDescent="0.2">
      <c r="B82" s="377"/>
      <c r="C82" s="349"/>
      <c r="D82" s="153"/>
      <c r="E82" s="349"/>
      <c r="F82" s="857" t="s">
        <v>26</v>
      </c>
      <c r="G82" s="858"/>
      <c r="H82" s="63">
        <f t="shared" ref="H82:AM82" si="162">SUM(H32:H81)</f>
        <v>1050</v>
      </c>
      <c r="I82" s="64">
        <f t="shared" si="162"/>
        <v>1.3377505381119235</v>
      </c>
      <c r="J82" s="65">
        <f t="shared" si="162"/>
        <v>1</v>
      </c>
      <c r="K82" s="63">
        <f t="shared" si="162"/>
        <v>147.19999999999999</v>
      </c>
      <c r="L82" s="64">
        <f t="shared" si="162"/>
        <v>4.5939847512163761</v>
      </c>
      <c r="M82" s="65">
        <f t="shared" si="162"/>
        <v>1</v>
      </c>
      <c r="N82" s="63">
        <f t="shared" si="162"/>
        <v>18.2</v>
      </c>
      <c r="O82" s="64">
        <f t="shared" si="162"/>
        <v>0.4550329898917671</v>
      </c>
      <c r="P82" s="65">
        <f t="shared" si="162"/>
        <v>1</v>
      </c>
      <c r="Q82" s="63">
        <f t="shared" si="162"/>
        <v>11</v>
      </c>
      <c r="R82" s="64">
        <f t="shared" si="162"/>
        <v>0.6105921078194646</v>
      </c>
      <c r="S82" s="65">
        <f t="shared" si="162"/>
        <v>1</v>
      </c>
      <c r="T82" s="63">
        <f t="shared" si="162"/>
        <v>10</v>
      </c>
      <c r="U82" s="64">
        <f t="shared" si="162"/>
        <v>0.10204581448887293</v>
      </c>
      <c r="V82" s="65">
        <f t="shared" si="162"/>
        <v>1</v>
      </c>
      <c r="W82" s="63">
        <f t="shared" si="162"/>
        <v>10</v>
      </c>
      <c r="X82" s="64">
        <f t="shared" si="162"/>
        <v>0.10195862518989794</v>
      </c>
      <c r="Y82" s="65">
        <f t="shared" si="162"/>
        <v>1</v>
      </c>
      <c r="Z82" s="63">
        <f t="shared" si="162"/>
        <v>110</v>
      </c>
      <c r="AA82" s="64">
        <f t="shared" si="162"/>
        <v>1.1944343701747566</v>
      </c>
      <c r="AB82" s="65">
        <f t="shared" si="162"/>
        <v>1</v>
      </c>
      <c r="AC82" s="63">
        <f t="shared" si="162"/>
        <v>0</v>
      </c>
      <c r="AD82" s="64">
        <f t="shared" si="162"/>
        <v>0</v>
      </c>
      <c r="AE82" s="65">
        <f t="shared" si="162"/>
        <v>0</v>
      </c>
      <c r="AF82" s="63">
        <f t="shared" si="162"/>
        <v>0</v>
      </c>
      <c r="AG82" s="64">
        <f t="shared" si="162"/>
        <v>0</v>
      </c>
      <c r="AH82" s="65">
        <f t="shared" si="162"/>
        <v>0</v>
      </c>
      <c r="AI82" s="63">
        <f t="shared" si="162"/>
        <v>0</v>
      </c>
      <c r="AJ82" s="64">
        <f t="shared" si="162"/>
        <v>0</v>
      </c>
      <c r="AK82" s="65">
        <f t="shared" si="162"/>
        <v>0</v>
      </c>
      <c r="AL82" s="63">
        <f t="shared" si="162"/>
        <v>0</v>
      </c>
      <c r="AM82" s="64">
        <f t="shared" si="162"/>
        <v>0</v>
      </c>
      <c r="AN82" s="65">
        <f t="shared" ref="AN82:BS82" si="163">SUM(AN32:AN81)</f>
        <v>0</v>
      </c>
      <c r="AO82" s="63">
        <f t="shared" si="163"/>
        <v>0</v>
      </c>
      <c r="AP82" s="64">
        <f t="shared" si="163"/>
        <v>0</v>
      </c>
      <c r="AQ82" s="65">
        <f t="shared" si="163"/>
        <v>0</v>
      </c>
      <c r="AR82" s="63">
        <f t="shared" si="163"/>
        <v>0</v>
      </c>
      <c r="AS82" s="64">
        <f t="shared" si="163"/>
        <v>0</v>
      </c>
      <c r="AT82" s="65">
        <f t="shared" si="163"/>
        <v>0</v>
      </c>
      <c r="AU82" s="63">
        <f t="shared" si="163"/>
        <v>0</v>
      </c>
      <c r="AV82" s="64">
        <f t="shared" si="163"/>
        <v>0</v>
      </c>
      <c r="AW82" s="65">
        <f t="shared" si="163"/>
        <v>0</v>
      </c>
      <c r="AX82" s="63">
        <f t="shared" si="163"/>
        <v>0</v>
      </c>
      <c r="AY82" s="64">
        <f t="shared" si="163"/>
        <v>0</v>
      </c>
      <c r="AZ82" s="65">
        <f t="shared" si="163"/>
        <v>0</v>
      </c>
      <c r="BA82" s="63">
        <f t="shared" si="163"/>
        <v>0</v>
      </c>
      <c r="BB82" s="64">
        <f t="shared" si="163"/>
        <v>0</v>
      </c>
      <c r="BC82" s="65">
        <f t="shared" si="163"/>
        <v>0</v>
      </c>
      <c r="BD82" s="63">
        <f t="shared" si="163"/>
        <v>0</v>
      </c>
      <c r="BE82" s="64">
        <f t="shared" si="163"/>
        <v>0</v>
      </c>
      <c r="BF82" s="65">
        <f t="shared" si="163"/>
        <v>0</v>
      </c>
      <c r="BG82" s="63">
        <f t="shared" si="163"/>
        <v>0</v>
      </c>
      <c r="BH82" s="64">
        <f t="shared" si="163"/>
        <v>0</v>
      </c>
      <c r="BI82" s="65">
        <f t="shared" si="163"/>
        <v>0</v>
      </c>
      <c r="BJ82" s="63">
        <f t="shared" si="163"/>
        <v>0</v>
      </c>
      <c r="BK82" s="64">
        <f t="shared" si="163"/>
        <v>0</v>
      </c>
      <c r="BL82" s="65">
        <f t="shared" si="163"/>
        <v>0</v>
      </c>
      <c r="BM82" s="63">
        <f t="shared" si="163"/>
        <v>0</v>
      </c>
      <c r="BN82" s="64">
        <f t="shared" si="163"/>
        <v>0</v>
      </c>
      <c r="BO82" s="65">
        <f t="shared" si="163"/>
        <v>0</v>
      </c>
      <c r="BP82" s="63">
        <f t="shared" si="163"/>
        <v>0</v>
      </c>
      <c r="BQ82" s="64">
        <f t="shared" si="163"/>
        <v>0</v>
      </c>
      <c r="BR82" s="65">
        <f t="shared" si="163"/>
        <v>0</v>
      </c>
      <c r="BS82" s="63">
        <f t="shared" si="163"/>
        <v>0</v>
      </c>
      <c r="BT82" s="64">
        <f t="shared" ref="BT82:CY82" si="164">SUM(BT32:BT81)</f>
        <v>0</v>
      </c>
      <c r="BU82" s="65">
        <f t="shared" si="164"/>
        <v>0</v>
      </c>
      <c r="BV82" s="63">
        <f t="shared" si="164"/>
        <v>0</v>
      </c>
      <c r="BW82" s="64">
        <f t="shared" si="164"/>
        <v>0</v>
      </c>
      <c r="BX82" s="65">
        <f t="shared" si="164"/>
        <v>0</v>
      </c>
      <c r="BY82" s="63">
        <f t="shared" si="164"/>
        <v>0</v>
      </c>
      <c r="BZ82" s="64">
        <f t="shared" si="164"/>
        <v>0</v>
      </c>
      <c r="CA82" s="65">
        <f t="shared" si="164"/>
        <v>0</v>
      </c>
      <c r="CB82" s="63">
        <f t="shared" si="164"/>
        <v>0</v>
      </c>
      <c r="CC82" s="64">
        <f t="shared" si="164"/>
        <v>0</v>
      </c>
      <c r="CD82" s="65">
        <f t="shared" si="164"/>
        <v>0</v>
      </c>
      <c r="CE82" s="63">
        <f t="shared" si="164"/>
        <v>0</v>
      </c>
      <c r="CF82" s="64">
        <f t="shared" si="164"/>
        <v>0</v>
      </c>
      <c r="CG82" s="65">
        <f t="shared" si="164"/>
        <v>0</v>
      </c>
      <c r="CH82" s="63">
        <f t="shared" si="164"/>
        <v>0</v>
      </c>
      <c r="CI82" s="64">
        <f t="shared" si="164"/>
        <v>0</v>
      </c>
      <c r="CJ82" s="65">
        <f t="shared" si="164"/>
        <v>0</v>
      </c>
      <c r="CK82" s="63">
        <f t="shared" si="164"/>
        <v>0</v>
      </c>
      <c r="CL82" s="64">
        <f t="shared" si="164"/>
        <v>0</v>
      </c>
      <c r="CM82" s="65">
        <f t="shared" si="164"/>
        <v>0</v>
      </c>
      <c r="CN82" s="63">
        <f t="shared" si="164"/>
        <v>0</v>
      </c>
      <c r="CO82" s="64">
        <f t="shared" si="164"/>
        <v>0</v>
      </c>
      <c r="CP82" s="65">
        <f t="shared" si="164"/>
        <v>0</v>
      </c>
      <c r="CQ82" s="63">
        <f t="shared" si="164"/>
        <v>0</v>
      </c>
      <c r="CR82" s="64">
        <f t="shared" si="164"/>
        <v>0</v>
      </c>
      <c r="CS82" s="65">
        <f t="shared" si="164"/>
        <v>0</v>
      </c>
      <c r="CT82" s="63">
        <f t="shared" si="164"/>
        <v>0</v>
      </c>
      <c r="CU82" s="64">
        <f t="shared" si="164"/>
        <v>0</v>
      </c>
      <c r="CV82" s="65">
        <f t="shared" si="164"/>
        <v>0</v>
      </c>
      <c r="CW82" s="63">
        <f t="shared" si="164"/>
        <v>0</v>
      </c>
      <c r="CX82" s="64">
        <f t="shared" si="164"/>
        <v>0</v>
      </c>
      <c r="CY82" s="65">
        <f t="shared" si="164"/>
        <v>0</v>
      </c>
      <c r="CZ82" s="63">
        <f t="shared" ref="CZ82:DW82" si="165">SUM(CZ32:CZ81)</f>
        <v>0</v>
      </c>
      <c r="DA82" s="64">
        <f t="shared" si="165"/>
        <v>0</v>
      </c>
      <c r="DB82" s="65">
        <f t="shared" si="165"/>
        <v>0</v>
      </c>
      <c r="DC82" s="63">
        <f t="shared" si="165"/>
        <v>0</v>
      </c>
      <c r="DD82" s="64">
        <f t="shared" si="165"/>
        <v>0</v>
      </c>
      <c r="DE82" s="65">
        <f t="shared" si="165"/>
        <v>0</v>
      </c>
      <c r="DF82" s="63">
        <f t="shared" si="165"/>
        <v>0</v>
      </c>
      <c r="DG82" s="64">
        <f t="shared" si="165"/>
        <v>0</v>
      </c>
      <c r="DH82" s="65">
        <f t="shared" si="165"/>
        <v>0</v>
      </c>
      <c r="DI82" s="63">
        <f t="shared" si="165"/>
        <v>0</v>
      </c>
      <c r="DJ82" s="64">
        <f t="shared" si="165"/>
        <v>0</v>
      </c>
      <c r="DK82" s="65">
        <f t="shared" si="165"/>
        <v>0</v>
      </c>
      <c r="DL82" s="63">
        <f t="shared" si="165"/>
        <v>0</v>
      </c>
      <c r="DM82" s="64">
        <f t="shared" si="165"/>
        <v>0</v>
      </c>
      <c r="DN82" s="65">
        <f t="shared" si="165"/>
        <v>0</v>
      </c>
      <c r="DO82" s="63">
        <f t="shared" si="165"/>
        <v>0</v>
      </c>
      <c r="DP82" s="64">
        <f t="shared" si="165"/>
        <v>0</v>
      </c>
      <c r="DQ82" s="65">
        <f t="shared" si="165"/>
        <v>0</v>
      </c>
      <c r="DR82" s="63">
        <f t="shared" si="165"/>
        <v>0</v>
      </c>
      <c r="DS82" s="64">
        <f t="shared" si="165"/>
        <v>0</v>
      </c>
      <c r="DT82" s="65">
        <f t="shared" si="165"/>
        <v>0</v>
      </c>
      <c r="DU82" s="63">
        <f t="shared" si="165"/>
        <v>0</v>
      </c>
      <c r="DV82" s="64">
        <f t="shared" si="165"/>
        <v>0</v>
      </c>
      <c r="DW82" s="65">
        <f t="shared" si="165"/>
        <v>0</v>
      </c>
      <c r="DX82" s="161"/>
    </row>
    <row r="83" spans="2:128" ht="20.25" customHeight="1" x14ac:dyDescent="0.2">
      <c r="B83" s="377"/>
      <c r="C83" s="349"/>
      <c r="D83" s="153"/>
      <c r="E83" s="349"/>
      <c r="F83" s="859" t="s">
        <v>770</v>
      </c>
      <c r="G83" s="860"/>
      <c r="H83" s="747">
        <v>25</v>
      </c>
      <c r="I83" s="756"/>
      <c r="J83" s="757"/>
      <c r="K83" s="747">
        <v>25</v>
      </c>
      <c r="L83" s="748"/>
      <c r="M83" s="749"/>
      <c r="N83" s="747">
        <v>25</v>
      </c>
      <c r="O83" s="748"/>
      <c r="P83" s="749"/>
      <c r="Q83" s="747">
        <v>25</v>
      </c>
      <c r="R83" s="748"/>
      <c r="S83" s="748"/>
      <c r="T83" s="773">
        <v>25</v>
      </c>
      <c r="U83" s="774"/>
      <c r="V83" s="775"/>
      <c r="W83" s="748">
        <v>25</v>
      </c>
      <c r="X83" s="748"/>
      <c r="Y83" s="749"/>
      <c r="Z83" s="747">
        <v>25</v>
      </c>
      <c r="AA83" s="748"/>
      <c r="AB83" s="749"/>
      <c r="AC83" s="748"/>
      <c r="AD83" s="748"/>
      <c r="AE83" s="749"/>
      <c r="AF83" s="747"/>
      <c r="AG83" s="748"/>
      <c r="AH83" s="749"/>
      <c r="AI83" s="747"/>
      <c r="AJ83" s="748"/>
      <c r="AK83" s="749"/>
      <c r="AL83" s="747"/>
      <c r="AM83" s="748"/>
      <c r="AN83" s="749"/>
      <c r="AO83" s="747"/>
      <c r="AP83" s="748"/>
      <c r="AQ83" s="749"/>
      <c r="AR83" s="747"/>
      <c r="AS83" s="748"/>
      <c r="AT83" s="749"/>
      <c r="AU83" s="747"/>
      <c r="AV83" s="748"/>
      <c r="AW83" s="749"/>
      <c r="AX83" s="747"/>
      <c r="AY83" s="748"/>
      <c r="AZ83" s="749"/>
      <c r="BA83" s="747"/>
      <c r="BB83" s="748"/>
      <c r="BC83" s="749"/>
      <c r="BD83" s="747"/>
      <c r="BE83" s="748"/>
      <c r="BF83" s="749"/>
      <c r="BG83" s="747"/>
      <c r="BH83" s="748"/>
      <c r="BI83" s="749"/>
      <c r="BJ83" s="747"/>
      <c r="BK83" s="748"/>
      <c r="BL83" s="749"/>
      <c r="BM83" s="747"/>
      <c r="BN83" s="748"/>
      <c r="BO83" s="749"/>
      <c r="BP83" s="747"/>
      <c r="BQ83" s="748"/>
      <c r="BR83" s="749"/>
      <c r="BS83" s="747"/>
      <c r="BT83" s="748"/>
      <c r="BU83" s="749"/>
      <c r="BV83" s="747"/>
      <c r="BW83" s="748"/>
      <c r="BX83" s="749"/>
      <c r="BY83" s="747"/>
      <c r="BZ83" s="748"/>
      <c r="CA83" s="749"/>
      <c r="CB83" s="747"/>
      <c r="CC83" s="748"/>
      <c r="CD83" s="749"/>
      <c r="CE83" s="747"/>
      <c r="CF83" s="748"/>
      <c r="CG83" s="749"/>
      <c r="CH83" s="747"/>
      <c r="CI83" s="748"/>
      <c r="CJ83" s="749"/>
      <c r="CK83" s="747"/>
      <c r="CL83" s="748"/>
      <c r="CM83" s="749"/>
      <c r="CN83" s="747"/>
      <c r="CO83" s="748"/>
      <c r="CP83" s="749"/>
      <c r="CQ83" s="747"/>
      <c r="CR83" s="748"/>
      <c r="CS83" s="749"/>
      <c r="CT83" s="747"/>
      <c r="CU83" s="748"/>
      <c r="CV83" s="749"/>
      <c r="CW83" s="747"/>
      <c r="CX83" s="748"/>
      <c r="CY83" s="749"/>
      <c r="CZ83" s="747"/>
      <c r="DA83" s="748"/>
      <c r="DB83" s="749"/>
      <c r="DC83" s="747"/>
      <c r="DD83" s="748"/>
      <c r="DE83" s="749"/>
      <c r="DF83" s="747"/>
      <c r="DG83" s="748"/>
      <c r="DH83" s="749"/>
      <c r="DI83" s="747"/>
      <c r="DJ83" s="748"/>
      <c r="DK83" s="749"/>
      <c r="DL83" s="747"/>
      <c r="DM83" s="748"/>
      <c r="DN83" s="749"/>
      <c r="DO83" s="747"/>
      <c r="DP83" s="748"/>
      <c r="DQ83" s="749"/>
      <c r="DR83" s="747"/>
      <c r="DS83" s="748"/>
      <c r="DT83" s="749"/>
      <c r="DU83" s="747"/>
      <c r="DV83" s="748"/>
      <c r="DW83" s="749"/>
      <c r="DX83" s="161"/>
    </row>
    <row r="84" spans="2:128" ht="20.25" customHeight="1" x14ac:dyDescent="0.2">
      <c r="B84" s="377"/>
      <c r="C84" s="349"/>
      <c r="D84" s="153"/>
      <c r="E84" s="349"/>
      <c r="F84" s="859" t="s">
        <v>771</v>
      </c>
      <c r="G84" s="860"/>
      <c r="H84" s="747">
        <v>100</v>
      </c>
      <c r="I84" s="756"/>
      <c r="J84" s="757"/>
      <c r="K84" s="747">
        <v>100</v>
      </c>
      <c r="L84" s="748"/>
      <c r="M84" s="749"/>
      <c r="N84" s="747">
        <v>100</v>
      </c>
      <c r="O84" s="748"/>
      <c r="P84" s="749"/>
      <c r="Q84" s="747">
        <v>110</v>
      </c>
      <c r="R84" s="748"/>
      <c r="S84" s="748"/>
      <c r="T84" s="773">
        <v>100</v>
      </c>
      <c r="U84" s="774"/>
      <c r="V84" s="775"/>
      <c r="W84" s="748">
        <v>100</v>
      </c>
      <c r="X84" s="748"/>
      <c r="Y84" s="749"/>
      <c r="Z84" s="747">
        <v>100</v>
      </c>
      <c r="AA84" s="748"/>
      <c r="AB84" s="749"/>
      <c r="AC84" s="748"/>
      <c r="AD84" s="748"/>
      <c r="AE84" s="749"/>
      <c r="AF84" s="747"/>
      <c r="AG84" s="748"/>
      <c r="AH84" s="749"/>
      <c r="AI84" s="747"/>
      <c r="AJ84" s="748"/>
      <c r="AK84" s="749"/>
      <c r="AL84" s="747"/>
      <c r="AM84" s="748"/>
      <c r="AN84" s="749"/>
      <c r="AO84" s="747"/>
      <c r="AP84" s="748"/>
      <c r="AQ84" s="749"/>
      <c r="AR84" s="747"/>
      <c r="AS84" s="748"/>
      <c r="AT84" s="749"/>
      <c r="AU84" s="747"/>
      <c r="AV84" s="748"/>
      <c r="AW84" s="749"/>
      <c r="AX84" s="747"/>
      <c r="AY84" s="748"/>
      <c r="AZ84" s="749"/>
      <c r="BA84" s="747"/>
      <c r="BB84" s="748"/>
      <c r="BC84" s="749"/>
      <c r="BD84" s="747"/>
      <c r="BE84" s="748"/>
      <c r="BF84" s="749"/>
      <c r="BG84" s="747"/>
      <c r="BH84" s="748"/>
      <c r="BI84" s="749"/>
      <c r="BJ84" s="747"/>
      <c r="BK84" s="748"/>
      <c r="BL84" s="749"/>
      <c r="BM84" s="747"/>
      <c r="BN84" s="748"/>
      <c r="BO84" s="749"/>
      <c r="BP84" s="747"/>
      <c r="BQ84" s="748"/>
      <c r="BR84" s="749"/>
      <c r="BS84" s="747"/>
      <c r="BT84" s="748"/>
      <c r="BU84" s="749"/>
      <c r="BV84" s="747"/>
      <c r="BW84" s="748"/>
      <c r="BX84" s="749"/>
      <c r="BY84" s="747"/>
      <c r="BZ84" s="748"/>
      <c r="CA84" s="749"/>
      <c r="CB84" s="747"/>
      <c r="CC84" s="748"/>
      <c r="CD84" s="749"/>
      <c r="CE84" s="747"/>
      <c r="CF84" s="748"/>
      <c r="CG84" s="749"/>
      <c r="CH84" s="747"/>
      <c r="CI84" s="748"/>
      <c r="CJ84" s="749"/>
      <c r="CK84" s="747"/>
      <c r="CL84" s="748"/>
      <c r="CM84" s="749"/>
      <c r="CN84" s="747"/>
      <c r="CO84" s="748"/>
      <c r="CP84" s="749"/>
      <c r="CQ84" s="747"/>
      <c r="CR84" s="748"/>
      <c r="CS84" s="749"/>
      <c r="CT84" s="747"/>
      <c r="CU84" s="748"/>
      <c r="CV84" s="749"/>
      <c r="CW84" s="747"/>
      <c r="CX84" s="748"/>
      <c r="CY84" s="749"/>
      <c r="CZ84" s="747"/>
      <c r="DA84" s="748"/>
      <c r="DB84" s="749"/>
      <c r="DC84" s="747"/>
      <c r="DD84" s="748"/>
      <c r="DE84" s="749"/>
      <c r="DF84" s="747"/>
      <c r="DG84" s="748"/>
      <c r="DH84" s="749"/>
      <c r="DI84" s="747"/>
      <c r="DJ84" s="748"/>
      <c r="DK84" s="749"/>
      <c r="DL84" s="747"/>
      <c r="DM84" s="748"/>
      <c r="DN84" s="749"/>
      <c r="DO84" s="747"/>
      <c r="DP84" s="748"/>
      <c r="DQ84" s="749"/>
      <c r="DR84" s="747"/>
      <c r="DS84" s="748"/>
      <c r="DT84" s="749"/>
      <c r="DU84" s="747"/>
      <c r="DV84" s="748"/>
      <c r="DW84" s="749"/>
      <c r="DX84" s="161"/>
    </row>
    <row r="85" spans="2:128" ht="20.25" customHeight="1" x14ac:dyDescent="0.2">
      <c r="B85" s="377"/>
      <c r="C85" s="349"/>
      <c r="D85" s="153"/>
      <c r="E85" s="349"/>
      <c r="F85" s="859" t="s">
        <v>3</v>
      </c>
      <c r="G85" s="860"/>
      <c r="H85" s="747">
        <v>0</v>
      </c>
      <c r="I85" s="756"/>
      <c r="J85" s="757"/>
      <c r="K85" s="747">
        <v>0</v>
      </c>
      <c r="L85" s="748"/>
      <c r="M85" s="749"/>
      <c r="N85" s="747">
        <v>0</v>
      </c>
      <c r="O85" s="748"/>
      <c r="P85" s="749"/>
      <c r="Q85" s="747">
        <v>0</v>
      </c>
      <c r="R85" s="748"/>
      <c r="S85" s="748"/>
      <c r="T85" s="773">
        <v>0</v>
      </c>
      <c r="U85" s="774"/>
      <c r="V85" s="775"/>
      <c r="W85" s="748">
        <v>0</v>
      </c>
      <c r="X85" s="748"/>
      <c r="Y85" s="749"/>
      <c r="Z85" s="747">
        <v>0</v>
      </c>
      <c r="AA85" s="748"/>
      <c r="AB85" s="749"/>
      <c r="AC85" s="748"/>
      <c r="AD85" s="748"/>
      <c r="AE85" s="749"/>
      <c r="AF85" s="747"/>
      <c r="AG85" s="748"/>
      <c r="AH85" s="749"/>
      <c r="AI85" s="747"/>
      <c r="AJ85" s="748"/>
      <c r="AK85" s="749"/>
      <c r="AL85" s="747"/>
      <c r="AM85" s="748"/>
      <c r="AN85" s="749"/>
      <c r="AO85" s="747"/>
      <c r="AP85" s="748"/>
      <c r="AQ85" s="749"/>
      <c r="AR85" s="747"/>
      <c r="AS85" s="748"/>
      <c r="AT85" s="749"/>
      <c r="AU85" s="747"/>
      <c r="AV85" s="748"/>
      <c r="AW85" s="749"/>
      <c r="AX85" s="747"/>
      <c r="AY85" s="748"/>
      <c r="AZ85" s="749"/>
      <c r="BA85" s="747"/>
      <c r="BB85" s="748"/>
      <c r="BC85" s="749"/>
      <c r="BD85" s="747"/>
      <c r="BE85" s="748"/>
      <c r="BF85" s="749"/>
      <c r="BG85" s="747"/>
      <c r="BH85" s="748"/>
      <c r="BI85" s="749"/>
      <c r="BJ85" s="747"/>
      <c r="BK85" s="748"/>
      <c r="BL85" s="749"/>
      <c r="BM85" s="747"/>
      <c r="BN85" s="748"/>
      <c r="BO85" s="749"/>
      <c r="BP85" s="747"/>
      <c r="BQ85" s="748"/>
      <c r="BR85" s="749"/>
      <c r="BS85" s="747"/>
      <c r="BT85" s="748"/>
      <c r="BU85" s="749"/>
      <c r="BV85" s="747"/>
      <c r="BW85" s="748"/>
      <c r="BX85" s="749"/>
      <c r="BY85" s="747"/>
      <c r="BZ85" s="748"/>
      <c r="CA85" s="749"/>
      <c r="CB85" s="747"/>
      <c r="CC85" s="748"/>
      <c r="CD85" s="749"/>
      <c r="CE85" s="747"/>
      <c r="CF85" s="748"/>
      <c r="CG85" s="749"/>
      <c r="CH85" s="747"/>
      <c r="CI85" s="748"/>
      <c r="CJ85" s="749"/>
      <c r="CK85" s="747"/>
      <c r="CL85" s="748"/>
      <c r="CM85" s="749"/>
      <c r="CN85" s="747"/>
      <c r="CO85" s="748"/>
      <c r="CP85" s="749"/>
      <c r="CQ85" s="747"/>
      <c r="CR85" s="748"/>
      <c r="CS85" s="749"/>
      <c r="CT85" s="747"/>
      <c r="CU85" s="748"/>
      <c r="CV85" s="749"/>
      <c r="CW85" s="747"/>
      <c r="CX85" s="748"/>
      <c r="CY85" s="749"/>
      <c r="CZ85" s="747"/>
      <c r="DA85" s="748"/>
      <c r="DB85" s="749"/>
      <c r="DC85" s="747"/>
      <c r="DD85" s="748"/>
      <c r="DE85" s="749"/>
      <c r="DF85" s="747"/>
      <c r="DG85" s="748"/>
      <c r="DH85" s="749"/>
      <c r="DI85" s="747"/>
      <c r="DJ85" s="748"/>
      <c r="DK85" s="749"/>
      <c r="DL85" s="747"/>
      <c r="DM85" s="748"/>
      <c r="DN85" s="749"/>
      <c r="DO85" s="747"/>
      <c r="DP85" s="748"/>
      <c r="DQ85" s="749"/>
      <c r="DR85" s="747"/>
      <c r="DS85" s="748"/>
      <c r="DT85" s="749"/>
      <c r="DU85" s="747"/>
      <c r="DV85" s="748"/>
      <c r="DW85" s="749"/>
      <c r="DX85" s="161"/>
    </row>
    <row r="86" spans="2:128" ht="20.25" customHeight="1" x14ac:dyDescent="0.2">
      <c r="B86" s="377"/>
      <c r="C86" s="349"/>
      <c r="D86" s="153"/>
      <c r="E86" s="349"/>
      <c r="F86" s="859" t="s">
        <v>772</v>
      </c>
      <c r="G86" s="860"/>
      <c r="H86" s="747">
        <v>-2942.5</v>
      </c>
      <c r="I86" s="756"/>
      <c r="J86" s="757"/>
      <c r="K86" s="747">
        <v>-1097.7</v>
      </c>
      <c r="L86" s="748"/>
      <c r="M86" s="749"/>
      <c r="N86" s="747">
        <v>-367.4</v>
      </c>
      <c r="O86" s="748"/>
      <c r="P86" s="749"/>
      <c r="Q86" s="747">
        <v>-174.4</v>
      </c>
      <c r="R86" s="748"/>
      <c r="S86" s="748"/>
      <c r="T86" s="773">
        <v>-137</v>
      </c>
      <c r="U86" s="774"/>
      <c r="V86" s="775"/>
      <c r="W86" s="748">
        <v>-80.063000000000002</v>
      </c>
      <c r="X86" s="748"/>
      <c r="Y86" s="749"/>
      <c r="Z86" s="747">
        <v>-792</v>
      </c>
      <c r="AA86" s="748"/>
      <c r="AB86" s="749"/>
      <c r="AC86" s="748"/>
      <c r="AD86" s="748"/>
      <c r="AE86" s="749"/>
      <c r="AF86" s="747"/>
      <c r="AG86" s="748"/>
      <c r="AH86" s="749"/>
      <c r="AI86" s="747"/>
      <c r="AJ86" s="748"/>
      <c r="AK86" s="749"/>
      <c r="AL86" s="747"/>
      <c r="AM86" s="748"/>
      <c r="AN86" s="749"/>
      <c r="AO86" s="747"/>
      <c r="AP86" s="748"/>
      <c r="AQ86" s="749"/>
      <c r="AR86" s="747"/>
      <c r="AS86" s="748"/>
      <c r="AT86" s="749"/>
      <c r="AU86" s="747"/>
      <c r="AV86" s="748"/>
      <c r="AW86" s="749"/>
      <c r="AX86" s="747"/>
      <c r="AY86" s="748"/>
      <c r="AZ86" s="749"/>
      <c r="BA86" s="747"/>
      <c r="BB86" s="748"/>
      <c r="BC86" s="749"/>
      <c r="BD86" s="747"/>
      <c r="BE86" s="748"/>
      <c r="BF86" s="749"/>
      <c r="BG86" s="747"/>
      <c r="BH86" s="748"/>
      <c r="BI86" s="749"/>
      <c r="BJ86" s="747"/>
      <c r="BK86" s="748"/>
      <c r="BL86" s="749"/>
      <c r="BM86" s="747"/>
      <c r="BN86" s="748"/>
      <c r="BO86" s="749"/>
      <c r="BP86" s="747"/>
      <c r="BQ86" s="748"/>
      <c r="BR86" s="749"/>
      <c r="BS86" s="747"/>
      <c r="BT86" s="748"/>
      <c r="BU86" s="749"/>
      <c r="BV86" s="747"/>
      <c r="BW86" s="748"/>
      <c r="BX86" s="749"/>
      <c r="BY86" s="747"/>
      <c r="BZ86" s="748"/>
      <c r="CA86" s="749"/>
      <c r="CB86" s="747"/>
      <c r="CC86" s="748"/>
      <c r="CD86" s="749"/>
      <c r="CE86" s="747"/>
      <c r="CF86" s="748"/>
      <c r="CG86" s="749"/>
      <c r="CH86" s="747"/>
      <c r="CI86" s="748"/>
      <c r="CJ86" s="749"/>
      <c r="CK86" s="747"/>
      <c r="CL86" s="748"/>
      <c r="CM86" s="749"/>
      <c r="CN86" s="747"/>
      <c r="CO86" s="748"/>
      <c r="CP86" s="749"/>
      <c r="CQ86" s="747"/>
      <c r="CR86" s="748"/>
      <c r="CS86" s="749"/>
      <c r="CT86" s="747"/>
      <c r="CU86" s="748"/>
      <c r="CV86" s="749"/>
      <c r="CW86" s="747"/>
      <c r="CX86" s="748"/>
      <c r="CY86" s="749"/>
      <c r="CZ86" s="747"/>
      <c r="DA86" s="748"/>
      <c r="DB86" s="749"/>
      <c r="DC86" s="747"/>
      <c r="DD86" s="748"/>
      <c r="DE86" s="749"/>
      <c r="DF86" s="747"/>
      <c r="DG86" s="748"/>
      <c r="DH86" s="749"/>
      <c r="DI86" s="747"/>
      <c r="DJ86" s="748"/>
      <c r="DK86" s="749"/>
      <c r="DL86" s="747"/>
      <c r="DM86" s="748"/>
      <c r="DN86" s="749"/>
      <c r="DO86" s="747"/>
      <c r="DP86" s="748"/>
      <c r="DQ86" s="749"/>
      <c r="DR86" s="747"/>
      <c r="DS86" s="748"/>
      <c r="DT86" s="749"/>
      <c r="DU86" s="747"/>
      <c r="DV86" s="748"/>
      <c r="DW86" s="749"/>
      <c r="DX86" s="161"/>
    </row>
    <row r="87" spans="2:128" ht="20.25" customHeight="1" x14ac:dyDescent="0.2">
      <c r="B87" s="377"/>
      <c r="C87" s="349"/>
      <c r="D87" s="153"/>
      <c r="E87" s="349"/>
      <c r="F87" s="859" t="s">
        <v>773</v>
      </c>
      <c r="G87" s="860"/>
      <c r="H87" s="747">
        <v>-72.239999999999995</v>
      </c>
      <c r="I87" s="756"/>
      <c r="J87" s="757"/>
      <c r="K87" s="747">
        <v>-1.2</v>
      </c>
      <c r="L87" s="748"/>
      <c r="M87" s="749"/>
      <c r="N87" s="747">
        <v>-0.3</v>
      </c>
      <c r="O87" s="748"/>
      <c r="P87" s="749"/>
      <c r="Q87" s="747">
        <v>-9.9479999999999999E-2</v>
      </c>
      <c r="R87" s="748"/>
      <c r="S87" s="748"/>
      <c r="T87" s="773">
        <v>-5.8139999999999997E-2</v>
      </c>
      <c r="U87" s="774"/>
      <c r="V87" s="775"/>
      <c r="W87" s="748">
        <v>-0.04</v>
      </c>
      <c r="X87" s="748"/>
      <c r="Y87" s="749"/>
      <c r="Z87" s="747">
        <v>-0.7</v>
      </c>
      <c r="AA87" s="748"/>
      <c r="AB87" s="749"/>
      <c r="AC87" s="748"/>
      <c r="AD87" s="748"/>
      <c r="AE87" s="749"/>
      <c r="AF87" s="747"/>
      <c r="AG87" s="748"/>
      <c r="AH87" s="749"/>
      <c r="AI87" s="747"/>
      <c r="AJ87" s="748"/>
      <c r="AK87" s="749"/>
      <c r="AL87" s="747"/>
      <c r="AM87" s="748"/>
      <c r="AN87" s="749"/>
      <c r="AO87" s="747"/>
      <c r="AP87" s="748"/>
      <c r="AQ87" s="749"/>
      <c r="AR87" s="747"/>
      <c r="AS87" s="748"/>
      <c r="AT87" s="749"/>
      <c r="AU87" s="747"/>
      <c r="AV87" s="748"/>
      <c r="AW87" s="749"/>
      <c r="AX87" s="747"/>
      <c r="AY87" s="748"/>
      <c r="AZ87" s="749"/>
      <c r="BA87" s="747"/>
      <c r="BB87" s="748"/>
      <c r="BC87" s="749"/>
      <c r="BD87" s="747"/>
      <c r="BE87" s="748"/>
      <c r="BF87" s="749"/>
      <c r="BG87" s="747"/>
      <c r="BH87" s="748"/>
      <c r="BI87" s="749"/>
      <c r="BJ87" s="747"/>
      <c r="BK87" s="748"/>
      <c r="BL87" s="749"/>
      <c r="BM87" s="747"/>
      <c r="BN87" s="748"/>
      <c r="BO87" s="749"/>
      <c r="BP87" s="747"/>
      <c r="BQ87" s="748"/>
      <c r="BR87" s="749"/>
      <c r="BS87" s="747"/>
      <c r="BT87" s="748"/>
      <c r="BU87" s="749"/>
      <c r="BV87" s="747"/>
      <c r="BW87" s="748"/>
      <c r="BX87" s="749"/>
      <c r="BY87" s="747"/>
      <c r="BZ87" s="748"/>
      <c r="CA87" s="749"/>
      <c r="CB87" s="747"/>
      <c r="CC87" s="748"/>
      <c r="CD87" s="749"/>
      <c r="CE87" s="747"/>
      <c r="CF87" s="748"/>
      <c r="CG87" s="749"/>
      <c r="CH87" s="747"/>
      <c r="CI87" s="748"/>
      <c r="CJ87" s="749"/>
      <c r="CK87" s="747"/>
      <c r="CL87" s="748"/>
      <c r="CM87" s="749"/>
      <c r="CN87" s="747"/>
      <c r="CO87" s="748"/>
      <c r="CP87" s="749"/>
      <c r="CQ87" s="747"/>
      <c r="CR87" s="748"/>
      <c r="CS87" s="749"/>
      <c r="CT87" s="747"/>
      <c r="CU87" s="748"/>
      <c r="CV87" s="749"/>
      <c r="CW87" s="747"/>
      <c r="CX87" s="748"/>
      <c r="CY87" s="749"/>
      <c r="CZ87" s="747"/>
      <c r="DA87" s="748"/>
      <c r="DB87" s="749"/>
      <c r="DC87" s="747"/>
      <c r="DD87" s="748"/>
      <c r="DE87" s="749"/>
      <c r="DF87" s="747"/>
      <c r="DG87" s="748"/>
      <c r="DH87" s="749"/>
      <c r="DI87" s="747"/>
      <c r="DJ87" s="748"/>
      <c r="DK87" s="749"/>
      <c r="DL87" s="747"/>
      <c r="DM87" s="748"/>
      <c r="DN87" s="749"/>
      <c r="DO87" s="747"/>
      <c r="DP87" s="748"/>
      <c r="DQ87" s="749"/>
      <c r="DR87" s="747"/>
      <c r="DS87" s="748"/>
      <c r="DT87" s="749"/>
      <c r="DU87" s="747"/>
      <c r="DV87" s="748"/>
      <c r="DW87" s="749"/>
      <c r="DX87" s="161"/>
    </row>
    <row r="88" spans="2:128" ht="20.25" customHeight="1" x14ac:dyDescent="0.2">
      <c r="B88" s="377"/>
      <c r="C88" s="349"/>
      <c r="D88" s="153"/>
      <c r="E88" s="349"/>
      <c r="F88" s="861" t="s">
        <v>774</v>
      </c>
      <c r="G88" s="862"/>
      <c r="H88" s="755">
        <f>IF(I$28="","",SUM(H32:H81))</f>
        <v>1050</v>
      </c>
      <c r="I88" s="756"/>
      <c r="J88" s="757"/>
      <c r="K88" s="755">
        <f>IF(L$28="","",SUM(K32:K81))</f>
        <v>147.19999999999999</v>
      </c>
      <c r="L88" s="756"/>
      <c r="M88" s="757"/>
      <c r="N88" s="755">
        <f t="shared" ref="N88" si="166">IF(O$28="","",SUM(N32:N81))</f>
        <v>18.2</v>
      </c>
      <c r="O88" s="756"/>
      <c r="P88" s="757"/>
      <c r="Q88" s="755">
        <f t="shared" ref="Q88" si="167">IF(R$28="","",SUM(Q32:Q81))</f>
        <v>11</v>
      </c>
      <c r="R88" s="756"/>
      <c r="S88" s="757"/>
      <c r="T88" s="755">
        <f t="shared" ref="T88" si="168">IF(U$28="","",SUM(T32:T81))</f>
        <v>10</v>
      </c>
      <c r="U88" s="756"/>
      <c r="V88" s="757"/>
      <c r="W88" s="755">
        <f t="shared" ref="W88" si="169">IF(X$28="","",SUM(W32:W81))</f>
        <v>10</v>
      </c>
      <c r="X88" s="756"/>
      <c r="Y88" s="757"/>
      <c r="Z88" s="755">
        <f t="shared" ref="Z88" si="170">IF(AA$28="","",SUM(Z32:Z81))</f>
        <v>110</v>
      </c>
      <c r="AA88" s="756"/>
      <c r="AB88" s="757"/>
      <c r="AC88" s="755" t="str">
        <f t="shared" ref="AC88" si="171">IF(AD$28="","",SUM(AC32:AC81))</f>
        <v/>
      </c>
      <c r="AD88" s="756"/>
      <c r="AE88" s="757"/>
      <c r="AF88" s="755" t="str">
        <f t="shared" ref="AF88" si="172">IF(AG$28="","",SUM(AF32:AF81))</f>
        <v/>
      </c>
      <c r="AG88" s="756"/>
      <c r="AH88" s="757"/>
      <c r="AI88" s="755" t="str">
        <f t="shared" ref="AI88" si="173">IF(AJ$28="","",SUM(AI32:AI81))</f>
        <v/>
      </c>
      <c r="AJ88" s="756"/>
      <c r="AK88" s="757"/>
      <c r="AL88" s="755" t="str">
        <f t="shared" ref="AL88" si="174">IF(AM$28="","",SUM(AL32:AL81))</f>
        <v/>
      </c>
      <c r="AM88" s="756"/>
      <c r="AN88" s="757"/>
      <c r="AO88" s="755" t="str">
        <f t="shared" ref="AO88" si="175">IF(AP$28="","",SUM(AO32:AO81))</f>
        <v/>
      </c>
      <c r="AP88" s="756"/>
      <c r="AQ88" s="757"/>
      <c r="AR88" s="755" t="str">
        <f t="shared" ref="AR88" si="176">IF(AS$28="","",SUM(AR32:AR81))</f>
        <v/>
      </c>
      <c r="AS88" s="756"/>
      <c r="AT88" s="757"/>
      <c r="AU88" s="755" t="str">
        <f t="shared" ref="AU88" si="177">IF(AV$28="","",SUM(AU32:AU81))</f>
        <v/>
      </c>
      <c r="AV88" s="756"/>
      <c r="AW88" s="757"/>
      <c r="AX88" s="755" t="str">
        <f t="shared" ref="AX88" si="178">IF(AY$28="","",SUM(AX32:AX81))</f>
        <v/>
      </c>
      <c r="AY88" s="756"/>
      <c r="AZ88" s="757"/>
      <c r="BA88" s="755" t="str">
        <f t="shared" ref="BA88" si="179">IF(BB$28="","",SUM(BA32:BA81))</f>
        <v/>
      </c>
      <c r="BB88" s="756"/>
      <c r="BC88" s="757"/>
      <c r="BD88" s="755" t="str">
        <f t="shared" ref="BD88" si="180">IF(BE$28="","",SUM(BD32:BD81))</f>
        <v/>
      </c>
      <c r="BE88" s="756"/>
      <c r="BF88" s="757"/>
      <c r="BG88" s="755" t="str">
        <f t="shared" ref="BG88" si="181">IF(BH$28="","",SUM(BG32:BG81))</f>
        <v/>
      </c>
      <c r="BH88" s="756"/>
      <c r="BI88" s="757"/>
      <c r="BJ88" s="755" t="str">
        <f t="shared" ref="BJ88" si="182">IF(BK$28="","",SUM(BJ32:BJ81))</f>
        <v/>
      </c>
      <c r="BK88" s="756"/>
      <c r="BL88" s="757"/>
      <c r="BM88" s="755" t="str">
        <f t="shared" ref="BM88" si="183">IF(BN$28="","",SUM(BM32:BM81))</f>
        <v/>
      </c>
      <c r="BN88" s="756"/>
      <c r="BO88" s="757"/>
      <c r="BP88" s="755" t="str">
        <f t="shared" ref="BP88" si="184">IF(BQ$28="","",SUM(BP32:BP81))</f>
        <v/>
      </c>
      <c r="BQ88" s="756"/>
      <c r="BR88" s="757"/>
      <c r="BS88" s="755" t="str">
        <f t="shared" ref="BS88" si="185">IF(BT$28="","",SUM(BS32:BS81))</f>
        <v/>
      </c>
      <c r="BT88" s="756"/>
      <c r="BU88" s="757"/>
      <c r="BV88" s="755" t="str">
        <f t="shared" ref="BV88" si="186">IF(BW$28="","",SUM(BV32:BV81))</f>
        <v/>
      </c>
      <c r="BW88" s="756"/>
      <c r="BX88" s="757"/>
      <c r="BY88" s="755" t="str">
        <f t="shared" ref="BY88" si="187">IF(BZ$28="","",SUM(BY32:BY81))</f>
        <v/>
      </c>
      <c r="BZ88" s="756"/>
      <c r="CA88" s="757"/>
      <c r="CB88" s="755" t="str">
        <f t="shared" ref="CB88" si="188">IF(CC$28="","",SUM(CB32:CB81))</f>
        <v/>
      </c>
      <c r="CC88" s="756"/>
      <c r="CD88" s="757"/>
      <c r="CE88" s="755" t="str">
        <f t="shared" ref="CE88" si="189">IF(CF$28="","",SUM(CE32:CE81))</f>
        <v/>
      </c>
      <c r="CF88" s="756"/>
      <c r="CG88" s="757"/>
      <c r="CH88" s="755" t="str">
        <f t="shared" ref="CH88" si="190">IF(CI$28="","",SUM(CH32:CH81))</f>
        <v/>
      </c>
      <c r="CI88" s="756"/>
      <c r="CJ88" s="757"/>
      <c r="CK88" s="755" t="str">
        <f t="shared" ref="CK88" si="191">IF(CL$28="","",SUM(CK32:CK81))</f>
        <v/>
      </c>
      <c r="CL88" s="756"/>
      <c r="CM88" s="757"/>
      <c r="CN88" s="755" t="str">
        <f t="shared" ref="CN88" si="192">IF(CO$28="","",SUM(CN32:CN81))</f>
        <v/>
      </c>
      <c r="CO88" s="756"/>
      <c r="CP88" s="757"/>
      <c r="CQ88" s="755" t="str">
        <f t="shared" ref="CQ88" si="193">IF(CR$28="","",SUM(CQ32:CQ81))</f>
        <v/>
      </c>
      <c r="CR88" s="756"/>
      <c r="CS88" s="757"/>
      <c r="CT88" s="755" t="str">
        <f t="shared" ref="CT88" si="194">IF(CU$28="","",SUM(CT32:CT81))</f>
        <v/>
      </c>
      <c r="CU88" s="756"/>
      <c r="CV88" s="757"/>
      <c r="CW88" s="755" t="str">
        <f t="shared" ref="CW88" si="195">IF(CX$28="","",SUM(CW32:CW81))</f>
        <v/>
      </c>
      <c r="CX88" s="756"/>
      <c r="CY88" s="757"/>
      <c r="CZ88" s="755" t="str">
        <f t="shared" ref="CZ88" si="196">IF(DA$28="","",SUM(CZ32:CZ81))</f>
        <v/>
      </c>
      <c r="DA88" s="756"/>
      <c r="DB88" s="757"/>
      <c r="DC88" s="755" t="str">
        <f t="shared" ref="DC88" si="197">IF(DD$28="","",SUM(DC32:DC81))</f>
        <v/>
      </c>
      <c r="DD88" s="756"/>
      <c r="DE88" s="757"/>
      <c r="DF88" s="755" t="str">
        <f t="shared" ref="DF88" si="198">IF(DG$28="","",SUM(DF32:DF81))</f>
        <v/>
      </c>
      <c r="DG88" s="756"/>
      <c r="DH88" s="757"/>
      <c r="DI88" s="755" t="str">
        <f t="shared" ref="DI88" si="199">IF(DJ$28="","",SUM(DI32:DI81))</f>
        <v/>
      </c>
      <c r="DJ88" s="756"/>
      <c r="DK88" s="757"/>
      <c r="DL88" s="755" t="str">
        <f t="shared" ref="DL88" si="200">IF(DM$28="","",SUM(DL32:DL81))</f>
        <v/>
      </c>
      <c r="DM88" s="756"/>
      <c r="DN88" s="757"/>
      <c r="DO88" s="755" t="str">
        <f t="shared" ref="DO88" si="201">IF(DP$28="","",SUM(DO32:DO81))</f>
        <v/>
      </c>
      <c r="DP88" s="756"/>
      <c r="DQ88" s="757"/>
      <c r="DR88" s="755" t="str">
        <f t="shared" ref="DR88" si="202">IF(DS$28="","",SUM(DR32:DR81))</f>
        <v/>
      </c>
      <c r="DS88" s="756"/>
      <c r="DT88" s="757"/>
      <c r="DU88" s="755" t="str">
        <f>IF(DV$28="","",SUM(DU32:DU81))</f>
        <v/>
      </c>
      <c r="DV88" s="756"/>
      <c r="DW88" s="757"/>
      <c r="DX88" s="161"/>
    </row>
    <row r="89" spans="2:128" ht="20.25" customHeight="1" x14ac:dyDescent="0.2">
      <c r="B89" s="377"/>
      <c r="C89" s="349"/>
      <c r="D89" s="153"/>
      <c r="E89" s="349"/>
      <c r="F89" s="863" t="s">
        <v>775</v>
      </c>
      <c r="G89" s="864"/>
      <c r="H89" s="755">
        <f>IF(I82=0,"",H82/I82)</f>
        <v>784.8997029610249</v>
      </c>
      <c r="I89" s="756"/>
      <c r="J89" s="757"/>
      <c r="K89" s="755">
        <f>IF(L82=0,"",K82/L82)</f>
        <v>32.041899999999998</v>
      </c>
      <c r="L89" s="758"/>
      <c r="M89" s="759"/>
      <c r="N89" s="755">
        <f>IF(O82=0,"",N82/O82)</f>
        <v>39.997100000000003</v>
      </c>
      <c r="O89" s="758"/>
      <c r="P89" s="759"/>
      <c r="Q89" s="755">
        <f>IF(R82=0,"",Q82/R82)</f>
        <v>18.0153</v>
      </c>
      <c r="R89" s="758"/>
      <c r="S89" s="758"/>
      <c r="T89" s="927">
        <f>IF(U82=0,"",T82/U82)</f>
        <v>97.995199999999997</v>
      </c>
      <c r="U89" s="928"/>
      <c r="V89" s="929"/>
      <c r="W89" s="758">
        <f>IF(X82=0,"",W82/X82)</f>
        <v>98.078999999999994</v>
      </c>
      <c r="X89" s="758"/>
      <c r="Y89" s="759"/>
      <c r="Z89" s="755">
        <f>IF(AA82=0,"",Z82/AA82)</f>
        <v>92.093800000000002</v>
      </c>
      <c r="AA89" s="758"/>
      <c r="AB89" s="759"/>
      <c r="AC89" s="758" t="str">
        <f>IF(AD82=0,"",AC82/AD82)</f>
        <v/>
      </c>
      <c r="AD89" s="758"/>
      <c r="AE89" s="759"/>
      <c r="AF89" s="755" t="str">
        <f>IF(AG82=0,"",AF82/AG82)</f>
        <v/>
      </c>
      <c r="AG89" s="758"/>
      <c r="AH89" s="759"/>
      <c r="AI89" s="755" t="str">
        <f>IF(AJ82=0,"",AI82/AJ82)</f>
        <v/>
      </c>
      <c r="AJ89" s="758"/>
      <c r="AK89" s="759"/>
      <c r="AL89" s="755" t="str">
        <f t="shared" ref="AL89" si="203">IF(AM82=0,"",AL82/AM82)</f>
        <v/>
      </c>
      <c r="AM89" s="758"/>
      <c r="AN89" s="759"/>
      <c r="AO89" s="755" t="str">
        <f t="shared" ref="AO89" si="204">IF(AP82=0,"",AO82/AP82)</f>
        <v/>
      </c>
      <c r="AP89" s="758"/>
      <c r="AQ89" s="759"/>
      <c r="AR89" s="755" t="str">
        <f t="shared" ref="AR89" si="205">IF(AS82=0,"",AR82/AS82)</f>
        <v/>
      </c>
      <c r="AS89" s="758"/>
      <c r="AT89" s="759"/>
      <c r="AU89" s="755" t="str">
        <f t="shared" ref="AU89" si="206">IF(AV82=0,"",AU82/AV82)</f>
        <v/>
      </c>
      <c r="AV89" s="758"/>
      <c r="AW89" s="759"/>
      <c r="AX89" s="755" t="str">
        <f t="shared" ref="AX89" si="207">IF(AY82=0,"",AX82/AY82)</f>
        <v/>
      </c>
      <c r="AY89" s="758"/>
      <c r="AZ89" s="759"/>
      <c r="BA89" s="755" t="str">
        <f t="shared" ref="BA89" si="208">IF(BB82=0,"",BA82/BB82)</f>
        <v/>
      </c>
      <c r="BB89" s="758"/>
      <c r="BC89" s="759"/>
      <c r="BD89" s="755" t="str">
        <f t="shared" ref="BD89" si="209">IF(BE82=0,"",BD82/BE82)</f>
        <v/>
      </c>
      <c r="BE89" s="758"/>
      <c r="BF89" s="759"/>
      <c r="BG89" s="755" t="str">
        <f t="shared" ref="BG89" si="210">IF(BH82=0,"",BG82/BH82)</f>
        <v/>
      </c>
      <c r="BH89" s="758"/>
      <c r="BI89" s="759"/>
      <c r="BJ89" s="755" t="str">
        <f t="shared" ref="BJ89" si="211">IF(BK82=0,"",BJ82/BK82)</f>
        <v/>
      </c>
      <c r="BK89" s="758"/>
      <c r="BL89" s="759"/>
      <c r="BM89" s="755" t="str">
        <f t="shared" ref="BM89" si="212">IF(BN82=0,"",BM82/BN82)</f>
        <v/>
      </c>
      <c r="BN89" s="758"/>
      <c r="BO89" s="759"/>
      <c r="BP89" s="755" t="str">
        <f t="shared" ref="BP89" si="213">IF(BQ82=0,"",BP82/BQ82)</f>
        <v/>
      </c>
      <c r="BQ89" s="758"/>
      <c r="BR89" s="759"/>
      <c r="BS89" s="755" t="str">
        <f t="shared" ref="BS89" si="214">IF(BT82=0,"",BS82/BT82)</f>
        <v/>
      </c>
      <c r="BT89" s="758"/>
      <c r="BU89" s="759"/>
      <c r="BV89" s="755" t="str">
        <f t="shared" ref="BV89" si="215">IF(BW82=0,"",BV82/BW82)</f>
        <v/>
      </c>
      <c r="BW89" s="758"/>
      <c r="BX89" s="759"/>
      <c r="BY89" s="755" t="str">
        <f t="shared" ref="BY89" si="216">IF(BZ82=0,"",BY82/BZ82)</f>
        <v/>
      </c>
      <c r="BZ89" s="758"/>
      <c r="CA89" s="759"/>
      <c r="CB89" s="755" t="str">
        <f>IF(CC82=0,"",CB82/CC82)</f>
        <v/>
      </c>
      <c r="CC89" s="758"/>
      <c r="CD89" s="759"/>
      <c r="CE89" s="755" t="str">
        <f>IF(CF82=0,"",CE82/CF82)</f>
        <v/>
      </c>
      <c r="CF89" s="758"/>
      <c r="CG89" s="759"/>
      <c r="CH89" s="755" t="str">
        <f>IF(CI82=0,"",CH82/CI82)</f>
        <v/>
      </c>
      <c r="CI89" s="758"/>
      <c r="CJ89" s="759"/>
      <c r="CK89" s="755" t="str">
        <f>IF(CL82=0,"",CK82/CL82)</f>
        <v/>
      </c>
      <c r="CL89" s="758"/>
      <c r="CM89" s="759"/>
      <c r="CN89" s="755" t="str">
        <f>IF(CO82=0,"",CN82/CO82)</f>
        <v/>
      </c>
      <c r="CO89" s="758"/>
      <c r="CP89" s="759"/>
      <c r="CQ89" s="755" t="str">
        <f>IF(CR82=0,"",CQ82/CR82)</f>
        <v/>
      </c>
      <c r="CR89" s="758"/>
      <c r="CS89" s="759"/>
      <c r="CT89" s="755" t="str">
        <f>IF(CU82=0,"",CT82/CU82)</f>
        <v/>
      </c>
      <c r="CU89" s="758"/>
      <c r="CV89" s="759"/>
      <c r="CW89" s="755" t="str">
        <f>IF(CX82=0,"",CW82/CX82)</f>
        <v/>
      </c>
      <c r="CX89" s="758"/>
      <c r="CY89" s="759"/>
      <c r="CZ89" s="755" t="str">
        <f>IF(DA82=0,"",CZ82/DA82)</f>
        <v/>
      </c>
      <c r="DA89" s="758"/>
      <c r="DB89" s="759"/>
      <c r="DC89" s="755" t="str">
        <f>IF(DD82=0,"",DC82/DD82)</f>
        <v/>
      </c>
      <c r="DD89" s="758"/>
      <c r="DE89" s="759"/>
      <c r="DF89" s="755" t="str">
        <f>IF(DG82=0,"",DF82/DG82)</f>
        <v/>
      </c>
      <c r="DG89" s="758"/>
      <c r="DH89" s="759"/>
      <c r="DI89" s="755" t="str">
        <f>IF(DJ82=0,"",DI82/DJ82)</f>
        <v/>
      </c>
      <c r="DJ89" s="758"/>
      <c r="DK89" s="759"/>
      <c r="DL89" s="755" t="str">
        <f>IF(DM82=0,"",DL82/DM82)</f>
        <v/>
      </c>
      <c r="DM89" s="758"/>
      <c r="DN89" s="759"/>
      <c r="DO89" s="755" t="str">
        <f>IF(DP82=0,"",DO82/DP82)</f>
        <v/>
      </c>
      <c r="DP89" s="758"/>
      <c r="DQ89" s="759"/>
      <c r="DR89" s="755" t="str">
        <f>IF(DS82=0,"",DR82/DS82)</f>
        <v/>
      </c>
      <c r="DS89" s="758"/>
      <c r="DT89" s="759"/>
      <c r="DU89" s="755" t="str">
        <f>IF(DV82=0,"",DU82/DV82)</f>
        <v/>
      </c>
      <c r="DV89" s="758"/>
      <c r="DW89" s="759"/>
      <c r="DX89" s="161"/>
    </row>
    <row r="90" spans="2:128" ht="20.25" customHeight="1" x14ac:dyDescent="0.2">
      <c r="B90" s="377"/>
      <c r="C90" s="349"/>
      <c r="D90" s="153"/>
      <c r="E90" s="349"/>
      <c r="F90" s="865" t="s">
        <v>776</v>
      </c>
      <c r="G90" s="866"/>
      <c r="H90" s="755">
        <f>IF(H88="","",H88/H89)</f>
        <v>1.3377505381119235</v>
      </c>
      <c r="I90" s="756"/>
      <c r="J90" s="757"/>
      <c r="K90" s="755">
        <f>IF(K88="","",K88/K89)</f>
        <v>4.5939847512163761</v>
      </c>
      <c r="L90" s="758"/>
      <c r="M90" s="759"/>
      <c r="N90" s="755">
        <f>IF(N88="","",N88/N89)</f>
        <v>0.4550329898917671</v>
      </c>
      <c r="O90" s="758"/>
      <c r="P90" s="759"/>
      <c r="Q90" s="755">
        <f>IF(Q88="","",Q88/Q89)</f>
        <v>0.6105921078194646</v>
      </c>
      <c r="R90" s="758"/>
      <c r="S90" s="758"/>
      <c r="T90" s="927">
        <f>IF(T88="","",T88/T89)</f>
        <v>0.10204581448887293</v>
      </c>
      <c r="U90" s="928"/>
      <c r="V90" s="929"/>
      <c r="W90" s="758">
        <f>IF(W88="","",W88/W89)</f>
        <v>0.10195862518989794</v>
      </c>
      <c r="X90" s="758"/>
      <c r="Y90" s="759"/>
      <c r="Z90" s="755">
        <f>IF(Z88="","",Z88/Z89)</f>
        <v>1.1944343701747566</v>
      </c>
      <c r="AA90" s="758"/>
      <c r="AB90" s="759"/>
      <c r="AC90" s="758" t="str">
        <f>IF(AC88="","",AC88/AC89)</f>
        <v/>
      </c>
      <c r="AD90" s="758"/>
      <c r="AE90" s="759"/>
      <c r="AF90" s="755" t="str">
        <f>IF(AF88="","",AF88/AF89)</f>
        <v/>
      </c>
      <c r="AG90" s="758"/>
      <c r="AH90" s="759"/>
      <c r="AI90" s="755" t="str">
        <f>IF(AI88="","",AI88/AI89)</f>
        <v/>
      </c>
      <c r="AJ90" s="758"/>
      <c r="AK90" s="759"/>
      <c r="AL90" s="755" t="str">
        <f t="shared" ref="AL90" si="217">IF(AL88="","",AL88/AL89)</f>
        <v/>
      </c>
      <c r="AM90" s="758"/>
      <c r="AN90" s="759"/>
      <c r="AO90" s="755" t="str">
        <f t="shared" ref="AO90" si="218">IF(AO88="","",AO88/AO89)</f>
        <v/>
      </c>
      <c r="AP90" s="758"/>
      <c r="AQ90" s="759"/>
      <c r="AR90" s="755" t="str">
        <f t="shared" ref="AR90" si="219">IF(AR88="","",AR88/AR89)</f>
        <v/>
      </c>
      <c r="AS90" s="758"/>
      <c r="AT90" s="759"/>
      <c r="AU90" s="755" t="str">
        <f t="shared" ref="AU90" si="220">IF(AU88="","",AU88/AU89)</f>
        <v/>
      </c>
      <c r="AV90" s="758"/>
      <c r="AW90" s="759"/>
      <c r="AX90" s="755" t="str">
        <f t="shared" ref="AX90" si="221">IF(AX88="","",AX88/AX89)</f>
        <v/>
      </c>
      <c r="AY90" s="758"/>
      <c r="AZ90" s="759"/>
      <c r="BA90" s="755" t="str">
        <f t="shared" ref="BA90" si="222">IF(BA88="","",BA88/BA89)</f>
        <v/>
      </c>
      <c r="BB90" s="758"/>
      <c r="BC90" s="759"/>
      <c r="BD90" s="755" t="str">
        <f t="shared" ref="BD90" si="223">IF(BD88="","",BD88/BD89)</f>
        <v/>
      </c>
      <c r="BE90" s="758"/>
      <c r="BF90" s="759"/>
      <c r="BG90" s="755" t="str">
        <f t="shared" ref="BG90" si="224">IF(BG88="","",BG88/BG89)</f>
        <v/>
      </c>
      <c r="BH90" s="758"/>
      <c r="BI90" s="759"/>
      <c r="BJ90" s="755" t="str">
        <f t="shared" ref="BJ90" si="225">IF(BJ88="","",BJ88/BJ89)</f>
        <v/>
      </c>
      <c r="BK90" s="758"/>
      <c r="BL90" s="759"/>
      <c r="BM90" s="755" t="str">
        <f t="shared" ref="BM90" si="226">IF(BM88="","",BM88/BM89)</f>
        <v/>
      </c>
      <c r="BN90" s="758"/>
      <c r="BO90" s="759"/>
      <c r="BP90" s="755" t="str">
        <f t="shared" ref="BP90" si="227">IF(BP88="","",BP88/BP89)</f>
        <v/>
      </c>
      <c r="BQ90" s="758"/>
      <c r="BR90" s="759"/>
      <c r="BS90" s="755" t="str">
        <f t="shared" ref="BS90" si="228">IF(BS88="","",BS88/BS89)</f>
        <v/>
      </c>
      <c r="BT90" s="758"/>
      <c r="BU90" s="759"/>
      <c r="BV90" s="755" t="str">
        <f t="shared" ref="BV90" si="229">IF(BV88="","",BV88/BV89)</f>
        <v/>
      </c>
      <c r="BW90" s="758"/>
      <c r="BX90" s="759"/>
      <c r="BY90" s="755" t="str">
        <f t="shared" ref="BY90" si="230">IF(BY88="","",BY88/BY89)</f>
        <v/>
      </c>
      <c r="BZ90" s="758"/>
      <c r="CA90" s="759"/>
      <c r="CB90" s="755" t="str">
        <f t="shared" ref="CB90" si="231">IF(CB88="","",CB88/CB89)</f>
        <v/>
      </c>
      <c r="CC90" s="758"/>
      <c r="CD90" s="759"/>
      <c r="CE90" s="755" t="str">
        <f t="shared" ref="CE90" si="232">IF(CE88="","",CE88/CE89)</f>
        <v/>
      </c>
      <c r="CF90" s="758"/>
      <c r="CG90" s="759"/>
      <c r="CH90" s="755" t="str">
        <f t="shared" ref="CH90" si="233">IF(CH88="","",CH88/CH89)</f>
        <v/>
      </c>
      <c r="CI90" s="758"/>
      <c r="CJ90" s="759"/>
      <c r="CK90" s="755" t="str">
        <f t="shared" ref="CK90" si="234">IF(CK88="","",CK88/CK89)</f>
        <v/>
      </c>
      <c r="CL90" s="758"/>
      <c r="CM90" s="759"/>
      <c r="CN90" s="755" t="str">
        <f t="shared" ref="CN90" si="235">IF(CN88="","",CN88/CN89)</f>
        <v/>
      </c>
      <c r="CO90" s="758"/>
      <c r="CP90" s="759"/>
      <c r="CQ90" s="755" t="str">
        <f t="shared" ref="CQ90" si="236">IF(CQ88="","",CQ88/CQ89)</f>
        <v/>
      </c>
      <c r="CR90" s="758"/>
      <c r="CS90" s="759"/>
      <c r="CT90" s="755" t="str">
        <f t="shared" ref="CT90" si="237">IF(CT88="","",CT88/CT89)</f>
        <v/>
      </c>
      <c r="CU90" s="758"/>
      <c r="CV90" s="759"/>
      <c r="CW90" s="755" t="str">
        <f t="shared" ref="CW90" si="238">IF(CW88="","",CW88/CW89)</f>
        <v/>
      </c>
      <c r="CX90" s="758"/>
      <c r="CY90" s="759"/>
      <c r="CZ90" s="755" t="str">
        <f t="shared" ref="CZ90" si="239">IF(CZ88="","",CZ88/CZ89)</f>
        <v/>
      </c>
      <c r="DA90" s="758"/>
      <c r="DB90" s="759"/>
      <c r="DC90" s="755" t="str">
        <f t="shared" ref="DC90" si="240">IF(DC88="","",DC88/DC89)</f>
        <v/>
      </c>
      <c r="DD90" s="758"/>
      <c r="DE90" s="759"/>
      <c r="DF90" s="755" t="str">
        <f t="shared" ref="DF90" si="241">IF(DF88="","",DF88/DF89)</f>
        <v/>
      </c>
      <c r="DG90" s="758"/>
      <c r="DH90" s="759"/>
      <c r="DI90" s="755" t="str">
        <f t="shared" ref="DI90" si="242">IF(DI88="","",DI88/DI89)</f>
        <v/>
      </c>
      <c r="DJ90" s="758"/>
      <c r="DK90" s="759"/>
      <c r="DL90" s="755" t="str">
        <f t="shared" ref="DL90" si="243">IF(DL88="","",DL88/DL89)</f>
        <v/>
      </c>
      <c r="DM90" s="758"/>
      <c r="DN90" s="759"/>
      <c r="DO90" s="755" t="str">
        <f t="shared" ref="DO90" si="244">IF(DO88="","",DO88/DO89)</f>
        <v/>
      </c>
      <c r="DP90" s="758"/>
      <c r="DQ90" s="759"/>
      <c r="DR90" s="755" t="str">
        <f t="shared" ref="DR90" si="245">IF(DR88="","",DR88/DR89)</f>
        <v/>
      </c>
      <c r="DS90" s="758"/>
      <c r="DT90" s="759"/>
      <c r="DU90" s="755" t="str">
        <f t="shared" ref="DU90" si="246">IF(DU88="","",DU88/DU89)</f>
        <v/>
      </c>
      <c r="DV90" s="758"/>
      <c r="DW90" s="759"/>
      <c r="DX90" s="161"/>
    </row>
    <row r="91" spans="2:128" ht="20.25" customHeight="1" x14ac:dyDescent="0.2">
      <c r="B91" s="377"/>
      <c r="C91" s="349"/>
      <c r="D91" s="153"/>
      <c r="E91" s="349"/>
      <c r="F91" s="867" t="s">
        <v>783</v>
      </c>
      <c r="G91" s="868"/>
      <c r="H91" s="735">
        <v>0.58099999999999996</v>
      </c>
      <c r="I91" s="869"/>
      <c r="J91" s="870"/>
      <c r="K91" s="735">
        <v>0.44600000000000001</v>
      </c>
      <c r="L91" s="736"/>
      <c r="M91" s="737"/>
      <c r="N91" s="735">
        <v>0.43</v>
      </c>
      <c r="O91" s="736"/>
      <c r="P91" s="737"/>
      <c r="Q91" s="735">
        <v>6.7000000000000002E-5</v>
      </c>
      <c r="R91" s="736"/>
      <c r="S91" s="736"/>
      <c r="T91" s="930">
        <v>0.9</v>
      </c>
      <c r="U91" s="931"/>
      <c r="V91" s="932"/>
      <c r="W91" s="736">
        <v>0.08</v>
      </c>
      <c r="X91" s="736"/>
      <c r="Y91" s="737"/>
      <c r="Z91" s="735">
        <v>0.88</v>
      </c>
      <c r="AA91" s="736"/>
      <c r="AB91" s="737"/>
      <c r="AC91" s="736"/>
      <c r="AD91" s="736"/>
      <c r="AE91" s="737"/>
      <c r="AF91" s="735"/>
      <c r="AG91" s="736"/>
      <c r="AH91" s="737"/>
      <c r="AI91" s="735"/>
      <c r="AJ91" s="736"/>
      <c r="AK91" s="737"/>
      <c r="AL91" s="735"/>
      <c r="AM91" s="736"/>
      <c r="AN91" s="737"/>
      <c r="AO91" s="735"/>
      <c r="AP91" s="736"/>
      <c r="AQ91" s="737"/>
      <c r="AR91" s="735"/>
      <c r="AS91" s="736"/>
      <c r="AT91" s="737"/>
      <c r="AU91" s="735"/>
      <c r="AV91" s="736"/>
      <c r="AW91" s="737"/>
      <c r="AX91" s="735"/>
      <c r="AY91" s="736"/>
      <c r="AZ91" s="737"/>
      <c r="BA91" s="735"/>
      <c r="BB91" s="736"/>
      <c r="BC91" s="737"/>
      <c r="BD91" s="735"/>
      <c r="BE91" s="736"/>
      <c r="BF91" s="737"/>
      <c r="BG91" s="735"/>
      <c r="BH91" s="736"/>
      <c r="BI91" s="737"/>
      <c r="BJ91" s="735"/>
      <c r="BK91" s="736"/>
      <c r="BL91" s="737"/>
      <c r="BM91" s="735"/>
      <c r="BN91" s="736"/>
      <c r="BO91" s="737"/>
      <c r="BP91" s="735"/>
      <c r="BQ91" s="736"/>
      <c r="BR91" s="737"/>
      <c r="BS91" s="735"/>
      <c r="BT91" s="736"/>
      <c r="BU91" s="737"/>
      <c r="BV91" s="735"/>
      <c r="BW91" s="736"/>
      <c r="BX91" s="737"/>
      <c r="BY91" s="735"/>
      <c r="BZ91" s="736"/>
      <c r="CA91" s="737"/>
      <c r="CB91" s="735"/>
      <c r="CC91" s="736"/>
      <c r="CD91" s="737"/>
      <c r="CE91" s="735"/>
      <c r="CF91" s="736"/>
      <c r="CG91" s="737"/>
      <c r="CH91" s="735"/>
      <c r="CI91" s="736"/>
      <c r="CJ91" s="737"/>
      <c r="CK91" s="735"/>
      <c r="CL91" s="736"/>
      <c r="CM91" s="737"/>
      <c r="CN91" s="735"/>
      <c r="CO91" s="736"/>
      <c r="CP91" s="737"/>
      <c r="CQ91" s="735"/>
      <c r="CR91" s="736"/>
      <c r="CS91" s="737"/>
      <c r="CT91" s="735"/>
      <c r="CU91" s="736"/>
      <c r="CV91" s="737"/>
      <c r="CW91" s="735"/>
      <c r="CX91" s="736"/>
      <c r="CY91" s="737"/>
      <c r="CZ91" s="735"/>
      <c r="DA91" s="736"/>
      <c r="DB91" s="737"/>
      <c r="DC91" s="735"/>
      <c r="DD91" s="736"/>
      <c r="DE91" s="737"/>
      <c r="DF91" s="735"/>
      <c r="DG91" s="736"/>
      <c r="DH91" s="737"/>
      <c r="DI91" s="735"/>
      <c r="DJ91" s="736"/>
      <c r="DK91" s="737"/>
      <c r="DL91" s="735"/>
      <c r="DM91" s="736"/>
      <c r="DN91" s="737"/>
      <c r="DO91" s="735"/>
      <c r="DP91" s="736"/>
      <c r="DQ91" s="737"/>
      <c r="DR91" s="735"/>
      <c r="DS91" s="736"/>
      <c r="DT91" s="737"/>
      <c r="DU91" s="735"/>
      <c r="DV91" s="736"/>
      <c r="DW91" s="737"/>
      <c r="DX91" s="161"/>
    </row>
    <row r="92" spans="2:128" ht="20.25" customHeight="1" thickBot="1" x14ac:dyDescent="0.25">
      <c r="B92" s="377"/>
      <c r="C92" s="349"/>
      <c r="D92" s="153"/>
      <c r="E92" s="349"/>
      <c r="F92" s="871" t="s">
        <v>784</v>
      </c>
      <c r="G92" s="872"/>
      <c r="H92" s="752">
        <f>IF(H88="","",H91*H88)</f>
        <v>610.04999999999995</v>
      </c>
      <c r="I92" s="912"/>
      <c r="J92" s="913"/>
      <c r="K92" s="752">
        <f>IF(K88="","",K91*K88)</f>
        <v>65.651200000000003</v>
      </c>
      <c r="L92" s="753"/>
      <c r="M92" s="754"/>
      <c r="N92" s="752">
        <f>IF(N88="","",N91*N88)</f>
        <v>7.8259999999999996</v>
      </c>
      <c r="O92" s="753"/>
      <c r="P92" s="754"/>
      <c r="Q92" s="752">
        <f>IF(Q88="","",Q91*Q88)</f>
        <v>7.3700000000000002E-4</v>
      </c>
      <c r="R92" s="753"/>
      <c r="S92" s="753"/>
      <c r="T92" s="895">
        <f>IF(T88="","",T91*T88)</f>
        <v>9</v>
      </c>
      <c r="U92" s="896"/>
      <c r="V92" s="897"/>
      <c r="W92" s="753">
        <f>IF(W88="","",W91*W88)</f>
        <v>0.8</v>
      </c>
      <c r="X92" s="753"/>
      <c r="Y92" s="754"/>
      <c r="Z92" s="752">
        <f>IF(Z88="","",Z91*Z88)</f>
        <v>96.8</v>
      </c>
      <c r="AA92" s="753"/>
      <c r="AB92" s="754"/>
      <c r="AC92" s="753" t="str">
        <f>IF(AC88="","",AC91*AC88)</f>
        <v/>
      </c>
      <c r="AD92" s="753"/>
      <c r="AE92" s="754"/>
      <c r="AF92" s="752" t="str">
        <f>IF(AF88="","",AF91*AF88)</f>
        <v/>
      </c>
      <c r="AG92" s="753"/>
      <c r="AH92" s="754"/>
      <c r="AI92" s="752" t="str">
        <f>IF(AI88="","",AI91*AI88)</f>
        <v/>
      </c>
      <c r="AJ92" s="753"/>
      <c r="AK92" s="754"/>
      <c r="AL92" s="752" t="str">
        <f>IF(AL88="","",AL91*AL88)</f>
        <v/>
      </c>
      <c r="AM92" s="753"/>
      <c r="AN92" s="754"/>
      <c r="AO92" s="752" t="str">
        <f>IF(AO88="","",AO91*AO88)</f>
        <v/>
      </c>
      <c r="AP92" s="753"/>
      <c r="AQ92" s="754"/>
      <c r="AR92" s="752" t="str">
        <f>IF(AR88="","",AR91*AR88)</f>
        <v/>
      </c>
      <c r="AS92" s="753"/>
      <c r="AT92" s="754"/>
      <c r="AU92" s="752" t="str">
        <f>IF(AU88="","",AU91*AU88)</f>
        <v/>
      </c>
      <c r="AV92" s="753"/>
      <c r="AW92" s="754"/>
      <c r="AX92" s="752" t="str">
        <f>IF(AX88="","",AX91*AX88)</f>
        <v/>
      </c>
      <c r="AY92" s="753"/>
      <c r="AZ92" s="754"/>
      <c r="BA92" s="752" t="str">
        <f>IF(BA88="","",BA91*BA88)</f>
        <v/>
      </c>
      <c r="BB92" s="753"/>
      <c r="BC92" s="754"/>
      <c r="BD92" s="752" t="str">
        <f>IF(BD88="","",BD91*BD88)</f>
        <v/>
      </c>
      <c r="BE92" s="753"/>
      <c r="BF92" s="754"/>
      <c r="BG92" s="752" t="str">
        <f>IF(BG88="","",BG91*BG88)</f>
        <v/>
      </c>
      <c r="BH92" s="753"/>
      <c r="BI92" s="754"/>
      <c r="BJ92" s="752" t="str">
        <f>IF(BJ88="","",BJ91*BJ88)</f>
        <v/>
      </c>
      <c r="BK92" s="753"/>
      <c r="BL92" s="754"/>
      <c r="BM92" s="752" t="str">
        <f>IF(BM88="","",BM91*BM88)</f>
        <v/>
      </c>
      <c r="BN92" s="753"/>
      <c r="BO92" s="754"/>
      <c r="BP92" s="752" t="str">
        <f>IF(BP88="","",BP91*BP88)</f>
        <v/>
      </c>
      <c r="BQ92" s="753"/>
      <c r="BR92" s="754"/>
      <c r="BS92" s="752" t="str">
        <f>IF(BS88="","",BS91*BS88)</f>
        <v/>
      </c>
      <c r="BT92" s="753"/>
      <c r="BU92" s="754"/>
      <c r="BV92" s="752" t="str">
        <f>IF(BV88="","",BV91*BV88)</f>
        <v/>
      </c>
      <c r="BW92" s="753"/>
      <c r="BX92" s="754"/>
      <c r="BY92" s="752" t="str">
        <f>IF(BY88="","",BY91*BY88)</f>
        <v/>
      </c>
      <c r="BZ92" s="753"/>
      <c r="CA92" s="754"/>
      <c r="CB92" s="752" t="str">
        <f>IF(CB88="","",CB91*CB88)</f>
        <v/>
      </c>
      <c r="CC92" s="753"/>
      <c r="CD92" s="754"/>
      <c r="CE92" s="752" t="str">
        <f>IF(CE88="","",CE91*CE88)</f>
        <v/>
      </c>
      <c r="CF92" s="753"/>
      <c r="CG92" s="754"/>
      <c r="CH92" s="752" t="str">
        <f>IF(CH88="","",CH91*CH88)</f>
        <v/>
      </c>
      <c r="CI92" s="753"/>
      <c r="CJ92" s="754"/>
      <c r="CK92" s="752" t="str">
        <f>IF(CK88="","",CK91*CK88)</f>
        <v/>
      </c>
      <c r="CL92" s="753"/>
      <c r="CM92" s="754"/>
      <c r="CN92" s="752" t="str">
        <f>IF(CN88="","",CN91*CN88)</f>
        <v/>
      </c>
      <c r="CO92" s="753"/>
      <c r="CP92" s="754"/>
      <c r="CQ92" s="752" t="str">
        <f>IF(CQ88="","",CQ91*CQ88)</f>
        <v/>
      </c>
      <c r="CR92" s="753"/>
      <c r="CS92" s="754"/>
      <c r="CT92" s="752" t="str">
        <f>IF(CT88="","",CT91*CT88)</f>
        <v/>
      </c>
      <c r="CU92" s="753"/>
      <c r="CV92" s="754"/>
      <c r="CW92" s="752" t="str">
        <f>IF(CW88="","",CW91*CW88)</f>
        <v/>
      </c>
      <c r="CX92" s="753"/>
      <c r="CY92" s="754"/>
      <c r="CZ92" s="752" t="str">
        <f>IF(CZ88="","",CZ91*CZ88)</f>
        <v/>
      </c>
      <c r="DA92" s="753"/>
      <c r="DB92" s="754"/>
      <c r="DC92" s="752" t="str">
        <f>IF(DC88="","",DC91*DC88)</f>
        <v/>
      </c>
      <c r="DD92" s="753"/>
      <c r="DE92" s="754"/>
      <c r="DF92" s="752" t="str">
        <f>IF(DF88="","",DF91*DF88)</f>
        <v/>
      </c>
      <c r="DG92" s="753"/>
      <c r="DH92" s="754"/>
      <c r="DI92" s="752" t="str">
        <f>IF(DI88="","",DI91*DI88)</f>
        <v/>
      </c>
      <c r="DJ92" s="753"/>
      <c r="DK92" s="754"/>
      <c r="DL92" s="752" t="str">
        <f>IF(DL88="","",DL91*DL88)</f>
        <v/>
      </c>
      <c r="DM92" s="753"/>
      <c r="DN92" s="754"/>
      <c r="DO92" s="752" t="str">
        <f>IF(DO88="","",DO91*DO88)</f>
        <v/>
      </c>
      <c r="DP92" s="753"/>
      <c r="DQ92" s="754"/>
      <c r="DR92" s="752" t="str">
        <f>IF(DR88="","",DR91*DR88)</f>
        <v/>
      </c>
      <c r="DS92" s="753"/>
      <c r="DT92" s="754"/>
      <c r="DU92" s="752" t="str">
        <f>IF(DU88="","",DU91*DU88)</f>
        <v/>
      </c>
      <c r="DV92" s="753"/>
      <c r="DW92" s="754"/>
      <c r="DX92" s="161"/>
    </row>
    <row r="93" spans="2:128" ht="20.25" customHeight="1" thickBot="1" x14ac:dyDescent="0.25">
      <c r="B93" s="378"/>
      <c r="C93" s="350"/>
      <c r="D93" s="154"/>
      <c r="E93" s="350"/>
      <c r="F93" s="400"/>
      <c r="G93" s="400"/>
      <c r="H93" s="350"/>
      <c r="I93" s="154"/>
      <c r="J93" s="350"/>
      <c r="K93" s="350"/>
      <c r="L93" s="350"/>
      <c r="M93" s="350"/>
      <c r="N93" s="350"/>
      <c r="O93" s="350"/>
      <c r="P93" s="350"/>
      <c r="Q93" s="350"/>
      <c r="R93" s="427"/>
      <c r="S93" s="427"/>
      <c r="T93" s="427"/>
      <c r="U93" s="427"/>
      <c r="V93" s="350"/>
      <c r="W93" s="350"/>
      <c r="X93" s="350"/>
      <c r="Y93" s="179"/>
      <c r="Z93" s="350"/>
      <c r="AA93" s="350"/>
      <c r="AB93" s="350"/>
      <c r="AC93" s="350"/>
      <c r="AD93" s="428"/>
      <c r="AE93" s="350"/>
      <c r="AF93" s="154"/>
      <c r="AG93" s="350"/>
      <c r="AH93" s="350"/>
      <c r="AI93" s="350"/>
      <c r="AJ93" s="350"/>
      <c r="AK93" s="350"/>
      <c r="AL93" s="429"/>
      <c r="AM93" s="429"/>
      <c r="AN93" s="429"/>
      <c r="AO93" s="429"/>
      <c r="AP93" s="429"/>
      <c r="AQ93" s="429"/>
      <c r="AR93" s="429"/>
      <c r="AS93" s="429"/>
      <c r="AT93" s="429"/>
      <c r="AU93" s="429"/>
      <c r="AV93" s="154"/>
      <c r="AW93" s="154"/>
      <c r="AX93" s="154"/>
      <c r="AY93" s="154"/>
      <c r="AZ93" s="154"/>
      <c r="BA93" s="154"/>
      <c r="BB93" s="154"/>
      <c r="BC93" s="154"/>
      <c r="BD93" s="154"/>
      <c r="BE93" s="154"/>
      <c r="BF93" s="154"/>
      <c r="BG93" s="154"/>
      <c r="BH93" s="154"/>
      <c r="BI93" s="154"/>
      <c r="BJ93" s="154"/>
      <c r="BK93" s="154"/>
      <c r="BL93" s="427"/>
      <c r="BM93" s="154"/>
      <c r="BN93" s="154"/>
      <c r="BO93" s="154"/>
      <c r="BP93" s="154"/>
      <c r="BQ93" s="154"/>
      <c r="BR93" s="179"/>
      <c r="BS93" s="154"/>
      <c r="BT93" s="154"/>
      <c r="BU93" s="154"/>
      <c r="BV93" s="154"/>
      <c r="BW93" s="154"/>
      <c r="BX93" s="154"/>
      <c r="BY93" s="154"/>
      <c r="BZ93" s="154"/>
      <c r="CA93" s="350"/>
      <c r="CB93" s="154"/>
      <c r="CC93" s="350"/>
      <c r="CD93" s="430"/>
      <c r="CE93" s="154"/>
      <c r="CF93" s="154"/>
      <c r="CG93" s="154"/>
      <c r="CH93" s="154"/>
      <c r="CI93" s="154"/>
      <c r="CJ93" s="154"/>
      <c r="CK93" s="154"/>
      <c r="CL93" s="154"/>
      <c r="CM93" s="154"/>
      <c r="CN93" s="154"/>
      <c r="CO93" s="154"/>
      <c r="CP93" s="154"/>
      <c r="CQ93" s="154"/>
      <c r="CR93" s="154"/>
      <c r="CS93" s="154"/>
      <c r="CT93" s="154"/>
      <c r="CU93" s="154"/>
      <c r="CV93" s="154"/>
      <c r="CW93" s="154"/>
      <c r="CX93" s="154"/>
      <c r="CY93" s="179"/>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9"/>
    </row>
    <row r="94" spans="2:128" ht="20.25" customHeight="1" x14ac:dyDescent="0.2">
      <c r="C94" s="100"/>
      <c r="D94" s="5"/>
      <c r="E94" s="100"/>
      <c r="F94" s="431"/>
      <c r="G94" s="431"/>
      <c r="H94" s="100"/>
      <c r="I94" s="25"/>
      <c r="J94" s="99"/>
      <c r="K94" s="100"/>
      <c r="L94" s="100"/>
      <c r="M94" s="100"/>
      <c r="N94" s="100"/>
      <c r="O94" s="100"/>
      <c r="P94" s="100"/>
      <c r="Q94" s="100"/>
      <c r="R94" s="432"/>
      <c r="S94" s="432"/>
      <c r="T94" s="432"/>
      <c r="U94" s="432"/>
      <c r="V94" s="100"/>
      <c r="W94" s="100"/>
      <c r="X94" s="100"/>
      <c r="Y94" s="141"/>
      <c r="Z94" s="100"/>
      <c r="AA94" s="100"/>
      <c r="AB94" s="100"/>
      <c r="AC94" s="100"/>
      <c r="AD94" s="433"/>
      <c r="AE94" s="100"/>
      <c r="AF94" s="25"/>
      <c r="AG94" s="100"/>
      <c r="AH94" s="100"/>
      <c r="AI94" s="100"/>
      <c r="AJ94" s="100"/>
      <c r="AK94" s="100"/>
      <c r="AL94" s="434"/>
      <c r="AM94" s="434"/>
      <c r="AN94" s="434"/>
      <c r="AO94" s="434"/>
      <c r="AP94" s="434"/>
      <c r="AQ94" s="434"/>
      <c r="AR94" s="434"/>
      <c r="AS94" s="434"/>
      <c r="AT94" s="434"/>
      <c r="AU94" s="434"/>
      <c r="AV94" s="25"/>
      <c r="AW94" s="25"/>
      <c r="AX94" s="25"/>
      <c r="AY94" s="25"/>
      <c r="AZ94" s="25"/>
      <c r="BA94" s="25"/>
      <c r="BB94" s="25"/>
      <c r="BC94" s="25"/>
      <c r="BD94" s="25"/>
      <c r="BE94" s="25"/>
      <c r="BF94" s="25"/>
      <c r="BG94" s="25"/>
      <c r="BH94" s="25"/>
      <c r="BI94" s="25"/>
      <c r="BJ94" s="25"/>
      <c r="BK94" s="25"/>
      <c r="BL94" s="432"/>
      <c r="BM94" s="25"/>
      <c r="BN94" s="25"/>
      <c r="BO94" s="25"/>
      <c r="BP94" s="25"/>
      <c r="BQ94" s="25"/>
      <c r="BR94" s="326"/>
      <c r="BS94" s="69"/>
      <c r="BT94" s="69"/>
      <c r="BU94" s="69"/>
      <c r="BV94" s="69"/>
      <c r="BW94" s="69"/>
      <c r="BX94" s="69"/>
      <c r="BY94" s="69"/>
      <c r="BZ94" s="69"/>
      <c r="CA94" s="99"/>
      <c r="CB94" s="25"/>
      <c r="CC94" s="100"/>
      <c r="CD94" s="435"/>
      <c r="CE94" s="25"/>
      <c r="CF94" s="25"/>
      <c r="CG94" s="25"/>
      <c r="CH94" s="25"/>
      <c r="CI94" s="25"/>
      <c r="CJ94" s="25"/>
      <c r="CK94" s="25"/>
      <c r="CL94" s="25"/>
      <c r="CM94" s="25"/>
      <c r="CN94" s="25"/>
      <c r="CO94" s="25"/>
      <c r="CP94" s="25"/>
      <c r="CQ94" s="25"/>
      <c r="CR94" s="25"/>
      <c r="CV94" s="25"/>
    </row>
    <row r="95" spans="2:128" ht="20.25" customHeight="1" x14ac:dyDescent="0.2">
      <c r="D95" s="5"/>
      <c r="E95" s="100"/>
      <c r="F95" s="431"/>
      <c r="G95" s="431"/>
      <c r="H95" s="100"/>
      <c r="I95" s="25"/>
      <c r="J95" s="99"/>
      <c r="K95" s="100"/>
      <c r="L95" s="100"/>
      <c r="M95" s="100"/>
      <c r="N95" s="100" t="s">
        <v>898</v>
      </c>
      <c r="O95" s="100" t="s">
        <v>898</v>
      </c>
      <c r="P95" s="100" t="s">
        <v>898</v>
      </c>
      <c r="Q95" s="100"/>
      <c r="R95" s="432"/>
      <c r="S95" s="432"/>
      <c r="T95" s="432"/>
      <c r="U95" s="432"/>
      <c r="V95" s="100"/>
      <c r="W95" s="100"/>
      <c r="X95" s="100"/>
      <c r="Y95" s="141"/>
      <c r="Z95" s="100"/>
      <c r="AA95" s="100"/>
      <c r="AB95" s="100"/>
      <c r="AC95" s="100"/>
      <c r="AD95" s="433"/>
      <c r="AE95" s="100"/>
      <c r="AF95" s="25"/>
      <c r="AG95" s="100"/>
      <c r="AH95" s="100"/>
      <c r="AI95" s="100"/>
      <c r="AJ95" s="100"/>
      <c r="AK95" s="100"/>
      <c r="AL95" s="434"/>
      <c r="AM95" s="434"/>
      <c r="AN95" s="434"/>
      <c r="AO95" s="434"/>
      <c r="AP95" s="434"/>
      <c r="AQ95" s="434"/>
      <c r="AR95" s="434"/>
      <c r="AS95" s="434"/>
      <c r="AT95" s="434"/>
      <c r="AU95" s="434"/>
      <c r="AV95" s="25"/>
      <c r="AW95" s="25"/>
      <c r="AX95" s="25"/>
      <c r="AY95" s="25"/>
      <c r="AZ95" s="25"/>
      <c r="BA95" s="25"/>
      <c r="BB95" s="25"/>
      <c r="BC95" s="25"/>
      <c r="BD95" s="25"/>
      <c r="BE95" s="25"/>
      <c r="BF95" s="25"/>
      <c r="BG95" s="25"/>
      <c r="BH95" s="25"/>
      <c r="BI95" s="25"/>
      <c r="BJ95" s="25"/>
      <c r="BK95" s="25"/>
      <c r="BL95" s="432"/>
      <c r="BM95" s="25"/>
      <c r="BN95" s="25"/>
      <c r="BO95" s="25"/>
      <c r="BP95" s="25"/>
      <c r="BQ95" s="25"/>
      <c r="BR95" s="326"/>
      <c r="BS95" s="69"/>
      <c r="BT95" s="69"/>
      <c r="BU95" s="69"/>
      <c r="BV95" s="69"/>
      <c r="BW95" s="69"/>
      <c r="BX95" s="69"/>
      <c r="BY95" s="69"/>
      <c r="BZ95" s="69"/>
      <c r="CA95" s="99"/>
      <c r="CB95" s="25"/>
      <c r="CC95" s="100"/>
      <c r="CD95" s="435"/>
      <c r="CE95" s="25"/>
      <c r="CF95" s="25"/>
      <c r="CG95" s="25"/>
      <c r="CH95" s="25"/>
      <c r="CI95" s="25"/>
      <c r="CJ95" s="25"/>
      <c r="CK95" s="25"/>
      <c r="CL95" s="25"/>
      <c r="CM95" s="25"/>
      <c r="CN95" s="25"/>
      <c r="CO95" s="25"/>
      <c r="CP95" s="25"/>
      <c r="CQ95" s="25"/>
      <c r="CR95" s="25"/>
      <c r="CV95" s="25"/>
    </row>
    <row r="96" spans="2:128" ht="20.25" customHeight="1" x14ac:dyDescent="0.2">
      <c r="D96" s="5"/>
      <c r="E96" s="100"/>
      <c r="F96" s="431"/>
      <c r="G96" s="431"/>
      <c r="H96" s="100"/>
      <c r="I96" s="25"/>
      <c r="J96" s="99"/>
      <c r="K96" s="100"/>
      <c r="L96" s="100"/>
      <c r="M96" s="100"/>
      <c r="N96" s="100" t="s">
        <v>898</v>
      </c>
      <c r="O96" s="100" t="s">
        <v>898</v>
      </c>
      <c r="P96" s="100" t="s">
        <v>898</v>
      </c>
      <c r="Q96" s="100"/>
      <c r="R96" s="432"/>
      <c r="S96" s="432"/>
      <c r="T96" s="432"/>
      <c r="U96" s="432"/>
      <c r="V96" s="100"/>
      <c r="W96" s="100"/>
      <c r="X96" s="100"/>
      <c r="Y96" s="141"/>
      <c r="Z96" s="100"/>
      <c r="AA96" s="100"/>
      <c r="AB96" s="100"/>
      <c r="AC96" s="100"/>
      <c r="AD96" s="433"/>
      <c r="AE96" s="100"/>
      <c r="AF96" s="25"/>
      <c r="AG96" s="100"/>
      <c r="AH96" s="100"/>
      <c r="AI96" s="100"/>
      <c r="AJ96" s="100"/>
      <c r="AK96" s="100"/>
      <c r="AL96" s="434"/>
      <c r="AM96" s="434"/>
      <c r="AN96" s="434"/>
      <c r="AO96" s="434"/>
      <c r="AP96" s="434"/>
      <c r="AQ96" s="434"/>
      <c r="AR96" s="434"/>
      <c r="AS96" s="434"/>
      <c r="AT96" s="434"/>
      <c r="AU96" s="434"/>
      <c r="AV96" s="25"/>
      <c r="AW96" s="25"/>
      <c r="AX96" s="25"/>
      <c r="AY96" s="25"/>
      <c r="AZ96" s="25"/>
      <c r="BA96" s="25"/>
      <c r="BB96" s="25"/>
      <c r="BC96" s="25"/>
      <c r="BD96" s="25"/>
      <c r="BE96" s="25"/>
      <c r="BF96" s="25"/>
      <c r="BG96" s="25"/>
      <c r="BH96" s="25"/>
      <c r="BI96" s="25"/>
      <c r="BJ96" s="25"/>
      <c r="BK96" s="25"/>
      <c r="BL96" s="432"/>
      <c r="BM96" s="25"/>
      <c r="BN96" s="25"/>
      <c r="BO96" s="25"/>
      <c r="BP96" s="25"/>
      <c r="BQ96" s="25"/>
      <c r="BR96" s="326"/>
      <c r="BS96" s="69"/>
      <c r="BT96" s="69"/>
      <c r="BU96" s="69"/>
      <c r="BV96" s="69"/>
      <c r="BW96" s="69"/>
      <c r="BX96" s="69"/>
      <c r="BY96" s="69"/>
      <c r="BZ96" s="69"/>
      <c r="CA96" s="99"/>
      <c r="CB96" s="25"/>
      <c r="CC96" s="100"/>
      <c r="CD96" s="435"/>
      <c r="CE96" s="25"/>
      <c r="CF96" s="25"/>
      <c r="CG96" s="25"/>
      <c r="CH96" s="25"/>
      <c r="CI96" s="25"/>
      <c r="CJ96" s="25"/>
      <c r="CK96" s="25"/>
      <c r="CL96" s="25"/>
      <c r="CM96" s="25"/>
      <c r="CN96" s="25"/>
      <c r="CO96" s="25"/>
      <c r="CP96" s="25"/>
      <c r="CQ96" s="25"/>
      <c r="CR96" s="25"/>
      <c r="CV96" s="25"/>
    </row>
    <row r="97" spans="2:100" ht="20.25" customHeight="1" x14ac:dyDescent="0.2">
      <c r="D97" s="5"/>
      <c r="E97" s="100"/>
      <c r="F97" s="431"/>
      <c r="G97" s="431"/>
      <c r="H97" s="99"/>
      <c r="I97" s="100"/>
      <c r="J97" s="100"/>
      <c r="K97" s="25"/>
      <c r="L97" s="100"/>
      <c r="M97" s="100"/>
      <c r="N97" s="100"/>
      <c r="O97" s="100"/>
      <c r="P97" s="100"/>
      <c r="Q97" s="100"/>
      <c r="R97" s="432"/>
      <c r="S97" s="432"/>
      <c r="T97" s="432"/>
      <c r="U97" s="432"/>
      <c r="V97" s="100"/>
      <c r="W97" s="100"/>
      <c r="X97" s="100"/>
      <c r="Y97" s="141"/>
      <c r="Z97" s="100"/>
      <c r="AA97" s="100"/>
      <c r="AB97" s="100"/>
      <c r="AC97" s="100"/>
      <c r="AD97" s="433"/>
      <c r="AE97" s="100"/>
      <c r="AF97" s="25"/>
      <c r="AG97" s="100"/>
      <c r="AH97" s="100"/>
      <c r="AI97" s="100"/>
      <c r="AJ97" s="100"/>
      <c r="AK97" s="100"/>
      <c r="AL97" s="434"/>
      <c r="AM97" s="434"/>
      <c r="AN97" s="434"/>
      <c r="AO97" s="434"/>
      <c r="AP97" s="434"/>
      <c r="AQ97" s="434"/>
      <c r="AR97" s="434"/>
      <c r="AS97" s="434"/>
      <c r="AT97" s="434"/>
      <c r="AU97" s="434"/>
      <c r="AV97" s="25"/>
      <c r="AW97" s="25"/>
      <c r="AX97" s="25"/>
      <c r="AY97" s="25"/>
      <c r="AZ97" s="25"/>
      <c r="BA97" s="25"/>
      <c r="BB97" s="25"/>
      <c r="BC97" s="25"/>
      <c r="BD97" s="25"/>
      <c r="BE97" s="25"/>
      <c r="BF97" s="25"/>
      <c r="BG97" s="25"/>
      <c r="BH97" s="25"/>
      <c r="BI97" s="25"/>
      <c r="BJ97" s="25"/>
      <c r="BK97" s="25"/>
      <c r="BL97" s="432"/>
      <c r="BM97" s="25"/>
      <c r="BN97" s="25"/>
      <c r="BO97" s="25"/>
      <c r="BP97" s="25"/>
      <c r="BQ97" s="25"/>
      <c r="BR97" s="326"/>
      <c r="BS97" s="69"/>
      <c r="BT97" s="69"/>
      <c r="BU97" s="69"/>
      <c r="BV97" s="69"/>
      <c r="BW97" s="69"/>
      <c r="BX97" s="69"/>
      <c r="BY97" s="69"/>
      <c r="BZ97" s="69"/>
      <c r="CA97" s="99"/>
      <c r="CB97" s="25"/>
      <c r="CC97" s="100"/>
      <c r="CD97" s="435"/>
      <c r="CE97" s="25"/>
      <c r="CF97" s="25"/>
      <c r="CG97" s="25"/>
      <c r="CH97" s="25"/>
      <c r="CI97" s="25"/>
      <c r="CJ97" s="25"/>
      <c r="CK97" s="25"/>
      <c r="CL97" s="25"/>
      <c r="CM97" s="25"/>
      <c r="CN97" s="25"/>
      <c r="CO97" s="25"/>
      <c r="CP97" s="25"/>
      <c r="CQ97" s="25"/>
      <c r="CR97" s="25"/>
      <c r="CV97" s="25"/>
    </row>
    <row r="98" spans="2:100" ht="20.25" customHeight="1" x14ac:dyDescent="0.2">
      <c r="D98" s="5"/>
      <c r="E98" s="100"/>
      <c r="F98" s="436"/>
      <c r="G98" s="436"/>
      <c r="H98" s="99"/>
      <c r="I98" s="100"/>
      <c r="L98" s="100"/>
      <c r="M98" s="100"/>
      <c r="N98" s="100"/>
      <c r="O98" s="100"/>
      <c r="P98" s="100"/>
      <c r="Q98" s="100"/>
      <c r="R98" s="432"/>
      <c r="S98" s="432"/>
      <c r="T98" s="432"/>
      <c r="U98" s="432"/>
      <c r="V98" s="100"/>
      <c r="W98" s="100"/>
      <c r="X98" s="100"/>
      <c r="Y98" s="141"/>
      <c r="Z98" s="100"/>
      <c r="AA98" s="100"/>
      <c r="AB98" s="100"/>
      <c r="AC98" s="100"/>
      <c r="AD98" s="433"/>
      <c r="AE98" s="100"/>
      <c r="AF98" s="25"/>
      <c r="AG98" s="100"/>
      <c r="AH98" s="100"/>
      <c r="AI98" s="100"/>
      <c r="AJ98" s="100"/>
      <c r="AK98" s="100"/>
      <c r="AL98" s="434"/>
      <c r="AM98" s="434"/>
      <c r="AN98" s="434"/>
      <c r="AO98" s="434"/>
      <c r="AP98" s="434"/>
      <c r="AQ98" s="434"/>
      <c r="AR98" s="434"/>
      <c r="AS98" s="434"/>
      <c r="AT98" s="434"/>
      <c r="AU98" s="434"/>
      <c r="AV98" s="25"/>
      <c r="AW98" s="25"/>
      <c r="AX98" s="25"/>
      <c r="AY98" s="25"/>
      <c r="AZ98" s="25"/>
      <c r="BA98" s="25"/>
      <c r="BB98" s="25"/>
      <c r="BC98" s="25"/>
      <c r="BD98" s="25"/>
      <c r="BE98" s="25"/>
      <c r="BF98" s="25"/>
      <c r="BG98" s="25"/>
      <c r="BH98" s="25"/>
      <c r="BI98" s="25"/>
      <c r="BJ98" s="25"/>
      <c r="BK98" s="25"/>
      <c r="BL98" s="432"/>
      <c r="BM98" s="25"/>
      <c r="BN98" s="25"/>
      <c r="BO98" s="25"/>
      <c r="BP98" s="25"/>
      <c r="BQ98" s="25"/>
      <c r="BR98" s="326"/>
      <c r="BS98" s="69"/>
      <c r="BT98" s="69"/>
      <c r="BU98" s="69"/>
      <c r="BV98" s="69"/>
      <c r="BW98" s="69"/>
      <c r="BX98" s="69"/>
      <c r="BY98" s="69"/>
      <c r="BZ98" s="69"/>
      <c r="CA98" s="99"/>
      <c r="CB98" s="25"/>
      <c r="CC98" s="100"/>
      <c r="CD98" s="435"/>
      <c r="CE98" s="25"/>
      <c r="CF98" s="25"/>
      <c r="CG98" s="25"/>
      <c r="CH98" s="25"/>
      <c r="CI98" s="25"/>
      <c r="CJ98" s="25"/>
      <c r="CK98" s="25"/>
      <c r="CL98" s="25"/>
      <c r="CM98" s="25"/>
      <c r="CN98" s="25"/>
      <c r="CO98" s="25"/>
      <c r="CP98" s="25"/>
      <c r="CQ98" s="25"/>
      <c r="CR98" s="25"/>
      <c r="CV98" s="25"/>
    </row>
    <row r="99" spans="2:100" ht="20.25" customHeight="1" x14ac:dyDescent="0.2">
      <c r="D99" s="5"/>
      <c r="E99" s="100"/>
      <c r="F99" s="68"/>
      <c r="G99" s="69"/>
      <c r="H99" s="99"/>
      <c r="I99" s="100"/>
      <c r="L99" s="100"/>
      <c r="M99" s="100"/>
      <c r="N99" s="100"/>
      <c r="O99" s="100"/>
      <c r="P99" s="100"/>
      <c r="Q99" s="100"/>
      <c r="R99" s="432"/>
      <c r="S99" s="432"/>
      <c r="T99" s="432"/>
      <c r="U99" s="432"/>
      <c r="V99" s="100"/>
      <c r="W99" s="100"/>
      <c r="X99" s="100"/>
      <c r="Y99" s="141"/>
      <c r="Z99" s="100"/>
      <c r="AA99" s="100"/>
      <c r="AB99" s="100"/>
      <c r="AC99" s="100"/>
      <c r="AD99" s="433"/>
      <c r="AE99" s="100"/>
      <c r="AF99" s="25"/>
      <c r="AG99" s="100"/>
      <c r="AH99" s="100"/>
      <c r="AI99" s="100"/>
      <c r="AJ99" s="100"/>
      <c r="AK99" s="100"/>
      <c r="AL99" s="434"/>
      <c r="AM99" s="434"/>
      <c r="AN99" s="434"/>
      <c r="AO99" s="434"/>
      <c r="AP99" s="434"/>
      <c r="AQ99" s="434"/>
      <c r="AR99" s="434"/>
      <c r="AS99" s="434"/>
      <c r="AT99" s="434"/>
      <c r="AU99" s="434"/>
      <c r="AV99" s="25"/>
      <c r="AW99" s="25"/>
      <c r="AX99" s="25"/>
      <c r="AY99" s="25"/>
      <c r="AZ99" s="25"/>
      <c r="BA99" s="25"/>
      <c r="BB99" s="25"/>
      <c r="BC99" s="25"/>
      <c r="BD99" s="25"/>
      <c r="BE99" s="25"/>
      <c r="BF99" s="25"/>
      <c r="BG99" s="25"/>
      <c r="BH99" s="25"/>
      <c r="BI99" s="25"/>
      <c r="BJ99" s="25"/>
      <c r="BK99" s="25"/>
      <c r="BL99" s="432"/>
      <c r="BM99" s="25"/>
      <c r="BN99" s="25"/>
      <c r="BO99" s="25"/>
      <c r="BP99" s="25"/>
      <c r="BQ99" s="25"/>
      <c r="BR99" s="326"/>
      <c r="BS99" s="69"/>
      <c r="BT99" s="69"/>
      <c r="BU99" s="69"/>
      <c r="BV99" s="69"/>
      <c r="BW99" s="69"/>
      <c r="BX99" s="69"/>
      <c r="BY99" s="69"/>
      <c r="BZ99" s="69"/>
      <c r="CA99" s="99"/>
      <c r="CB99" s="25"/>
      <c r="CC99" s="100"/>
      <c r="CD99" s="435"/>
      <c r="CE99" s="25"/>
      <c r="CF99" s="25"/>
      <c r="CG99" s="25"/>
      <c r="CH99" s="25"/>
      <c r="CI99" s="25"/>
      <c r="CJ99" s="25"/>
      <c r="CK99" s="25"/>
      <c r="CL99" s="25"/>
      <c r="CM99" s="25"/>
      <c r="CN99" s="25"/>
      <c r="CO99" s="25"/>
      <c r="CP99" s="25"/>
      <c r="CQ99" s="25"/>
      <c r="CR99" s="25"/>
      <c r="CV99" s="25"/>
    </row>
    <row r="100" spans="2:100" ht="23.25" customHeight="1" x14ac:dyDescent="0.2">
      <c r="D100" s="5"/>
      <c r="E100" s="100"/>
      <c r="F100" s="68"/>
      <c r="G100" s="69"/>
      <c r="H100" s="99"/>
      <c r="I100" s="100"/>
      <c r="L100" s="100"/>
      <c r="M100" s="100"/>
      <c r="N100" s="100"/>
      <c r="O100" s="100"/>
      <c r="P100" s="100"/>
      <c r="Q100" s="100"/>
      <c r="R100" s="432"/>
      <c r="S100" s="432"/>
      <c r="T100" s="432"/>
      <c r="U100" s="432"/>
      <c r="V100" s="100"/>
      <c r="W100" s="100"/>
      <c r="X100" s="100"/>
      <c r="Y100" s="141"/>
      <c r="Z100" s="100"/>
      <c r="AA100" s="100"/>
      <c r="AB100" s="100"/>
      <c r="AC100" s="100"/>
      <c r="AD100" s="433"/>
      <c r="AE100" s="100"/>
      <c r="AF100" s="25"/>
      <c r="AG100" s="100"/>
      <c r="AH100" s="100"/>
      <c r="AI100" s="100"/>
      <c r="AJ100" s="100"/>
      <c r="AK100" s="100"/>
      <c r="AL100" s="434"/>
      <c r="AM100" s="434"/>
      <c r="AN100" s="434"/>
      <c r="AO100" s="434"/>
      <c r="AP100" s="434"/>
      <c r="AQ100" s="434"/>
      <c r="AR100" s="434"/>
      <c r="AS100" s="434"/>
      <c r="AT100" s="434"/>
      <c r="AU100" s="434"/>
      <c r="AV100" s="25"/>
      <c r="AW100" s="25"/>
      <c r="AX100" s="25"/>
      <c r="AY100" s="25"/>
      <c r="AZ100" s="25"/>
      <c r="BA100" s="25"/>
      <c r="BB100" s="25"/>
      <c r="BC100" s="25"/>
      <c r="BD100" s="25"/>
      <c r="BE100" s="25"/>
      <c r="BF100" s="25"/>
      <c r="BG100" s="25"/>
      <c r="BH100" s="25"/>
      <c r="BI100" s="25"/>
      <c r="BJ100" s="25"/>
      <c r="BK100" s="25"/>
      <c r="BL100" s="432"/>
      <c r="BM100" s="25"/>
      <c r="BN100" s="25"/>
      <c r="BO100" s="25"/>
      <c r="BP100" s="25"/>
      <c r="BQ100" s="25"/>
      <c r="BR100" s="326"/>
      <c r="BS100" s="69"/>
      <c r="BT100" s="69"/>
      <c r="BU100" s="69"/>
      <c r="BV100" s="69"/>
      <c r="BW100" s="69"/>
      <c r="BX100" s="69"/>
      <c r="BY100" s="69"/>
      <c r="BZ100" s="69"/>
      <c r="CA100" s="99"/>
      <c r="CB100" s="25"/>
      <c r="CC100" s="100"/>
      <c r="CD100" s="435"/>
      <c r="CE100" s="25"/>
      <c r="CF100" s="25"/>
      <c r="CG100" s="25"/>
      <c r="CH100" s="25"/>
      <c r="CI100" s="25"/>
      <c r="CJ100" s="25"/>
      <c r="CK100" s="25"/>
      <c r="CL100" s="25"/>
      <c r="CM100" s="25"/>
      <c r="CN100" s="25"/>
      <c r="CO100" s="25"/>
      <c r="CP100" s="25"/>
      <c r="CQ100" s="25"/>
      <c r="CR100" s="25"/>
      <c r="CV100" s="25"/>
    </row>
    <row r="101" spans="2:100" ht="23.25" customHeight="1" thickBot="1" x14ac:dyDescent="0.25">
      <c r="D101" s="5"/>
      <c r="E101" s="100"/>
      <c r="F101" s="68"/>
      <c r="G101" s="69"/>
      <c r="H101" s="99"/>
      <c r="I101" s="100"/>
      <c r="J101" s="100"/>
      <c r="K101" s="25"/>
      <c r="L101" s="100"/>
      <c r="M101" s="100"/>
      <c r="N101" s="100"/>
      <c r="O101" s="100"/>
      <c r="P101" s="100"/>
      <c r="Q101" s="100"/>
      <c r="R101" s="432"/>
      <c r="S101" s="432"/>
      <c r="T101" s="432"/>
      <c r="U101" s="432"/>
      <c r="V101" s="100"/>
      <c r="W101" s="100"/>
      <c r="X101" s="100"/>
      <c r="Y101" s="141"/>
      <c r="Z101" s="100"/>
      <c r="AA101" s="100"/>
      <c r="AB101" s="100"/>
      <c r="AC101" s="100"/>
      <c r="AD101" s="433"/>
      <c r="AE101" s="100"/>
      <c r="AF101" s="25"/>
      <c r="AG101" s="100"/>
      <c r="AH101" s="100"/>
      <c r="AI101" s="100"/>
      <c r="AJ101" s="100"/>
      <c r="AK101" s="100"/>
      <c r="AL101" s="434"/>
      <c r="AM101" s="434"/>
      <c r="AN101" s="434"/>
      <c r="AO101" s="434"/>
      <c r="AP101" s="434"/>
      <c r="AQ101" s="434"/>
      <c r="AR101" s="434"/>
      <c r="AS101" s="434"/>
      <c r="AT101" s="434"/>
      <c r="AU101" s="434"/>
      <c r="AV101" s="25"/>
      <c r="AW101" s="25"/>
      <c r="AX101" s="25"/>
      <c r="AY101" s="25"/>
      <c r="AZ101" s="25"/>
      <c r="BA101" s="25"/>
      <c r="BB101" s="25"/>
      <c r="BC101" s="25"/>
      <c r="BD101" s="25"/>
      <c r="BE101" s="25"/>
      <c r="BF101" s="25"/>
      <c r="BG101" s="25"/>
      <c r="BH101" s="25"/>
      <c r="BI101" s="25"/>
      <c r="BJ101" s="25"/>
      <c r="BK101" s="25"/>
      <c r="BL101" s="432"/>
      <c r="BM101" s="25"/>
      <c r="BN101" s="25"/>
      <c r="BO101" s="25"/>
      <c r="BP101" s="25"/>
      <c r="BQ101" s="25"/>
      <c r="BR101" s="326"/>
      <c r="BS101" s="69"/>
      <c r="BT101" s="69"/>
      <c r="BU101" s="69"/>
      <c r="BV101" s="69"/>
      <c r="BW101" s="69"/>
      <c r="BX101" s="69"/>
      <c r="BY101" s="69"/>
      <c r="BZ101" s="69"/>
      <c r="CA101" s="99"/>
      <c r="CB101" s="25"/>
      <c r="CC101" s="100"/>
      <c r="CD101" s="435"/>
      <c r="CE101" s="25"/>
      <c r="CF101" s="25"/>
      <c r="CG101" s="25"/>
      <c r="CH101" s="25"/>
      <c r="CI101" s="25"/>
      <c r="CJ101" s="25"/>
      <c r="CK101" s="25"/>
      <c r="CL101" s="25"/>
      <c r="CM101" s="25"/>
      <c r="CN101" s="25"/>
      <c r="CO101" s="25"/>
      <c r="CP101" s="25"/>
      <c r="CQ101" s="25"/>
      <c r="CR101" s="25"/>
      <c r="CV101" s="25"/>
    </row>
    <row r="102" spans="2:100" ht="35.25" customHeight="1" thickBot="1" x14ac:dyDescent="0.55000000000000004">
      <c r="B102" s="376" t="s">
        <v>1283</v>
      </c>
      <c r="C102" s="155"/>
      <c r="D102" s="155"/>
      <c r="E102" s="783" t="s">
        <v>1258</v>
      </c>
      <c r="F102" s="783"/>
      <c r="G102" s="351" t="s">
        <v>785</v>
      </c>
      <c r="H102" s="720"/>
      <c r="I102" s="720"/>
      <c r="J102" s="720"/>
      <c r="K102" s="720"/>
      <c r="L102" s="720"/>
      <c r="M102" s="720"/>
      <c r="N102" s="720"/>
      <c r="O102" s="720"/>
      <c r="P102" s="720"/>
      <c r="Q102" s="720"/>
      <c r="R102" s="720"/>
      <c r="S102" s="720"/>
      <c r="T102" s="720"/>
      <c r="U102" s="720"/>
      <c r="V102" s="720"/>
      <c r="W102" s="720"/>
      <c r="X102" s="720"/>
      <c r="Y102" s="720"/>
      <c r="Z102" s="720"/>
      <c r="AA102" s="720"/>
      <c r="AB102" s="727"/>
    </row>
    <row r="103" spans="2:100" ht="23.25" customHeight="1" thickBot="1" x14ac:dyDescent="0.25">
      <c r="B103" s="716"/>
      <c r="C103" s="717"/>
      <c r="D103" s="717"/>
      <c r="E103" s="717"/>
      <c r="F103" s="153"/>
      <c r="G103" s="153"/>
      <c r="H103" s="721"/>
      <c r="I103" s="721"/>
      <c r="J103" s="721"/>
      <c r="K103" s="721"/>
      <c r="L103" s="721"/>
      <c r="M103" s="721"/>
      <c r="N103" s="721"/>
      <c r="O103" s="721"/>
      <c r="P103" s="721"/>
      <c r="Q103" s="721"/>
      <c r="R103" s="721"/>
      <c r="S103" s="721"/>
      <c r="T103" s="721"/>
      <c r="U103" s="721"/>
      <c r="V103" s="721"/>
      <c r="W103" s="721"/>
      <c r="X103" s="721"/>
      <c r="Y103" s="721"/>
      <c r="Z103" s="721"/>
      <c r="AA103" s="721"/>
      <c r="AB103" s="898"/>
    </row>
    <row r="104" spans="2:100" ht="23.25" customHeight="1" x14ac:dyDescent="0.2">
      <c r="B104" s="716"/>
      <c r="C104" s="717"/>
      <c r="D104" s="717"/>
      <c r="E104" s="717"/>
      <c r="F104" s="35" t="s">
        <v>791</v>
      </c>
      <c r="G104" s="437">
        <v>1</v>
      </c>
      <c r="H104" s="721"/>
      <c r="I104" s="721"/>
      <c r="J104" s="721"/>
      <c r="K104" s="721"/>
      <c r="L104" s="721"/>
      <c r="M104" s="721"/>
      <c r="N104" s="721"/>
      <c r="O104" s="721"/>
      <c r="P104" s="721"/>
      <c r="Q104" s="721"/>
      <c r="R104" s="721"/>
      <c r="S104" s="721"/>
      <c r="T104" s="721"/>
      <c r="U104" s="721"/>
      <c r="V104" s="721"/>
      <c r="W104" s="721"/>
      <c r="X104" s="721"/>
      <c r="Y104" s="721"/>
      <c r="Z104" s="721"/>
      <c r="AA104" s="721"/>
      <c r="AB104" s="898"/>
    </row>
    <row r="105" spans="2:100" ht="23.25" customHeight="1" x14ac:dyDescent="0.2">
      <c r="B105" s="716"/>
      <c r="C105" s="717"/>
      <c r="D105" s="717"/>
      <c r="E105" s="717"/>
      <c r="F105" s="311" t="s">
        <v>793</v>
      </c>
      <c r="G105" s="96">
        <v>1</v>
      </c>
      <c r="H105" s="721"/>
      <c r="I105" s="721"/>
      <c r="J105" s="721"/>
      <c r="K105" s="721"/>
      <c r="L105" s="721"/>
      <c r="M105" s="721"/>
      <c r="N105" s="721"/>
      <c r="O105" s="721"/>
      <c r="P105" s="721"/>
      <c r="Q105" s="721"/>
      <c r="R105" s="721"/>
      <c r="S105" s="721"/>
      <c r="T105" s="721"/>
      <c r="U105" s="721"/>
      <c r="V105" s="721"/>
      <c r="W105" s="721"/>
      <c r="X105" s="721"/>
      <c r="Y105" s="721"/>
      <c r="Z105" s="721"/>
      <c r="AA105" s="721"/>
      <c r="AB105" s="898"/>
    </row>
    <row r="106" spans="2:100" ht="23.25" customHeight="1" thickBot="1" x14ac:dyDescent="0.25">
      <c r="B106" s="716"/>
      <c r="C106" s="717"/>
      <c r="D106" s="717"/>
      <c r="E106" s="717"/>
      <c r="F106" s="36" t="s">
        <v>797</v>
      </c>
      <c r="G106" s="104">
        <v>300</v>
      </c>
      <c r="H106" s="722"/>
      <c r="I106" s="722"/>
      <c r="J106" s="722"/>
      <c r="K106" s="722"/>
      <c r="L106" s="722"/>
      <c r="M106" s="722"/>
      <c r="N106" s="722"/>
      <c r="O106" s="722"/>
      <c r="P106" s="722"/>
      <c r="Q106" s="722"/>
      <c r="R106" s="722"/>
      <c r="S106" s="722"/>
      <c r="T106" s="722"/>
      <c r="U106" s="722"/>
      <c r="V106" s="722"/>
      <c r="W106" s="722"/>
      <c r="X106" s="722"/>
      <c r="Y106" s="722"/>
      <c r="Z106" s="722"/>
      <c r="AA106" s="722"/>
      <c r="AB106" s="898"/>
    </row>
    <row r="107" spans="2:100" ht="23.25" customHeight="1" x14ac:dyDescent="0.25">
      <c r="B107" s="716"/>
      <c r="C107" s="717"/>
      <c r="D107" s="717"/>
      <c r="E107" s="717"/>
      <c r="F107" s="914" t="s">
        <v>786</v>
      </c>
      <c r="G107" s="915"/>
      <c r="H107" s="122">
        <v>1</v>
      </c>
      <c r="I107" s="122">
        <f>H107+1</f>
        <v>2</v>
      </c>
      <c r="J107" s="122">
        <f t="shared" ref="J107:Z107" si="247">I107+1</f>
        <v>3</v>
      </c>
      <c r="K107" s="122">
        <f t="shared" si="247"/>
        <v>4</v>
      </c>
      <c r="L107" s="122">
        <f t="shared" si="247"/>
        <v>5</v>
      </c>
      <c r="M107" s="123">
        <f t="shared" si="247"/>
        <v>6</v>
      </c>
      <c r="N107" s="123">
        <f t="shared" si="247"/>
        <v>7</v>
      </c>
      <c r="O107" s="123">
        <f t="shared" si="247"/>
        <v>8</v>
      </c>
      <c r="P107" s="123">
        <f>O107+1</f>
        <v>9</v>
      </c>
      <c r="Q107" s="123">
        <f t="shared" si="247"/>
        <v>10</v>
      </c>
      <c r="R107" s="123">
        <f t="shared" si="247"/>
        <v>11</v>
      </c>
      <c r="S107" s="123">
        <f t="shared" si="247"/>
        <v>12</v>
      </c>
      <c r="T107" s="123">
        <f t="shared" si="247"/>
        <v>13</v>
      </c>
      <c r="U107" s="123">
        <f t="shared" si="247"/>
        <v>14</v>
      </c>
      <c r="V107" s="123">
        <f t="shared" si="247"/>
        <v>15</v>
      </c>
      <c r="W107" s="123">
        <f>V107+1</f>
        <v>16</v>
      </c>
      <c r="X107" s="123">
        <f t="shared" si="247"/>
        <v>17</v>
      </c>
      <c r="Y107" s="123">
        <f t="shared" si="247"/>
        <v>18</v>
      </c>
      <c r="Z107" s="123">
        <f t="shared" si="247"/>
        <v>19</v>
      </c>
      <c r="AA107" s="124">
        <f>Z107+1</f>
        <v>20</v>
      </c>
      <c r="AB107" s="898"/>
    </row>
    <row r="108" spans="2:100" ht="23.25" customHeight="1" x14ac:dyDescent="0.2">
      <c r="B108" s="716"/>
      <c r="C108" s="717"/>
      <c r="D108" s="717"/>
      <c r="E108" s="717"/>
      <c r="F108" s="922" t="s">
        <v>790</v>
      </c>
      <c r="G108" s="867"/>
      <c r="H108" s="95">
        <v>1</v>
      </c>
      <c r="I108" s="95">
        <v>5</v>
      </c>
      <c r="J108" s="95">
        <v>1</v>
      </c>
      <c r="K108" s="95">
        <v>11</v>
      </c>
      <c r="L108" s="95"/>
      <c r="M108" s="313"/>
      <c r="N108" s="313"/>
      <c r="O108" s="313"/>
      <c r="P108" s="438"/>
      <c r="Q108" s="57"/>
      <c r="R108" s="438"/>
      <c r="S108" s="438"/>
      <c r="T108" s="438"/>
      <c r="U108" s="57"/>
      <c r="V108" s="57"/>
      <c r="W108" s="57"/>
      <c r="X108" s="57"/>
      <c r="Y108" s="57"/>
      <c r="Z108" s="57"/>
      <c r="AA108" s="2"/>
      <c r="AB108" s="898"/>
    </row>
    <row r="109" spans="2:100" ht="23.25" customHeight="1" x14ac:dyDescent="0.2">
      <c r="B109" s="716"/>
      <c r="C109" s="717"/>
      <c r="D109" s="717"/>
      <c r="E109" s="717"/>
      <c r="F109" s="923" t="s">
        <v>792</v>
      </c>
      <c r="G109" s="924"/>
      <c r="H109" s="95">
        <v>6</v>
      </c>
      <c r="I109" s="95">
        <v>8</v>
      </c>
      <c r="J109" s="95">
        <v>10</v>
      </c>
      <c r="K109" s="95">
        <v>9</v>
      </c>
      <c r="L109" s="95"/>
      <c r="M109" s="313"/>
      <c r="N109" s="313"/>
      <c r="O109" s="313"/>
      <c r="P109" s="438"/>
      <c r="Q109" s="57"/>
      <c r="R109" s="438"/>
      <c r="S109" s="438"/>
      <c r="T109" s="438"/>
      <c r="U109" s="57"/>
      <c r="V109" s="57"/>
      <c r="W109" s="57"/>
      <c r="X109" s="57"/>
      <c r="Y109" s="57"/>
      <c r="Z109" s="57"/>
      <c r="AA109" s="2"/>
      <c r="AB109" s="898"/>
    </row>
    <row r="110" spans="2:100" ht="31.5" customHeight="1" x14ac:dyDescent="0.2">
      <c r="B110" s="716"/>
      <c r="C110" s="717"/>
      <c r="D110" s="717"/>
      <c r="E110" s="717"/>
      <c r="F110" s="37" t="s">
        <v>768</v>
      </c>
      <c r="G110" s="309" t="s">
        <v>769</v>
      </c>
      <c r="H110" s="38" t="s">
        <v>789</v>
      </c>
      <c r="I110" s="38" t="s">
        <v>789</v>
      </c>
      <c r="J110" s="38" t="s">
        <v>789</v>
      </c>
      <c r="K110" s="38" t="s">
        <v>789</v>
      </c>
      <c r="L110" s="39" t="s">
        <v>789</v>
      </c>
      <c r="M110" s="39" t="s">
        <v>789</v>
      </c>
      <c r="N110" s="39" t="s">
        <v>789</v>
      </c>
      <c r="O110" s="39" t="s">
        <v>789</v>
      </c>
      <c r="P110" s="39" t="s">
        <v>789</v>
      </c>
      <c r="Q110" s="39" t="s">
        <v>789</v>
      </c>
      <c r="R110" s="39" t="s">
        <v>789</v>
      </c>
      <c r="S110" s="39" t="s">
        <v>789</v>
      </c>
      <c r="T110" s="39" t="s">
        <v>789</v>
      </c>
      <c r="U110" s="39" t="s">
        <v>789</v>
      </c>
      <c r="V110" s="39" t="s">
        <v>789</v>
      </c>
      <c r="W110" s="39" t="s">
        <v>789</v>
      </c>
      <c r="X110" s="39" t="s">
        <v>789</v>
      </c>
      <c r="Y110" s="39" t="s">
        <v>789</v>
      </c>
      <c r="Z110" s="39" t="s">
        <v>789</v>
      </c>
      <c r="AA110" s="39" t="s">
        <v>789</v>
      </c>
      <c r="AB110" s="898"/>
    </row>
    <row r="111" spans="2:100" ht="23.25" customHeight="1" x14ac:dyDescent="0.2">
      <c r="B111" s="716"/>
      <c r="C111" s="717"/>
      <c r="D111" s="717"/>
      <c r="E111" s="717"/>
      <c r="F111" s="1">
        <f t="shared" ref="F111:F160" si="248">C32</f>
        <v>1</v>
      </c>
      <c r="G111" s="70" t="str">
        <f t="shared" ref="G111:G142" si="249">IF(G262&lt;&gt;"",G262,"")</f>
        <v>FAME (Methyl oleate)</v>
      </c>
      <c r="H111" s="95">
        <v>3</v>
      </c>
      <c r="I111" s="64"/>
      <c r="J111" s="56">
        <v>1</v>
      </c>
      <c r="K111" s="313"/>
      <c r="L111" s="313"/>
      <c r="M111" s="313"/>
      <c r="N111" s="313"/>
      <c r="O111" s="313"/>
      <c r="P111" s="438"/>
      <c r="Q111" s="57"/>
      <c r="R111" s="438"/>
      <c r="S111" s="438"/>
      <c r="T111" s="438"/>
      <c r="U111" s="57"/>
      <c r="V111" s="57"/>
      <c r="W111" s="57"/>
      <c r="X111" s="57"/>
      <c r="Y111" s="57"/>
      <c r="Z111" s="57"/>
      <c r="AA111" s="2"/>
      <c r="AB111" s="898"/>
    </row>
    <row r="112" spans="2:100" ht="23.25" customHeight="1" x14ac:dyDescent="0.2">
      <c r="B112" s="716"/>
      <c r="C112" s="717"/>
      <c r="D112" s="717"/>
      <c r="E112" s="717"/>
      <c r="F112" s="1">
        <f t="shared" si="248"/>
        <v>2</v>
      </c>
      <c r="G112" s="70" t="str">
        <f t="shared" si="249"/>
        <v>Glycerol</v>
      </c>
      <c r="H112" s="95">
        <v>1</v>
      </c>
      <c r="I112" s="64"/>
      <c r="J112" s="56"/>
      <c r="K112" s="56"/>
      <c r="L112" s="313"/>
      <c r="M112" s="313"/>
      <c r="N112" s="313"/>
      <c r="O112" s="313"/>
      <c r="P112" s="438"/>
      <c r="Q112" s="57"/>
      <c r="R112" s="438"/>
      <c r="S112" s="438"/>
      <c r="T112" s="438"/>
      <c r="U112" s="57"/>
      <c r="V112" s="57"/>
      <c r="W112" s="57"/>
      <c r="X112" s="57"/>
      <c r="Y112" s="57"/>
      <c r="Z112" s="57"/>
      <c r="AA112" s="2"/>
      <c r="AB112" s="898"/>
    </row>
    <row r="113" spans="2:29" ht="23.25" customHeight="1" x14ac:dyDescent="0.2">
      <c r="B113" s="716"/>
      <c r="C113" s="717"/>
      <c r="D113" s="717"/>
      <c r="E113" s="717"/>
      <c r="F113" s="1">
        <f t="shared" si="248"/>
        <v>3</v>
      </c>
      <c r="G113" s="70" t="str">
        <f t="shared" si="249"/>
        <v>Methanol</v>
      </c>
      <c r="H113" s="95">
        <v>-3</v>
      </c>
      <c r="I113" s="64"/>
      <c r="J113" s="56">
        <v>-1</v>
      </c>
      <c r="K113" s="56"/>
      <c r="L113" s="313"/>
      <c r="M113" s="313"/>
      <c r="N113" s="313"/>
      <c r="O113" s="313"/>
      <c r="P113" s="438"/>
      <c r="Q113" s="57"/>
      <c r="R113" s="438"/>
      <c r="S113" s="438"/>
      <c r="T113" s="438"/>
      <c r="U113" s="57"/>
      <c r="V113" s="57"/>
      <c r="W113" s="57"/>
      <c r="X113" s="57"/>
      <c r="Y113" s="57"/>
      <c r="Z113" s="57"/>
      <c r="AA113" s="2"/>
      <c r="AB113" s="898"/>
    </row>
    <row r="114" spans="2:29" ht="23.25" customHeight="1" x14ac:dyDescent="0.2">
      <c r="B114" s="716"/>
      <c r="C114" s="717"/>
      <c r="D114" s="717"/>
      <c r="E114" s="717"/>
      <c r="F114" s="1">
        <f t="shared" si="248"/>
        <v>4</v>
      </c>
      <c r="G114" s="70" t="str">
        <f t="shared" si="249"/>
        <v>Phosphoric Acid</v>
      </c>
      <c r="H114" s="426"/>
      <c r="I114" s="64">
        <v>-1</v>
      </c>
      <c r="J114" s="56"/>
      <c r="K114" s="56"/>
      <c r="L114" s="313"/>
      <c r="M114" s="313"/>
      <c r="N114" s="313"/>
      <c r="O114" s="313"/>
      <c r="P114" s="438"/>
      <c r="Q114" s="57"/>
      <c r="R114" s="438"/>
      <c r="S114" s="438"/>
      <c r="T114" s="438"/>
      <c r="U114" s="57"/>
      <c r="V114" s="57"/>
      <c r="W114" s="57"/>
      <c r="X114" s="57"/>
      <c r="Y114" s="57"/>
      <c r="Z114" s="57"/>
      <c r="AA114" s="2"/>
      <c r="AB114" s="898"/>
    </row>
    <row r="115" spans="2:29" ht="23.25" customHeight="1" x14ac:dyDescent="0.2">
      <c r="B115" s="716"/>
      <c r="C115" s="717"/>
      <c r="D115" s="717"/>
      <c r="E115" s="717"/>
      <c r="F115" s="1">
        <f t="shared" si="248"/>
        <v>5</v>
      </c>
      <c r="G115" s="70" t="str">
        <f t="shared" si="249"/>
        <v>Trisodium Phosphate</v>
      </c>
      <c r="H115" s="95"/>
      <c r="I115" s="64">
        <v>1</v>
      </c>
      <c r="J115" s="56"/>
      <c r="K115" s="56"/>
      <c r="L115" s="313"/>
      <c r="M115" s="313"/>
      <c r="N115" s="313"/>
      <c r="O115" s="313"/>
      <c r="P115" s="438"/>
      <c r="Q115" s="57"/>
      <c r="R115" s="438"/>
      <c r="S115" s="438"/>
      <c r="T115" s="438"/>
      <c r="U115" s="57"/>
      <c r="V115" s="57"/>
      <c r="W115" s="57"/>
      <c r="X115" s="57"/>
      <c r="Y115" s="57"/>
      <c r="Z115" s="57"/>
      <c r="AA115" s="2"/>
      <c r="AB115" s="898"/>
    </row>
    <row r="116" spans="2:29" ht="23.25" customHeight="1" x14ac:dyDescent="0.2">
      <c r="B116" s="716"/>
      <c r="C116" s="717"/>
      <c r="D116" s="717"/>
      <c r="E116" s="717"/>
      <c r="F116" s="1">
        <f t="shared" si="248"/>
        <v>6</v>
      </c>
      <c r="G116" s="70" t="str">
        <f t="shared" si="249"/>
        <v>OIL (Triolein)</v>
      </c>
      <c r="H116" s="95">
        <v>-1</v>
      </c>
      <c r="I116" s="64"/>
      <c r="J116" s="56"/>
      <c r="K116" s="56"/>
      <c r="L116" s="313"/>
      <c r="M116" s="313"/>
      <c r="N116" s="313"/>
      <c r="O116" s="313"/>
      <c r="P116" s="438"/>
      <c r="Q116" s="57"/>
      <c r="R116" s="438"/>
      <c r="S116" s="438"/>
      <c r="T116" s="438"/>
      <c r="U116" s="57"/>
      <c r="V116" s="57"/>
      <c r="W116" s="57"/>
      <c r="X116" s="57"/>
      <c r="Y116" s="57"/>
      <c r="Z116" s="57"/>
      <c r="AA116" s="2"/>
      <c r="AB116" s="898"/>
    </row>
    <row r="117" spans="2:29" ht="23.25" customHeight="1" x14ac:dyDescent="0.2">
      <c r="B117" s="716"/>
      <c r="C117" s="717"/>
      <c r="D117" s="717"/>
      <c r="E117" s="717"/>
      <c r="F117" s="1">
        <f t="shared" si="248"/>
        <v>7</v>
      </c>
      <c r="G117" s="70" t="str">
        <f t="shared" si="249"/>
        <v>Water</v>
      </c>
      <c r="H117" s="95"/>
      <c r="I117" s="64">
        <v>3</v>
      </c>
      <c r="J117" s="56">
        <v>1</v>
      </c>
      <c r="K117" s="56">
        <v>2</v>
      </c>
      <c r="L117" s="313"/>
      <c r="M117" s="313"/>
      <c r="N117" s="313"/>
      <c r="O117" s="313"/>
      <c r="P117" s="438"/>
      <c r="Q117" s="57"/>
      <c r="R117" s="438"/>
      <c r="S117" s="438"/>
      <c r="T117" s="438"/>
      <c r="U117" s="57"/>
      <c r="V117" s="57"/>
      <c r="W117" s="57"/>
      <c r="X117" s="57"/>
      <c r="Y117" s="57"/>
      <c r="Z117" s="57"/>
      <c r="AA117" s="2"/>
      <c r="AB117" s="898"/>
    </row>
    <row r="118" spans="2:29" ht="23.25" customHeight="1" x14ac:dyDescent="0.2">
      <c r="B118" s="716"/>
      <c r="C118" s="717"/>
      <c r="D118" s="717"/>
      <c r="E118" s="717"/>
      <c r="F118" s="1">
        <f t="shared" si="248"/>
        <v>8</v>
      </c>
      <c r="G118" s="70" t="str">
        <f t="shared" si="249"/>
        <v>Sodium Hydroxide</v>
      </c>
      <c r="H118" s="95"/>
      <c r="I118" s="64">
        <v>-3</v>
      </c>
      <c r="J118" s="56"/>
      <c r="K118" s="56">
        <v>-2</v>
      </c>
      <c r="L118" s="313"/>
      <c r="M118" s="313"/>
      <c r="N118" s="313"/>
      <c r="O118" s="313"/>
      <c r="P118" s="438"/>
      <c r="Q118" s="57"/>
      <c r="R118" s="438"/>
      <c r="S118" s="438"/>
      <c r="T118" s="438"/>
      <c r="U118" s="57"/>
      <c r="V118" s="57"/>
      <c r="W118" s="57"/>
      <c r="X118" s="57"/>
      <c r="Y118" s="57"/>
      <c r="Z118" s="57"/>
      <c r="AA118" s="2"/>
      <c r="AB118" s="898"/>
    </row>
    <row r="119" spans="2:29" ht="23.25" customHeight="1" x14ac:dyDescent="0.2">
      <c r="B119" s="716"/>
      <c r="C119" s="717"/>
      <c r="D119" s="717"/>
      <c r="E119" s="717"/>
      <c r="F119" s="1">
        <f t="shared" si="248"/>
        <v>9</v>
      </c>
      <c r="G119" s="70" t="str">
        <f t="shared" si="249"/>
        <v>Sulfuric Acid</v>
      </c>
      <c r="H119" s="95"/>
      <c r="I119" s="64"/>
      <c r="J119" s="56"/>
      <c r="K119" s="56">
        <v>-1</v>
      </c>
      <c r="L119" s="313"/>
      <c r="M119" s="313"/>
      <c r="N119" s="313"/>
      <c r="O119" s="313"/>
      <c r="P119" s="438"/>
      <c r="Q119" s="57"/>
      <c r="R119" s="438"/>
      <c r="S119" s="438"/>
      <c r="T119" s="438"/>
      <c r="U119" s="57"/>
      <c r="V119" s="57"/>
      <c r="W119" s="57"/>
      <c r="X119" s="57"/>
      <c r="Y119" s="57"/>
      <c r="Z119" s="57"/>
      <c r="AA119" s="2"/>
      <c r="AB119" s="898"/>
    </row>
    <row r="120" spans="2:29" ht="23.25" customHeight="1" x14ac:dyDescent="0.2">
      <c r="B120" s="716"/>
      <c r="C120" s="717"/>
      <c r="D120" s="717"/>
      <c r="E120" s="717"/>
      <c r="F120" s="1">
        <f t="shared" si="248"/>
        <v>10</v>
      </c>
      <c r="G120" s="70" t="str">
        <f t="shared" si="249"/>
        <v>Oleic Acid</v>
      </c>
      <c r="H120" s="95"/>
      <c r="I120" s="64"/>
      <c r="J120" s="56">
        <v>-1</v>
      </c>
      <c r="K120" s="56"/>
      <c r="L120" s="313"/>
      <c r="M120" s="313"/>
      <c r="N120" s="313"/>
      <c r="O120" s="313"/>
      <c r="P120" s="438"/>
      <c r="Q120" s="57"/>
      <c r="R120" s="438"/>
      <c r="S120" s="438"/>
      <c r="T120" s="438"/>
      <c r="U120" s="57"/>
      <c r="V120" s="57"/>
      <c r="W120" s="57"/>
      <c r="X120" s="57"/>
      <c r="Y120" s="57"/>
      <c r="Z120" s="57"/>
      <c r="AA120" s="2"/>
      <c r="AB120" s="898"/>
    </row>
    <row r="121" spans="2:29" ht="23.25" customHeight="1" x14ac:dyDescent="0.2">
      <c r="B121" s="716"/>
      <c r="C121" s="717"/>
      <c r="D121" s="717"/>
      <c r="E121" s="717"/>
      <c r="F121" s="1">
        <f t="shared" si="248"/>
        <v>11</v>
      </c>
      <c r="G121" s="70" t="str">
        <f t="shared" si="249"/>
        <v>Sodium Sulphate</v>
      </c>
      <c r="H121" s="95"/>
      <c r="I121" s="64"/>
      <c r="J121" s="56"/>
      <c r="K121" s="56">
        <v>1</v>
      </c>
      <c r="L121" s="313"/>
      <c r="M121" s="313"/>
      <c r="N121" s="313"/>
      <c r="O121" s="313"/>
      <c r="P121" s="438"/>
      <c r="Q121" s="57"/>
      <c r="R121" s="438"/>
      <c r="S121" s="438"/>
      <c r="T121" s="438"/>
      <c r="U121" s="57"/>
      <c r="V121" s="57"/>
      <c r="W121" s="57"/>
      <c r="X121" s="57"/>
      <c r="Y121" s="57"/>
      <c r="Z121" s="57"/>
      <c r="AA121" s="2"/>
      <c r="AB121" s="898"/>
    </row>
    <row r="122" spans="2:29" ht="23.25" customHeight="1" x14ac:dyDescent="0.2">
      <c r="B122" s="716"/>
      <c r="C122" s="717"/>
      <c r="D122" s="717"/>
      <c r="E122" s="717"/>
      <c r="F122" s="1">
        <f t="shared" si="248"/>
        <v>12</v>
      </c>
      <c r="G122" s="70" t="str">
        <f t="shared" si="249"/>
        <v/>
      </c>
      <c r="H122" s="95"/>
      <c r="I122" s="64"/>
      <c r="J122" s="56"/>
      <c r="K122" s="56"/>
      <c r="L122" s="313"/>
      <c r="M122" s="313"/>
      <c r="N122" s="313"/>
      <c r="O122" s="313"/>
      <c r="P122" s="438"/>
      <c r="Q122" s="57"/>
      <c r="R122" s="438"/>
      <c r="S122" s="438"/>
      <c r="T122" s="438"/>
      <c r="U122" s="57"/>
      <c r="V122" s="57"/>
      <c r="W122" s="57"/>
      <c r="X122" s="57"/>
      <c r="Y122" s="57"/>
      <c r="Z122" s="57"/>
      <c r="AA122" s="2"/>
      <c r="AB122" s="898"/>
    </row>
    <row r="123" spans="2:29" ht="23.25" customHeight="1" x14ac:dyDescent="0.2">
      <c r="B123" s="716"/>
      <c r="C123" s="717"/>
      <c r="D123" s="717"/>
      <c r="E123" s="717"/>
      <c r="F123" s="1">
        <f t="shared" si="248"/>
        <v>13</v>
      </c>
      <c r="G123" s="70" t="str">
        <f t="shared" si="249"/>
        <v/>
      </c>
      <c r="H123" s="95"/>
      <c r="I123" s="64"/>
      <c r="J123" s="56"/>
      <c r="K123" s="56"/>
      <c r="L123" s="313"/>
      <c r="M123" s="313"/>
      <c r="N123" s="313"/>
      <c r="O123" s="313"/>
      <c r="P123" s="438"/>
      <c r="Q123" s="57"/>
      <c r="R123" s="438"/>
      <c r="S123" s="438"/>
      <c r="T123" s="438"/>
      <c r="U123" s="57"/>
      <c r="V123" s="57"/>
      <c r="W123" s="57"/>
      <c r="X123" s="57"/>
      <c r="Y123" s="57"/>
      <c r="Z123" s="57"/>
      <c r="AA123" s="2"/>
      <c r="AB123" s="898"/>
    </row>
    <row r="124" spans="2:29" ht="23.25" customHeight="1" x14ac:dyDescent="0.2">
      <c r="B124" s="716"/>
      <c r="C124" s="717"/>
      <c r="D124" s="717"/>
      <c r="E124" s="717"/>
      <c r="F124" s="1">
        <f t="shared" si="248"/>
        <v>14</v>
      </c>
      <c r="G124" s="70" t="str">
        <f t="shared" si="249"/>
        <v/>
      </c>
      <c r="H124" s="95"/>
      <c r="I124" s="129"/>
      <c r="J124" s="56"/>
      <c r="K124" s="56"/>
      <c r="L124" s="313"/>
      <c r="M124" s="313"/>
      <c r="N124" s="313"/>
      <c r="O124" s="313"/>
      <c r="P124" s="438"/>
      <c r="Q124" s="57"/>
      <c r="R124" s="438"/>
      <c r="S124" s="438"/>
      <c r="T124" s="438"/>
      <c r="U124" s="57"/>
      <c r="V124" s="57"/>
      <c r="W124" s="57"/>
      <c r="X124" s="57"/>
      <c r="Y124" s="57"/>
      <c r="Z124" s="57"/>
      <c r="AA124" s="2"/>
      <c r="AB124" s="898"/>
    </row>
    <row r="125" spans="2:29" ht="23.25" customHeight="1" x14ac:dyDescent="0.2">
      <c r="B125" s="716"/>
      <c r="C125" s="717"/>
      <c r="D125" s="717"/>
      <c r="E125" s="717"/>
      <c r="F125" s="1">
        <f t="shared" si="248"/>
        <v>15</v>
      </c>
      <c r="G125" s="70" t="str">
        <f t="shared" si="249"/>
        <v/>
      </c>
      <c r="H125" s="95"/>
      <c r="I125" s="129"/>
      <c r="J125" s="56"/>
      <c r="K125" s="56"/>
      <c r="L125" s="313"/>
      <c r="M125" s="313"/>
      <c r="N125" s="313"/>
      <c r="O125" s="313"/>
      <c r="P125" s="438"/>
      <c r="Q125" s="57"/>
      <c r="R125" s="438"/>
      <c r="S125" s="438"/>
      <c r="T125" s="57"/>
      <c r="U125" s="57"/>
      <c r="V125" s="57"/>
      <c r="W125" s="57"/>
      <c r="X125" s="57"/>
      <c r="Y125" s="57"/>
      <c r="Z125" s="57"/>
      <c r="AA125" s="2"/>
      <c r="AB125" s="898"/>
      <c r="AC125" s="7"/>
    </row>
    <row r="126" spans="2:29" ht="23.25" customHeight="1" x14ac:dyDescent="0.2">
      <c r="B126" s="716"/>
      <c r="C126" s="717"/>
      <c r="D126" s="717"/>
      <c r="E126" s="717"/>
      <c r="F126" s="1">
        <f t="shared" si="248"/>
        <v>16</v>
      </c>
      <c r="G126" s="70" t="str">
        <f t="shared" si="249"/>
        <v/>
      </c>
      <c r="H126" s="95"/>
      <c r="I126" s="129"/>
      <c r="J126" s="56"/>
      <c r="K126" s="56"/>
      <c r="L126" s="313"/>
      <c r="M126" s="313"/>
      <c r="N126" s="313"/>
      <c r="O126" s="313"/>
      <c r="P126" s="438"/>
      <c r="Q126" s="57"/>
      <c r="R126" s="438"/>
      <c r="S126" s="438"/>
      <c r="T126" s="57"/>
      <c r="U126" s="57"/>
      <c r="V126" s="57"/>
      <c r="W126" s="57"/>
      <c r="X126" s="57"/>
      <c r="Y126" s="57"/>
      <c r="Z126" s="57"/>
      <c r="AA126" s="2"/>
      <c r="AB126" s="898"/>
      <c r="AC126" s="7"/>
    </row>
    <row r="127" spans="2:29" ht="23.25" customHeight="1" x14ac:dyDescent="0.2">
      <c r="B127" s="716"/>
      <c r="C127" s="717"/>
      <c r="D127" s="717"/>
      <c r="E127" s="717"/>
      <c r="F127" s="1">
        <f t="shared" si="248"/>
        <v>17</v>
      </c>
      <c r="G127" s="70" t="str">
        <f t="shared" si="249"/>
        <v/>
      </c>
      <c r="H127" s="95"/>
      <c r="I127" s="129"/>
      <c r="J127" s="56"/>
      <c r="K127" s="56"/>
      <c r="L127" s="313"/>
      <c r="M127" s="313"/>
      <c r="N127" s="313"/>
      <c r="O127" s="313"/>
      <c r="P127" s="438"/>
      <c r="Q127" s="57"/>
      <c r="R127" s="438"/>
      <c r="S127" s="438"/>
      <c r="T127" s="57"/>
      <c r="U127" s="57"/>
      <c r="V127" s="57"/>
      <c r="W127" s="57"/>
      <c r="X127" s="57"/>
      <c r="Y127" s="57"/>
      <c r="Z127" s="57"/>
      <c r="AA127" s="2"/>
      <c r="AB127" s="898"/>
      <c r="AC127" s="7"/>
    </row>
    <row r="128" spans="2:29" ht="23.25" customHeight="1" x14ac:dyDescent="0.2">
      <c r="B128" s="716"/>
      <c r="C128" s="717"/>
      <c r="D128" s="717"/>
      <c r="E128" s="717"/>
      <c r="F128" s="1">
        <f t="shared" si="248"/>
        <v>18</v>
      </c>
      <c r="G128" s="70" t="str">
        <f t="shared" si="249"/>
        <v/>
      </c>
      <c r="H128" s="95"/>
      <c r="I128" s="129"/>
      <c r="J128" s="56"/>
      <c r="K128" s="56"/>
      <c r="L128" s="313"/>
      <c r="M128" s="313"/>
      <c r="N128" s="313"/>
      <c r="O128" s="313"/>
      <c r="P128" s="438"/>
      <c r="Q128" s="57"/>
      <c r="R128" s="438"/>
      <c r="S128" s="438"/>
      <c r="T128" s="57"/>
      <c r="U128" s="57"/>
      <c r="V128" s="57"/>
      <c r="W128" s="57"/>
      <c r="X128" s="57"/>
      <c r="Y128" s="57"/>
      <c r="Z128" s="57"/>
      <c r="AA128" s="2"/>
      <c r="AB128" s="898"/>
      <c r="AC128" s="7"/>
    </row>
    <row r="129" spans="2:36" ht="23.25" customHeight="1" x14ac:dyDescent="0.2">
      <c r="B129" s="716"/>
      <c r="C129" s="717"/>
      <c r="D129" s="717"/>
      <c r="E129" s="717"/>
      <c r="F129" s="1">
        <f t="shared" si="248"/>
        <v>19</v>
      </c>
      <c r="G129" s="70" t="str">
        <f t="shared" si="249"/>
        <v/>
      </c>
      <c r="H129" s="95"/>
      <c r="I129" s="129"/>
      <c r="J129" s="56"/>
      <c r="K129" s="56"/>
      <c r="L129" s="313"/>
      <c r="M129" s="313"/>
      <c r="N129" s="313"/>
      <c r="O129" s="313"/>
      <c r="P129" s="438"/>
      <c r="Q129" s="57"/>
      <c r="R129" s="438"/>
      <c r="S129" s="438"/>
      <c r="T129" s="57"/>
      <c r="U129" s="57"/>
      <c r="V129" s="57"/>
      <c r="W129" s="57"/>
      <c r="X129" s="57"/>
      <c r="Y129" s="57"/>
      <c r="Z129" s="57"/>
      <c r="AA129" s="2"/>
      <c r="AB129" s="898"/>
      <c r="AC129" s="7"/>
    </row>
    <row r="130" spans="2:36" ht="23.25" customHeight="1" x14ac:dyDescent="0.2">
      <c r="B130" s="716"/>
      <c r="C130" s="717"/>
      <c r="D130" s="717"/>
      <c r="E130" s="717"/>
      <c r="F130" s="1">
        <f t="shared" si="248"/>
        <v>20</v>
      </c>
      <c r="G130" s="70" t="str">
        <f t="shared" si="249"/>
        <v/>
      </c>
      <c r="H130" s="95"/>
      <c r="I130" s="129"/>
      <c r="J130" s="56"/>
      <c r="K130" s="56"/>
      <c r="L130" s="313"/>
      <c r="M130" s="313"/>
      <c r="N130" s="313"/>
      <c r="O130" s="313"/>
      <c r="P130" s="438"/>
      <c r="Q130" s="57"/>
      <c r="R130" s="438"/>
      <c r="S130" s="438"/>
      <c r="T130" s="57"/>
      <c r="U130" s="57"/>
      <c r="V130" s="57"/>
      <c r="W130" s="57"/>
      <c r="X130" s="57"/>
      <c r="Y130" s="57"/>
      <c r="Z130" s="57"/>
      <c r="AA130" s="2"/>
      <c r="AB130" s="898"/>
      <c r="AC130" s="7"/>
    </row>
    <row r="131" spans="2:36" ht="23.25" customHeight="1" x14ac:dyDescent="0.2">
      <c r="B131" s="716"/>
      <c r="C131" s="717"/>
      <c r="D131" s="717"/>
      <c r="E131" s="717"/>
      <c r="F131" s="1">
        <f t="shared" si="248"/>
        <v>21</v>
      </c>
      <c r="G131" s="70" t="str">
        <f t="shared" si="249"/>
        <v/>
      </c>
      <c r="H131" s="313"/>
      <c r="I131" s="313"/>
      <c r="J131" s="313"/>
      <c r="K131" s="313"/>
      <c r="L131" s="313"/>
      <c r="M131" s="313"/>
      <c r="N131" s="313"/>
      <c r="O131" s="313"/>
      <c r="P131" s="313"/>
      <c r="Q131" s="313"/>
      <c r="R131" s="313"/>
      <c r="S131" s="313"/>
      <c r="T131" s="313"/>
      <c r="U131" s="313"/>
      <c r="V131" s="313"/>
      <c r="W131" s="313"/>
      <c r="X131" s="313"/>
      <c r="Y131" s="313"/>
      <c r="Z131" s="313"/>
      <c r="AA131" s="439"/>
      <c r="AB131" s="898"/>
      <c r="AC131" s="7"/>
    </row>
    <row r="132" spans="2:36" ht="23.25" customHeight="1" x14ac:dyDescent="0.2">
      <c r="B132" s="716"/>
      <c r="C132" s="717"/>
      <c r="D132" s="717"/>
      <c r="E132" s="717"/>
      <c r="F132" s="1">
        <f t="shared" si="248"/>
        <v>22</v>
      </c>
      <c r="G132" s="70" t="str">
        <f t="shared" si="249"/>
        <v/>
      </c>
      <c r="H132" s="313"/>
      <c r="I132" s="313"/>
      <c r="J132" s="313"/>
      <c r="K132" s="313"/>
      <c r="L132" s="313"/>
      <c r="M132" s="313"/>
      <c r="N132" s="313"/>
      <c r="O132" s="313"/>
      <c r="P132" s="313"/>
      <c r="Q132" s="313"/>
      <c r="R132" s="313"/>
      <c r="S132" s="313"/>
      <c r="T132" s="313"/>
      <c r="U132" s="313"/>
      <c r="V132" s="313"/>
      <c r="W132" s="313"/>
      <c r="X132" s="313"/>
      <c r="Y132" s="313"/>
      <c r="Z132" s="313"/>
      <c r="AA132" s="439"/>
      <c r="AB132" s="898"/>
      <c r="AC132" s="7"/>
    </row>
    <row r="133" spans="2:36" ht="23.25" customHeight="1" x14ac:dyDescent="0.2">
      <c r="B133" s="716"/>
      <c r="C133" s="717"/>
      <c r="D133" s="717"/>
      <c r="E133" s="717"/>
      <c r="F133" s="1">
        <f t="shared" si="248"/>
        <v>23</v>
      </c>
      <c r="G133" s="70" t="str">
        <f t="shared" si="249"/>
        <v/>
      </c>
      <c r="H133" s="313"/>
      <c r="I133" s="313"/>
      <c r="J133" s="313"/>
      <c r="K133" s="313"/>
      <c r="L133" s="313"/>
      <c r="M133" s="313"/>
      <c r="N133" s="313"/>
      <c r="O133" s="313"/>
      <c r="P133" s="313"/>
      <c r="Q133" s="313"/>
      <c r="R133" s="313"/>
      <c r="S133" s="313"/>
      <c r="T133" s="313"/>
      <c r="U133" s="313"/>
      <c r="V133" s="313"/>
      <c r="W133" s="313"/>
      <c r="X133" s="313"/>
      <c r="Y133" s="313"/>
      <c r="Z133" s="313"/>
      <c r="AA133" s="439"/>
      <c r="AB133" s="898"/>
      <c r="AC133" s="7"/>
    </row>
    <row r="134" spans="2:36" ht="23.25" customHeight="1" x14ac:dyDescent="0.2">
      <c r="B134" s="716"/>
      <c r="C134" s="717"/>
      <c r="D134" s="717"/>
      <c r="E134" s="717"/>
      <c r="F134" s="1">
        <f t="shared" si="248"/>
        <v>24</v>
      </c>
      <c r="G134" s="70" t="str">
        <f t="shared" si="249"/>
        <v/>
      </c>
      <c r="H134" s="313"/>
      <c r="I134" s="313"/>
      <c r="J134" s="313"/>
      <c r="K134" s="313"/>
      <c r="L134" s="313"/>
      <c r="M134" s="313"/>
      <c r="N134" s="313"/>
      <c r="O134" s="313"/>
      <c r="P134" s="313"/>
      <c r="Q134" s="313"/>
      <c r="R134" s="313"/>
      <c r="S134" s="313"/>
      <c r="T134" s="313"/>
      <c r="U134" s="313"/>
      <c r="V134" s="313"/>
      <c r="W134" s="313"/>
      <c r="X134" s="313"/>
      <c r="Y134" s="313"/>
      <c r="Z134" s="313"/>
      <c r="AA134" s="439"/>
      <c r="AB134" s="898"/>
      <c r="AC134" s="7"/>
    </row>
    <row r="135" spans="2:36" ht="23.25" customHeight="1" x14ac:dyDescent="0.2">
      <c r="B135" s="716"/>
      <c r="C135" s="717"/>
      <c r="D135" s="717"/>
      <c r="E135" s="717"/>
      <c r="F135" s="1">
        <f t="shared" si="248"/>
        <v>25</v>
      </c>
      <c r="G135" s="70" t="str">
        <f t="shared" si="249"/>
        <v/>
      </c>
      <c r="H135" s="313"/>
      <c r="I135" s="313"/>
      <c r="J135" s="313"/>
      <c r="K135" s="313"/>
      <c r="L135" s="313"/>
      <c r="M135" s="313"/>
      <c r="N135" s="313"/>
      <c r="O135" s="313"/>
      <c r="P135" s="313"/>
      <c r="Q135" s="313"/>
      <c r="R135" s="313"/>
      <c r="S135" s="313"/>
      <c r="T135" s="313"/>
      <c r="U135" s="313"/>
      <c r="V135" s="313"/>
      <c r="W135" s="313"/>
      <c r="X135" s="313"/>
      <c r="Y135" s="313"/>
      <c r="Z135" s="313"/>
      <c r="AA135" s="439"/>
      <c r="AB135" s="898"/>
      <c r="AC135" s="7"/>
    </row>
    <row r="136" spans="2:36" ht="23.25" customHeight="1" x14ac:dyDescent="0.2">
      <c r="B136" s="716"/>
      <c r="C136" s="717"/>
      <c r="D136" s="717"/>
      <c r="E136" s="717"/>
      <c r="F136" s="1">
        <f t="shared" si="248"/>
        <v>26</v>
      </c>
      <c r="G136" s="70" t="str">
        <f t="shared" si="249"/>
        <v/>
      </c>
      <c r="H136" s="313"/>
      <c r="I136" s="313"/>
      <c r="J136" s="313"/>
      <c r="K136" s="313"/>
      <c r="L136" s="313"/>
      <c r="M136" s="313"/>
      <c r="N136" s="313"/>
      <c r="O136" s="313"/>
      <c r="P136" s="313"/>
      <c r="Q136" s="313"/>
      <c r="R136" s="313"/>
      <c r="S136" s="313"/>
      <c r="T136" s="313"/>
      <c r="U136" s="313"/>
      <c r="V136" s="313"/>
      <c r="W136" s="313"/>
      <c r="X136" s="313"/>
      <c r="Y136" s="313"/>
      <c r="Z136" s="313"/>
      <c r="AA136" s="439"/>
      <c r="AB136" s="898"/>
      <c r="AC136" s="5"/>
      <c r="AD136" s="5"/>
      <c r="AF136" s="5"/>
      <c r="AG136" s="5"/>
      <c r="AH136" s="5"/>
      <c r="AI136" s="5"/>
      <c r="AJ136" s="5"/>
    </row>
    <row r="137" spans="2:36" ht="23.25" customHeight="1" x14ac:dyDescent="0.2">
      <c r="B137" s="716"/>
      <c r="C137" s="717"/>
      <c r="D137" s="717"/>
      <c r="E137" s="717"/>
      <c r="F137" s="1">
        <f t="shared" si="248"/>
        <v>27</v>
      </c>
      <c r="G137" s="70" t="str">
        <f t="shared" si="249"/>
        <v/>
      </c>
      <c r="H137" s="95"/>
      <c r="I137" s="95"/>
      <c r="J137" s="95"/>
      <c r="K137" s="95"/>
      <c r="L137" s="95"/>
      <c r="M137" s="95"/>
      <c r="N137" s="95"/>
      <c r="O137" s="95"/>
      <c r="P137" s="95"/>
      <c r="Q137" s="95"/>
      <c r="R137" s="95"/>
      <c r="S137" s="95"/>
      <c r="T137" s="95"/>
      <c r="U137" s="95"/>
      <c r="V137" s="95"/>
      <c r="W137" s="95"/>
      <c r="X137" s="95"/>
      <c r="Y137" s="95"/>
      <c r="Z137" s="95"/>
      <c r="AA137" s="96"/>
      <c r="AB137" s="898"/>
      <c r="AC137" s="5"/>
      <c r="AD137" s="5"/>
      <c r="AF137" s="5"/>
      <c r="AG137" s="5"/>
      <c r="AH137" s="5"/>
      <c r="AI137" s="5"/>
      <c r="AJ137" s="5"/>
    </row>
    <row r="138" spans="2:36" ht="23.25" customHeight="1" x14ac:dyDescent="0.2">
      <c r="B138" s="716"/>
      <c r="C138" s="717"/>
      <c r="D138" s="717"/>
      <c r="E138" s="717"/>
      <c r="F138" s="1">
        <f t="shared" si="248"/>
        <v>28</v>
      </c>
      <c r="G138" s="70" t="str">
        <f t="shared" si="249"/>
        <v/>
      </c>
      <c r="H138" s="95"/>
      <c r="I138" s="95"/>
      <c r="J138" s="95"/>
      <c r="K138" s="95"/>
      <c r="L138" s="95"/>
      <c r="M138" s="95"/>
      <c r="N138" s="95"/>
      <c r="O138" s="95"/>
      <c r="P138" s="95"/>
      <c r="Q138" s="95"/>
      <c r="R138" s="95"/>
      <c r="S138" s="95"/>
      <c r="T138" s="95"/>
      <c r="U138" s="95"/>
      <c r="V138" s="95"/>
      <c r="W138" s="95"/>
      <c r="X138" s="95"/>
      <c r="Y138" s="95"/>
      <c r="Z138" s="95"/>
      <c r="AA138" s="96"/>
      <c r="AB138" s="898"/>
      <c r="AC138" s="5"/>
      <c r="AD138" s="5"/>
      <c r="AF138" s="5"/>
      <c r="AG138" s="5"/>
      <c r="AH138" s="5"/>
      <c r="AI138" s="5"/>
      <c r="AJ138" s="5"/>
    </row>
    <row r="139" spans="2:36" ht="23.25" customHeight="1" x14ac:dyDescent="0.2">
      <c r="B139" s="716"/>
      <c r="C139" s="717"/>
      <c r="D139" s="717"/>
      <c r="E139" s="717"/>
      <c r="F139" s="1">
        <f t="shared" si="248"/>
        <v>29</v>
      </c>
      <c r="G139" s="70" t="str">
        <f t="shared" si="249"/>
        <v/>
      </c>
      <c r="H139" s="95"/>
      <c r="I139" s="95"/>
      <c r="J139" s="95"/>
      <c r="K139" s="95"/>
      <c r="L139" s="95"/>
      <c r="M139" s="95"/>
      <c r="N139" s="95"/>
      <c r="O139" s="95"/>
      <c r="P139" s="95"/>
      <c r="Q139" s="95"/>
      <c r="R139" s="95"/>
      <c r="S139" s="95"/>
      <c r="T139" s="95"/>
      <c r="U139" s="95"/>
      <c r="V139" s="95"/>
      <c r="W139" s="95"/>
      <c r="X139" s="95"/>
      <c r="Y139" s="95"/>
      <c r="Z139" s="95"/>
      <c r="AA139" s="96"/>
      <c r="AB139" s="898"/>
      <c r="AC139" s="5"/>
      <c r="AD139" s="5"/>
      <c r="AF139" s="5"/>
      <c r="AG139" s="5"/>
      <c r="AH139" s="5"/>
      <c r="AI139" s="5"/>
      <c r="AJ139" s="5"/>
    </row>
    <row r="140" spans="2:36" ht="23.25" customHeight="1" x14ac:dyDescent="0.2">
      <c r="B140" s="716"/>
      <c r="C140" s="717"/>
      <c r="D140" s="717"/>
      <c r="E140" s="717"/>
      <c r="F140" s="1">
        <f t="shared" si="248"/>
        <v>30</v>
      </c>
      <c r="G140" s="70" t="str">
        <f t="shared" si="249"/>
        <v/>
      </c>
      <c r="H140" s="95"/>
      <c r="I140" s="95"/>
      <c r="J140" s="95"/>
      <c r="K140" s="95"/>
      <c r="L140" s="95"/>
      <c r="M140" s="95"/>
      <c r="N140" s="95"/>
      <c r="O140" s="95"/>
      <c r="P140" s="95"/>
      <c r="Q140" s="95"/>
      <c r="R140" s="95"/>
      <c r="S140" s="95"/>
      <c r="T140" s="95"/>
      <c r="U140" s="95"/>
      <c r="V140" s="95"/>
      <c r="W140" s="95"/>
      <c r="X140" s="95"/>
      <c r="Y140" s="95"/>
      <c r="Z140" s="95"/>
      <c r="AA140" s="96"/>
      <c r="AB140" s="898"/>
      <c r="AC140" s="5"/>
      <c r="AD140" s="5"/>
      <c r="AF140" s="5"/>
      <c r="AG140" s="5"/>
      <c r="AH140" s="5"/>
      <c r="AI140" s="5"/>
      <c r="AJ140" s="5"/>
    </row>
    <row r="141" spans="2:36" ht="23.25" customHeight="1" x14ac:dyDescent="0.2">
      <c r="B141" s="716"/>
      <c r="C141" s="717"/>
      <c r="D141" s="717"/>
      <c r="E141" s="717"/>
      <c r="F141" s="1">
        <f t="shared" si="248"/>
        <v>31</v>
      </c>
      <c r="G141" s="70" t="str">
        <f t="shared" si="249"/>
        <v/>
      </c>
      <c r="H141" s="95"/>
      <c r="I141" s="95"/>
      <c r="J141" s="95"/>
      <c r="K141" s="95"/>
      <c r="L141" s="95"/>
      <c r="M141" s="95"/>
      <c r="N141" s="95"/>
      <c r="O141" s="95"/>
      <c r="P141" s="95"/>
      <c r="Q141" s="95"/>
      <c r="R141" s="95"/>
      <c r="S141" s="95"/>
      <c r="T141" s="95"/>
      <c r="U141" s="95"/>
      <c r="V141" s="95"/>
      <c r="W141" s="95"/>
      <c r="X141" s="95"/>
      <c r="Y141" s="95"/>
      <c r="Z141" s="95"/>
      <c r="AA141" s="96"/>
      <c r="AB141" s="898"/>
      <c r="AC141" s="5"/>
      <c r="AD141" s="5"/>
      <c r="AF141" s="5"/>
      <c r="AG141" s="5"/>
      <c r="AH141" s="5"/>
      <c r="AI141" s="5"/>
      <c r="AJ141" s="5"/>
    </row>
    <row r="142" spans="2:36" ht="23.25" customHeight="1" x14ac:dyDescent="0.2">
      <c r="B142" s="716"/>
      <c r="C142" s="717"/>
      <c r="D142" s="717"/>
      <c r="E142" s="717"/>
      <c r="F142" s="1">
        <f t="shared" si="248"/>
        <v>32</v>
      </c>
      <c r="G142" s="70" t="str">
        <f t="shared" si="249"/>
        <v/>
      </c>
      <c r="H142" s="95"/>
      <c r="I142" s="95"/>
      <c r="J142" s="95"/>
      <c r="K142" s="95"/>
      <c r="L142" s="95"/>
      <c r="M142" s="95"/>
      <c r="N142" s="95"/>
      <c r="O142" s="95"/>
      <c r="P142" s="95"/>
      <c r="Q142" s="95"/>
      <c r="R142" s="95"/>
      <c r="S142" s="95"/>
      <c r="T142" s="95"/>
      <c r="U142" s="95"/>
      <c r="V142" s="95"/>
      <c r="W142" s="95"/>
      <c r="X142" s="95"/>
      <c r="Y142" s="95"/>
      <c r="Z142" s="95"/>
      <c r="AA142" s="96"/>
      <c r="AB142" s="898"/>
      <c r="AC142" s="5"/>
      <c r="AD142" s="5"/>
      <c r="AF142" s="5"/>
      <c r="AG142" s="5"/>
      <c r="AH142" s="5"/>
      <c r="AI142" s="5"/>
      <c r="AJ142" s="5"/>
    </row>
    <row r="143" spans="2:36" ht="23.25" customHeight="1" x14ac:dyDescent="0.2">
      <c r="B143" s="716"/>
      <c r="C143" s="717"/>
      <c r="D143" s="717"/>
      <c r="E143" s="717"/>
      <c r="F143" s="1">
        <f t="shared" si="248"/>
        <v>33</v>
      </c>
      <c r="G143" s="70" t="str">
        <f t="shared" ref="G143:G160" si="250">IF(G294&lt;&gt;"",G294,"")</f>
        <v/>
      </c>
      <c r="H143" s="95"/>
      <c r="I143" s="95"/>
      <c r="J143" s="95"/>
      <c r="K143" s="95"/>
      <c r="L143" s="95"/>
      <c r="M143" s="95"/>
      <c r="N143" s="95"/>
      <c r="O143" s="95"/>
      <c r="P143" s="95"/>
      <c r="Q143" s="95"/>
      <c r="R143" s="95"/>
      <c r="S143" s="95"/>
      <c r="T143" s="95"/>
      <c r="U143" s="95"/>
      <c r="V143" s="95"/>
      <c r="W143" s="95"/>
      <c r="X143" s="95"/>
      <c r="Y143" s="95"/>
      <c r="Z143" s="95"/>
      <c r="AA143" s="96"/>
      <c r="AB143" s="898"/>
      <c r="AC143" s="5"/>
      <c r="AD143" s="5"/>
      <c r="AF143" s="5"/>
      <c r="AG143" s="5"/>
      <c r="AH143" s="5"/>
      <c r="AI143" s="5"/>
      <c r="AJ143" s="5"/>
    </row>
    <row r="144" spans="2:36" ht="23.25" customHeight="1" x14ac:dyDescent="0.2">
      <c r="B144" s="716"/>
      <c r="C144" s="717"/>
      <c r="D144" s="717"/>
      <c r="E144" s="717"/>
      <c r="F144" s="1">
        <f t="shared" si="248"/>
        <v>34</v>
      </c>
      <c r="G144" s="70" t="str">
        <f t="shared" si="250"/>
        <v/>
      </c>
      <c r="H144" s="95"/>
      <c r="I144" s="95"/>
      <c r="J144" s="95"/>
      <c r="K144" s="95"/>
      <c r="L144" s="95"/>
      <c r="M144" s="95"/>
      <c r="N144" s="95"/>
      <c r="O144" s="95"/>
      <c r="P144" s="95"/>
      <c r="Q144" s="95"/>
      <c r="R144" s="95"/>
      <c r="S144" s="95"/>
      <c r="T144" s="95"/>
      <c r="U144" s="95"/>
      <c r="V144" s="95"/>
      <c r="W144" s="95"/>
      <c r="X144" s="95"/>
      <c r="Y144" s="95"/>
      <c r="Z144" s="95"/>
      <c r="AA144" s="96"/>
      <c r="AB144" s="898"/>
      <c r="AC144" s="5"/>
      <c r="AD144" s="5"/>
      <c r="AF144" s="5"/>
      <c r="AG144" s="5"/>
      <c r="AH144" s="5"/>
      <c r="AI144" s="5"/>
      <c r="AJ144" s="5"/>
    </row>
    <row r="145" spans="2:36" ht="23.25" customHeight="1" x14ac:dyDescent="0.2">
      <c r="B145" s="716"/>
      <c r="C145" s="717"/>
      <c r="D145" s="717"/>
      <c r="E145" s="717"/>
      <c r="F145" s="1">
        <f t="shared" si="248"/>
        <v>35</v>
      </c>
      <c r="G145" s="70" t="str">
        <f t="shared" si="250"/>
        <v/>
      </c>
      <c r="H145" s="313"/>
      <c r="I145" s="313"/>
      <c r="J145" s="313"/>
      <c r="K145" s="313"/>
      <c r="L145" s="313"/>
      <c r="M145" s="313"/>
      <c r="N145" s="313"/>
      <c r="O145" s="313"/>
      <c r="P145" s="313"/>
      <c r="Q145" s="313"/>
      <c r="R145" s="313"/>
      <c r="S145" s="313"/>
      <c r="T145" s="313"/>
      <c r="U145" s="313"/>
      <c r="V145" s="313"/>
      <c r="W145" s="313"/>
      <c r="X145" s="313"/>
      <c r="Y145" s="313"/>
      <c r="Z145" s="313"/>
      <c r="AA145" s="439"/>
      <c r="AB145" s="898"/>
      <c r="AC145" s="5"/>
      <c r="AD145" s="5"/>
      <c r="AF145" s="5"/>
      <c r="AG145" s="5"/>
      <c r="AH145" s="5"/>
      <c r="AI145" s="5"/>
      <c r="AJ145" s="5"/>
    </row>
    <row r="146" spans="2:36" ht="23.25" customHeight="1" x14ac:dyDescent="0.2">
      <c r="B146" s="716"/>
      <c r="C146" s="717"/>
      <c r="D146" s="717"/>
      <c r="E146" s="717"/>
      <c r="F146" s="1">
        <f t="shared" si="248"/>
        <v>36</v>
      </c>
      <c r="G146" s="70" t="str">
        <f t="shared" si="250"/>
        <v/>
      </c>
      <c r="H146" s="313"/>
      <c r="I146" s="313"/>
      <c r="J146" s="313"/>
      <c r="K146" s="313"/>
      <c r="L146" s="313"/>
      <c r="M146" s="313"/>
      <c r="N146" s="313"/>
      <c r="O146" s="313"/>
      <c r="P146" s="313"/>
      <c r="Q146" s="313"/>
      <c r="R146" s="313"/>
      <c r="S146" s="313"/>
      <c r="T146" s="313"/>
      <c r="U146" s="313"/>
      <c r="V146" s="313"/>
      <c r="W146" s="313"/>
      <c r="X146" s="313"/>
      <c r="Y146" s="313"/>
      <c r="Z146" s="313"/>
      <c r="AA146" s="439"/>
      <c r="AB146" s="898"/>
      <c r="AC146" s="5"/>
      <c r="AD146" s="5"/>
      <c r="AF146" s="5"/>
      <c r="AG146" s="5"/>
      <c r="AH146" s="5"/>
      <c r="AI146" s="5"/>
      <c r="AJ146" s="5"/>
    </row>
    <row r="147" spans="2:36" ht="23.25" customHeight="1" x14ac:dyDescent="0.2">
      <c r="B147" s="716"/>
      <c r="C147" s="717"/>
      <c r="D147" s="717"/>
      <c r="E147" s="717"/>
      <c r="F147" s="1">
        <f t="shared" si="248"/>
        <v>37</v>
      </c>
      <c r="G147" s="70" t="str">
        <f t="shared" si="250"/>
        <v/>
      </c>
      <c r="H147" s="313"/>
      <c r="I147" s="313"/>
      <c r="J147" s="313"/>
      <c r="K147" s="313"/>
      <c r="L147" s="313"/>
      <c r="M147" s="313"/>
      <c r="N147" s="313"/>
      <c r="O147" s="313"/>
      <c r="P147" s="313"/>
      <c r="Q147" s="313"/>
      <c r="R147" s="313"/>
      <c r="S147" s="313"/>
      <c r="T147" s="313"/>
      <c r="U147" s="313"/>
      <c r="V147" s="313"/>
      <c r="W147" s="313"/>
      <c r="X147" s="313"/>
      <c r="Y147" s="313"/>
      <c r="Z147" s="313"/>
      <c r="AA147" s="439"/>
      <c r="AB147" s="898"/>
      <c r="AC147" s="5"/>
      <c r="AD147" s="5"/>
      <c r="AF147" s="5"/>
      <c r="AG147" s="5"/>
      <c r="AH147" s="5"/>
      <c r="AI147" s="5"/>
      <c r="AJ147" s="5"/>
    </row>
    <row r="148" spans="2:36" ht="23.25" customHeight="1" x14ac:dyDescent="0.2">
      <c r="B148" s="716"/>
      <c r="C148" s="717"/>
      <c r="D148" s="717"/>
      <c r="E148" s="717"/>
      <c r="F148" s="1">
        <f t="shared" si="248"/>
        <v>38</v>
      </c>
      <c r="G148" s="70" t="str">
        <f t="shared" si="250"/>
        <v/>
      </c>
      <c r="H148" s="313"/>
      <c r="I148" s="313"/>
      <c r="J148" s="313"/>
      <c r="K148" s="313"/>
      <c r="L148" s="313"/>
      <c r="M148" s="313"/>
      <c r="N148" s="313"/>
      <c r="O148" s="313"/>
      <c r="P148" s="313"/>
      <c r="Q148" s="313"/>
      <c r="R148" s="313"/>
      <c r="S148" s="313"/>
      <c r="T148" s="313"/>
      <c r="U148" s="313"/>
      <c r="V148" s="313"/>
      <c r="W148" s="313"/>
      <c r="X148" s="313"/>
      <c r="Y148" s="313"/>
      <c r="Z148" s="313"/>
      <c r="AA148" s="439"/>
      <c r="AB148" s="898"/>
      <c r="AC148" s="5"/>
      <c r="AD148" s="5"/>
      <c r="AF148" s="5"/>
      <c r="AG148" s="5"/>
      <c r="AH148" s="5"/>
      <c r="AI148" s="5"/>
      <c r="AJ148" s="5"/>
    </row>
    <row r="149" spans="2:36" ht="23.25" customHeight="1" x14ac:dyDescent="0.2">
      <c r="B149" s="716"/>
      <c r="C149" s="717"/>
      <c r="D149" s="717"/>
      <c r="E149" s="717"/>
      <c r="F149" s="1">
        <f t="shared" si="248"/>
        <v>39</v>
      </c>
      <c r="G149" s="70" t="str">
        <f t="shared" si="250"/>
        <v/>
      </c>
      <c r="H149" s="313"/>
      <c r="I149" s="313"/>
      <c r="J149" s="313"/>
      <c r="K149" s="313"/>
      <c r="L149" s="313"/>
      <c r="M149" s="313"/>
      <c r="N149" s="313"/>
      <c r="O149" s="313"/>
      <c r="P149" s="313"/>
      <c r="Q149" s="313"/>
      <c r="R149" s="313"/>
      <c r="S149" s="313"/>
      <c r="T149" s="313"/>
      <c r="U149" s="313"/>
      <c r="V149" s="313"/>
      <c r="W149" s="313"/>
      <c r="X149" s="313"/>
      <c r="Y149" s="313"/>
      <c r="Z149" s="313"/>
      <c r="AA149" s="439"/>
      <c r="AB149" s="898"/>
      <c r="AC149" s="5"/>
      <c r="AD149" s="5"/>
      <c r="AF149" s="5"/>
      <c r="AG149" s="5"/>
      <c r="AH149" s="5"/>
      <c r="AI149" s="5"/>
      <c r="AJ149" s="5"/>
    </row>
    <row r="150" spans="2:36" ht="23.25" customHeight="1" x14ac:dyDescent="0.2">
      <c r="B150" s="716"/>
      <c r="C150" s="717"/>
      <c r="D150" s="717"/>
      <c r="E150" s="717"/>
      <c r="F150" s="1">
        <f t="shared" si="248"/>
        <v>40</v>
      </c>
      <c r="G150" s="70" t="str">
        <f t="shared" si="250"/>
        <v/>
      </c>
      <c r="H150" s="313"/>
      <c r="I150" s="313"/>
      <c r="J150" s="313"/>
      <c r="K150" s="313"/>
      <c r="L150" s="313"/>
      <c r="M150" s="313"/>
      <c r="N150" s="313"/>
      <c r="O150" s="313"/>
      <c r="P150" s="313"/>
      <c r="Q150" s="313"/>
      <c r="R150" s="313"/>
      <c r="S150" s="313"/>
      <c r="T150" s="313"/>
      <c r="U150" s="313"/>
      <c r="V150" s="313"/>
      <c r="W150" s="313"/>
      <c r="X150" s="313"/>
      <c r="Y150" s="313"/>
      <c r="Z150" s="313"/>
      <c r="AA150" s="439"/>
      <c r="AB150" s="898"/>
      <c r="AC150" s="5"/>
      <c r="AD150" s="5"/>
      <c r="AF150" s="5"/>
      <c r="AG150" s="5"/>
      <c r="AH150" s="5"/>
      <c r="AI150" s="5"/>
      <c r="AJ150" s="5"/>
    </row>
    <row r="151" spans="2:36" ht="23.25" customHeight="1" x14ac:dyDescent="0.2">
      <c r="B151" s="716"/>
      <c r="C151" s="717"/>
      <c r="D151" s="717"/>
      <c r="E151" s="717"/>
      <c r="F151" s="1">
        <f t="shared" si="248"/>
        <v>41</v>
      </c>
      <c r="G151" s="70" t="str">
        <f t="shared" si="250"/>
        <v/>
      </c>
      <c r="H151" s="95"/>
      <c r="I151" s="95"/>
      <c r="J151" s="95"/>
      <c r="K151" s="95"/>
      <c r="L151" s="95"/>
      <c r="M151" s="95"/>
      <c r="N151" s="95"/>
      <c r="O151" s="95"/>
      <c r="P151" s="95"/>
      <c r="Q151" s="95"/>
      <c r="R151" s="95"/>
      <c r="S151" s="95"/>
      <c r="T151" s="95"/>
      <c r="U151" s="95"/>
      <c r="V151" s="95"/>
      <c r="W151" s="95"/>
      <c r="X151" s="95"/>
      <c r="Y151" s="95"/>
      <c r="Z151" s="95"/>
      <c r="AA151" s="96"/>
      <c r="AB151" s="898"/>
      <c r="AC151" s="5"/>
      <c r="AD151" s="5"/>
      <c r="AF151" s="5"/>
      <c r="AG151" s="5"/>
      <c r="AH151" s="5"/>
      <c r="AI151" s="5"/>
      <c r="AJ151" s="5"/>
    </row>
    <row r="152" spans="2:36" ht="23.25" customHeight="1" x14ac:dyDescent="0.2">
      <c r="B152" s="716"/>
      <c r="C152" s="717"/>
      <c r="D152" s="717"/>
      <c r="E152" s="717"/>
      <c r="F152" s="1">
        <f t="shared" si="248"/>
        <v>42</v>
      </c>
      <c r="G152" s="70" t="str">
        <f t="shared" si="250"/>
        <v/>
      </c>
      <c r="H152" s="95"/>
      <c r="I152" s="95"/>
      <c r="J152" s="95"/>
      <c r="K152" s="95"/>
      <c r="L152" s="95"/>
      <c r="M152" s="95"/>
      <c r="N152" s="95"/>
      <c r="O152" s="95"/>
      <c r="P152" s="95"/>
      <c r="Q152" s="95"/>
      <c r="R152" s="95"/>
      <c r="S152" s="95"/>
      <c r="T152" s="95"/>
      <c r="U152" s="95"/>
      <c r="V152" s="95"/>
      <c r="W152" s="95"/>
      <c r="X152" s="95"/>
      <c r="Y152" s="95"/>
      <c r="Z152" s="95"/>
      <c r="AA152" s="96"/>
      <c r="AB152" s="898"/>
      <c r="AC152" s="5"/>
      <c r="AD152" s="5"/>
      <c r="AF152" s="5"/>
      <c r="AG152" s="5"/>
      <c r="AH152" s="5"/>
      <c r="AI152" s="5"/>
      <c r="AJ152" s="5"/>
    </row>
    <row r="153" spans="2:36" ht="23.25" customHeight="1" x14ac:dyDescent="0.2">
      <c r="B153" s="716"/>
      <c r="C153" s="717"/>
      <c r="D153" s="717"/>
      <c r="E153" s="717"/>
      <c r="F153" s="1">
        <f t="shared" si="248"/>
        <v>43</v>
      </c>
      <c r="G153" s="70" t="str">
        <f t="shared" si="250"/>
        <v/>
      </c>
      <c r="H153" s="95"/>
      <c r="I153" s="95"/>
      <c r="J153" s="95"/>
      <c r="K153" s="95"/>
      <c r="L153" s="95"/>
      <c r="M153" s="95"/>
      <c r="N153" s="95"/>
      <c r="O153" s="95"/>
      <c r="P153" s="95"/>
      <c r="Q153" s="95"/>
      <c r="R153" s="95"/>
      <c r="S153" s="95"/>
      <c r="T153" s="95"/>
      <c r="U153" s="95"/>
      <c r="V153" s="95"/>
      <c r="W153" s="95"/>
      <c r="X153" s="95"/>
      <c r="Y153" s="95"/>
      <c r="Z153" s="95"/>
      <c r="AA153" s="96"/>
      <c r="AB153" s="898"/>
      <c r="AC153" s="5"/>
      <c r="AD153" s="5"/>
      <c r="AF153" s="5"/>
      <c r="AG153" s="5"/>
      <c r="AH153" s="5"/>
      <c r="AI153" s="5"/>
      <c r="AJ153" s="5"/>
    </row>
    <row r="154" spans="2:36" ht="23.25" customHeight="1" x14ac:dyDescent="0.2">
      <c r="B154" s="716"/>
      <c r="C154" s="717"/>
      <c r="D154" s="717"/>
      <c r="E154" s="717"/>
      <c r="F154" s="1">
        <f t="shared" si="248"/>
        <v>44</v>
      </c>
      <c r="G154" s="70" t="str">
        <f t="shared" si="250"/>
        <v/>
      </c>
      <c r="H154" s="95"/>
      <c r="I154" s="95"/>
      <c r="J154" s="95"/>
      <c r="K154" s="95"/>
      <c r="L154" s="95"/>
      <c r="M154" s="95"/>
      <c r="N154" s="95"/>
      <c r="O154" s="95"/>
      <c r="P154" s="95"/>
      <c r="Q154" s="95"/>
      <c r="R154" s="95"/>
      <c r="S154" s="95"/>
      <c r="T154" s="95"/>
      <c r="U154" s="95"/>
      <c r="V154" s="95"/>
      <c r="W154" s="95"/>
      <c r="X154" s="95"/>
      <c r="Y154" s="95"/>
      <c r="Z154" s="95"/>
      <c r="AA154" s="96"/>
      <c r="AB154" s="898"/>
      <c r="AC154" s="5"/>
      <c r="AD154" s="5"/>
      <c r="AF154" s="5"/>
      <c r="AG154" s="5"/>
      <c r="AH154" s="5"/>
      <c r="AI154" s="5"/>
      <c r="AJ154" s="5"/>
    </row>
    <row r="155" spans="2:36" ht="23.25" customHeight="1" x14ac:dyDescent="0.2">
      <c r="B155" s="716"/>
      <c r="C155" s="717"/>
      <c r="D155" s="717"/>
      <c r="E155" s="717"/>
      <c r="F155" s="1">
        <f t="shared" si="248"/>
        <v>45</v>
      </c>
      <c r="G155" s="70" t="str">
        <f t="shared" si="250"/>
        <v/>
      </c>
      <c r="H155" s="95"/>
      <c r="I155" s="95"/>
      <c r="J155" s="95"/>
      <c r="K155" s="95"/>
      <c r="L155" s="95"/>
      <c r="M155" s="95"/>
      <c r="N155" s="95"/>
      <c r="O155" s="95"/>
      <c r="P155" s="95"/>
      <c r="Q155" s="95"/>
      <c r="R155" s="95"/>
      <c r="S155" s="95"/>
      <c r="T155" s="95"/>
      <c r="U155" s="95"/>
      <c r="V155" s="95"/>
      <c r="W155" s="95"/>
      <c r="X155" s="95"/>
      <c r="Y155" s="95"/>
      <c r="Z155" s="95"/>
      <c r="AA155" s="96"/>
      <c r="AB155" s="898"/>
      <c r="AC155" s="5"/>
      <c r="AD155" s="5"/>
      <c r="AF155" s="5"/>
      <c r="AG155" s="5"/>
      <c r="AH155" s="5"/>
      <c r="AI155" s="5"/>
      <c r="AJ155" s="5"/>
    </row>
    <row r="156" spans="2:36" ht="23.25" customHeight="1" x14ac:dyDescent="0.2">
      <c r="B156" s="716"/>
      <c r="C156" s="717"/>
      <c r="D156" s="717"/>
      <c r="E156" s="717"/>
      <c r="F156" s="1">
        <f t="shared" si="248"/>
        <v>46</v>
      </c>
      <c r="G156" s="70" t="str">
        <f t="shared" si="250"/>
        <v/>
      </c>
      <c r="H156" s="95"/>
      <c r="I156" s="95"/>
      <c r="J156" s="95"/>
      <c r="K156" s="95"/>
      <c r="L156" s="95"/>
      <c r="M156" s="95"/>
      <c r="N156" s="95"/>
      <c r="O156" s="95"/>
      <c r="P156" s="95"/>
      <c r="Q156" s="95"/>
      <c r="R156" s="95"/>
      <c r="S156" s="95"/>
      <c r="T156" s="95"/>
      <c r="U156" s="95"/>
      <c r="V156" s="95"/>
      <c r="W156" s="95"/>
      <c r="X156" s="95"/>
      <c r="Y156" s="95"/>
      <c r="Z156" s="95"/>
      <c r="AA156" s="96"/>
      <c r="AB156" s="898"/>
      <c r="AC156" s="5"/>
      <c r="AD156" s="5"/>
      <c r="AF156" s="5"/>
      <c r="AG156" s="5"/>
      <c r="AH156" s="5"/>
      <c r="AI156" s="5"/>
      <c r="AJ156" s="5"/>
    </row>
    <row r="157" spans="2:36" ht="23.25" customHeight="1" x14ac:dyDescent="0.2">
      <c r="B157" s="716"/>
      <c r="C157" s="717"/>
      <c r="D157" s="717"/>
      <c r="E157" s="717"/>
      <c r="F157" s="1">
        <f t="shared" si="248"/>
        <v>47</v>
      </c>
      <c r="G157" s="70" t="str">
        <f t="shared" si="250"/>
        <v/>
      </c>
      <c r="H157" s="95"/>
      <c r="I157" s="95"/>
      <c r="J157" s="95"/>
      <c r="K157" s="95"/>
      <c r="L157" s="95"/>
      <c r="M157" s="95"/>
      <c r="N157" s="95"/>
      <c r="O157" s="95"/>
      <c r="P157" s="95"/>
      <c r="Q157" s="95"/>
      <c r="R157" s="95"/>
      <c r="S157" s="95"/>
      <c r="T157" s="95"/>
      <c r="U157" s="95"/>
      <c r="V157" s="95"/>
      <c r="W157" s="95"/>
      <c r="X157" s="95"/>
      <c r="Y157" s="95"/>
      <c r="Z157" s="95"/>
      <c r="AA157" s="96"/>
      <c r="AB157" s="898"/>
      <c r="AC157" s="5"/>
      <c r="AD157" s="5"/>
      <c r="AF157" s="5"/>
      <c r="AG157" s="5"/>
      <c r="AH157" s="5"/>
      <c r="AI157" s="5"/>
      <c r="AJ157" s="5"/>
    </row>
    <row r="158" spans="2:36" ht="23.25" customHeight="1" x14ac:dyDescent="0.2">
      <c r="B158" s="716"/>
      <c r="C158" s="717"/>
      <c r="D158" s="717"/>
      <c r="E158" s="717"/>
      <c r="F158" s="1">
        <f t="shared" si="248"/>
        <v>48</v>
      </c>
      <c r="G158" s="70" t="str">
        <f t="shared" si="250"/>
        <v/>
      </c>
      <c r="H158" s="95"/>
      <c r="I158" s="95"/>
      <c r="J158" s="95"/>
      <c r="K158" s="95"/>
      <c r="L158" s="95"/>
      <c r="M158" s="95"/>
      <c r="N158" s="95"/>
      <c r="O158" s="95"/>
      <c r="P158" s="95"/>
      <c r="Q158" s="95"/>
      <c r="R158" s="95"/>
      <c r="S158" s="95"/>
      <c r="T158" s="95"/>
      <c r="U158" s="95"/>
      <c r="V158" s="95"/>
      <c r="W158" s="95"/>
      <c r="X158" s="95"/>
      <c r="Y158" s="95"/>
      <c r="Z158" s="95"/>
      <c r="AA158" s="96"/>
      <c r="AB158" s="898"/>
      <c r="AC158" s="5"/>
      <c r="AD158" s="5"/>
      <c r="AF158" s="5"/>
      <c r="AG158" s="5"/>
      <c r="AH158" s="5"/>
      <c r="AI158" s="5"/>
      <c r="AJ158" s="5"/>
    </row>
    <row r="159" spans="2:36" ht="23.25" customHeight="1" x14ac:dyDescent="0.2">
      <c r="B159" s="716"/>
      <c r="C159" s="717"/>
      <c r="D159" s="717"/>
      <c r="E159" s="717"/>
      <c r="F159" s="1">
        <f t="shared" si="248"/>
        <v>49</v>
      </c>
      <c r="G159" s="70" t="str">
        <f t="shared" si="250"/>
        <v/>
      </c>
      <c r="H159" s="95"/>
      <c r="I159" s="95"/>
      <c r="J159" s="95"/>
      <c r="K159" s="95"/>
      <c r="L159" s="95"/>
      <c r="M159" s="95"/>
      <c r="N159" s="95"/>
      <c r="O159" s="95"/>
      <c r="P159" s="95"/>
      <c r="Q159" s="95"/>
      <c r="R159" s="95"/>
      <c r="S159" s="95"/>
      <c r="T159" s="95"/>
      <c r="U159" s="95"/>
      <c r="V159" s="95"/>
      <c r="W159" s="95"/>
      <c r="X159" s="95"/>
      <c r="Y159" s="95"/>
      <c r="Z159" s="95"/>
      <c r="AA159" s="96"/>
      <c r="AB159" s="898"/>
      <c r="AC159" s="5"/>
      <c r="AD159" s="5"/>
      <c r="AF159" s="5"/>
      <c r="AG159" s="5"/>
      <c r="AH159" s="5"/>
      <c r="AI159" s="5"/>
      <c r="AJ159" s="5"/>
    </row>
    <row r="160" spans="2:36" ht="23.25" customHeight="1" thickBot="1" x14ac:dyDescent="0.25">
      <c r="B160" s="716"/>
      <c r="C160" s="717"/>
      <c r="D160" s="717"/>
      <c r="E160" s="717"/>
      <c r="F160" s="101">
        <f t="shared" si="248"/>
        <v>50</v>
      </c>
      <c r="G160" s="102" t="str">
        <f t="shared" si="250"/>
        <v/>
      </c>
      <c r="H160" s="103"/>
      <c r="I160" s="103"/>
      <c r="J160" s="103"/>
      <c r="K160" s="103"/>
      <c r="L160" s="103"/>
      <c r="M160" s="103"/>
      <c r="N160" s="103"/>
      <c r="O160" s="103"/>
      <c r="P160" s="103"/>
      <c r="Q160" s="103"/>
      <c r="R160" s="103"/>
      <c r="S160" s="103"/>
      <c r="T160" s="103"/>
      <c r="U160" s="103"/>
      <c r="V160" s="103"/>
      <c r="W160" s="103"/>
      <c r="X160" s="103"/>
      <c r="Y160" s="103"/>
      <c r="Z160" s="103"/>
      <c r="AA160" s="104"/>
      <c r="AB160" s="898"/>
      <c r="AC160" s="5"/>
      <c r="AD160" s="5"/>
      <c r="AF160" s="5"/>
      <c r="AG160" s="5"/>
      <c r="AH160" s="5"/>
      <c r="AI160" s="5"/>
      <c r="AJ160" s="5"/>
    </row>
    <row r="161" spans="2:128" ht="23.25" customHeight="1" x14ac:dyDescent="0.2">
      <c r="B161" s="716"/>
      <c r="C161" s="717"/>
      <c r="D161" s="717"/>
      <c r="E161" s="717"/>
      <c r="F161" s="873" t="s">
        <v>695</v>
      </c>
      <c r="G161" s="874"/>
      <c r="H161" s="440" t="s">
        <v>833</v>
      </c>
      <c r="I161" s="441" t="s">
        <v>834</v>
      </c>
      <c r="J161" s="441" t="s">
        <v>915</v>
      </c>
      <c r="K161" s="441" t="s">
        <v>916</v>
      </c>
      <c r="L161" s="441"/>
      <c r="M161" s="20"/>
      <c r="N161" s="20"/>
      <c r="O161" s="20"/>
      <c r="P161" s="442"/>
      <c r="Q161" s="443"/>
      <c r="R161" s="442"/>
      <c r="S161" s="442"/>
      <c r="T161" s="443"/>
      <c r="U161" s="443"/>
      <c r="V161" s="443"/>
      <c r="W161" s="443"/>
      <c r="X161" s="443"/>
      <c r="Y161" s="443"/>
      <c r="Z161" s="443"/>
      <c r="AA161" s="58"/>
      <c r="AB161" s="898"/>
      <c r="AC161" s="5"/>
      <c r="AD161" s="5"/>
      <c r="AF161" s="5"/>
      <c r="AG161" s="5"/>
      <c r="AH161" s="5"/>
      <c r="AI161" s="5"/>
      <c r="AJ161" s="5"/>
    </row>
    <row r="162" spans="2:128" ht="23.25" customHeight="1" x14ac:dyDescent="0.2">
      <c r="B162" s="716"/>
      <c r="C162" s="717"/>
      <c r="D162" s="717"/>
      <c r="E162" s="717"/>
      <c r="F162" s="875" t="s">
        <v>11</v>
      </c>
      <c r="G162" s="876"/>
      <c r="H162" s="66">
        <f t="shared" ref="H162:AA162" si="251">IF(H109&lt;&gt;"",H109,"")</f>
        <v>6</v>
      </c>
      <c r="I162" s="66">
        <f t="shared" si="251"/>
        <v>8</v>
      </c>
      <c r="J162" s="66">
        <f t="shared" si="251"/>
        <v>10</v>
      </c>
      <c r="K162" s="66">
        <f t="shared" si="251"/>
        <v>9</v>
      </c>
      <c r="L162" s="66" t="str">
        <f t="shared" si="251"/>
        <v/>
      </c>
      <c r="M162" s="66" t="str">
        <f t="shared" si="251"/>
        <v/>
      </c>
      <c r="N162" s="66" t="str">
        <f t="shared" si="251"/>
        <v/>
      </c>
      <c r="O162" s="66" t="str">
        <f t="shared" si="251"/>
        <v/>
      </c>
      <c r="P162" s="66" t="str">
        <f t="shared" si="251"/>
        <v/>
      </c>
      <c r="Q162" s="66" t="str">
        <f t="shared" si="251"/>
        <v/>
      </c>
      <c r="R162" s="66" t="str">
        <f t="shared" si="251"/>
        <v/>
      </c>
      <c r="S162" s="66" t="str">
        <f t="shared" si="251"/>
        <v/>
      </c>
      <c r="T162" s="66" t="str">
        <f t="shared" si="251"/>
        <v/>
      </c>
      <c r="U162" s="66" t="str">
        <f t="shared" si="251"/>
        <v/>
      </c>
      <c r="V162" s="66" t="str">
        <f t="shared" si="251"/>
        <v/>
      </c>
      <c r="W162" s="66" t="str">
        <f t="shared" si="251"/>
        <v/>
      </c>
      <c r="X162" s="66" t="str">
        <f t="shared" si="251"/>
        <v/>
      </c>
      <c r="Y162" s="66" t="str">
        <f t="shared" si="251"/>
        <v/>
      </c>
      <c r="Z162" s="66" t="str">
        <f t="shared" si="251"/>
        <v/>
      </c>
      <c r="AA162" s="67" t="str">
        <f t="shared" si="251"/>
        <v/>
      </c>
      <c r="AB162" s="898"/>
      <c r="AC162" s="5"/>
      <c r="AD162" s="5"/>
      <c r="AF162" s="5"/>
      <c r="AG162" s="5"/>
      <c r="AH162" s="5"/>
      <c r="AI162" s="5"/>
      <c r="AJ162" s="5"/>
    </row>
    <row r="163" spans="2:128" ht="23.25" customHeight="1" x14ac:dyDescent="0.2">
      <c r="B163" s="716"/>
      <c r="C163" s="717"/>
      <c r="D163" s="717"/>
      <c r="E163" s="717"/>
      <c r="F163" s="877" t="s">
        <v>1233</v>
      </c>
      <c r="G163" s="878"/>
      <c r="H163" s="66">
        <v>0.95</v>
      </c>
      <c r="I163" s="129">
        <v>1</v>
      </c>
      <c r="J163" s="56">
        <v>1</v>
      </c>
      <c r="K163" s="56">
        <v>1</v>
      </c>
      <c r="L163" s="313"/>
      <c r="M163" s="313"/>
      <c r="N163" s="313"/>
      <c r="O163" s="313"/>
      <c r="P163" s="438"/>
      <c r="Q163" s="57"/>
      <c r="R163" s="438"/>
      <c r="S163" s="438"/>
      <c r="T163" s="57"/>
      <c r="U163" s="57"/>
      <c r="V163" s="57"/>
      <c r="W163" s="57"/>
      <c r="X163" s="57"/>
      <c r="Y163" s="57"/>
      <c r="Z163" s="57"/>
      <c r="AA163" s="2"/>
      <c r="AB163" s="898"/>
      <c r="AC163" s="5"/>
      <c r="AD163" s="5"/>
      <c r="AF163" s="5"/>
      <c r="AG163" s="5"/>
      <c r="AH163" s="5"/>
      <c r="AI163" s="5"/>
      <c r="AJ163" s="5"/>
    </row>
    <row r="164" spans="2:128" ht="23.25" customHeight="1" x14ac:dyDescent="0.2">
      <c r="B164" s="716"/>
      <c r="C164" s="717"/>
      <c r="D164" s="717"/>
      <c r="E164" s="717"/>
      <c r="F164" s="879" t="s">
        <v>770</v>
      </c>
      <c r="G164" s="859"/>
      <c r="H164" s="59">
        <v>60</v>
      </c>
      <c r="I164" s="129">
        <v>60</v>
      </c>
      <c r="J164" s="56">
        <v>70</v>
      </c>
      <c r="K164" s="56">
        <v>44.8</v>
      </c>
      <c r="L164" s="313"/>
      <c r="M164" s="313"/>
      <c r="N164" s="313"/>
      <c r="O164" s="313"/>
      <c r="P164" s="438"/>
      <c r="Q164" s="57"/>
      <c r="R164" s="438"/>
      <c r="S164" s="438"/>
      <c r="T164" s="57"/>
      <c r="U164" s="57"/>
      <c r="V164" s="57"/>
      <c r="W164" s="57"/>
      <c r="X164" s="57"/>
      <c r="Y164" s="57"/>
      <c r="Z164" s="57"/>
      <c r="AA164" s="2"/>
      <c r="AB164" s="898"/>
      <c r="AC164" s="5"/>
      <c r="AD164" s="5"/>
      <c r="AF164" s="5"/>
      <c r="AG164" s="5"/>
      <c r="AH164" s="5"/>
      <c r="AI164" s="5"/>
      <c r="AJ164" s="5"/>
    </row>
    <row r="165" spans="2:128" ht="23.25" customHeight="1" x14ac:dyDescent="0.2">
      <c r="B165" s="716"/>
      <c r="C165" s="717"/>
      <c r="D165" s="717"/>
      <c r="E165" s="717"/>
      <c r="F165" s="879" t="s">
        <v>771</v>
      </c>
      <c r="G165" s="859"/>
      <c r="H165" s="59">
        <v>400</v>
      </c>
      <c r="I165" s="129">
        <v>100</v>
      </c>
      <c r="J165" s="56">
        <v>390</v>
      </c>
      <c r="K165" s="56">
        <v>100</v>
      </c>
      <c r="L165" s="313"/>
      <c r="M165" s="313"/>
      <c r="N165" s="313"/>
      <c r="O165" s="313"/>
      <c r="P165" s="438"/>
      <c r="Q165" s="57"/>
      <c r="R165" s="438"/>
      <c r="S165" s="438"/>
      <c r="T165" s="57"/>
      <c r="U165" s="57"/>
      <c r="V165" s="57"/>
      <c r="W165" s="57"/>
      <c r="X165" s="57"/>
      <c r="Y165" s="57"/>
      <c r="Z165" s="57"/>
      <c r="AA165" s="2"/>
      <c r="AB165" s="898"/>
      <c r="AC165" s="5"/>
      <c r="AD165" s="5"/>
      <c r="AF165" s="5"/>
      <c r="AG165" s="5"/>
      <c r="AH165" s="5"/>
      <c r="AI165" s="5"/>
      <c r="AJ165" s="5"/>
    </row>
    <row r="166" spans="2:128" ht="23.25" customHeight="1" thickBot="1" x14ac:dyDescent="0.3">
      <c r="B166" s="716"/>
      <c r="C166" s="717"/>
      <c r="D166" s="717"/>
      <c r="E166" s="717"/>
      <c r="F166" s="880" t="s">
        <v>942</v>
      </c>
      <c r="G166" s="881"/>
      <c r="H166" s="71">
        <f>IF('II. Equipment &amp; Cost Data'!E107&lt;&gt;"",'II. Equipment &amp; Cost Data'!E107,"")</f>
        <v>397.74200000000002</v>
      </c>
      <c r="I166" s="71">
        <f>IF('II. Equipment &amp; Cost Data'!F107&lt;&gt;"",'II. Equipment &amp; Cost Data'!F107,"")</f>
        <v>28.070900000000002</v>
      </c>
      <c r="J166" s="71">
        <f>IF('II. Equipment &amp; Cost Data'!G107&lt;&gt;"",'II. Equipment &amp; Cost Data'!G107,"")</f>
        <v>1.0980000000000001</v>
      </c>
      <c r="K166" s="71">
        <f>IF('II. Equipment &amp; Cost Data'!H107&lt;&gt;"",'II. Equipment &amp; Cost Data'!H107,"")</f>
        <v>39.200000000000003</v>
      </c>
      <c r="L166" s="71" t="str">
        <f>IF('II. Equipment &amp; Cost Data'!I107&lt;&gt;"",'II. Equipment &amp; Cost Data'!I107,"")</f>
        <v/>
      </c>
      <c r="M166" s="71" t="str">
        <f>IF('II. Equipment &amp; Cost Data'!J107&lt;&gt;"",'II. Equipment &amp; Cost Data'!J107,"")</f>
        <v/>
      </c>
      <c r="N166" s="71" t="str">
        <f>IF('II. Equipment &amp; Cost Data'!K107&lt;&gt;"",'II. Equipment &amp; Cost Data'!K107,"")</f>
        <v/>
      </c>
      <c r="O166" s="71" t="str">
        <f>IF('II. Equipment &amp; Cost Data'!L107&lt;&gt;"",'II. Equipment &amp; Cost Data'!L107,"")</f>
        <v/>
      </c>
      <c r="P166" s="71" t="str">
        <f>IF('II. Equipment &amp; Cost Data'!M107&lt;&gt;"",'II. Equipment &amp; Cost Data'!M107,"")</f>
        <v/>
      </c>
      <c r="Q166" s="71" t="str">
        <f>IF('II. Equipment &amp; Cost Data'!N107&lt;&gt;"",'II. Equipment &amp; Cost Data'!N107,"")</f>
        <v/>
      </c>
      <c r="R166" s="71" t="str">
        <f>IF('II. Equipment &amp; Cost Data'!O107&lt;&gt;"",'II. Equipment &amp; Cost Data'!O107,"")</f>
        <v/>
      </c>
      <c r="S166" s="71" t="str">
        <f>IF('II. Equipment &amp; Cost Data'!P107&lt;&gt;"",'II. Equipment &amp; Cost Data'!P107,"")</f>
        <v/>
      </c>
      <c r="T166" s="71" t="str">
        <f>IF('II. Equipment &amp; Cost Data'!Q107&lt;&gt;"",'II. Equipment &amp; Cost Data'!Q107,"")</f>
        <v/>
      </c>
      <c r="U166" s="71" t="str">
        <f>IF('II. Equipment &amp; Cost Data'!R107&lt;&gt;"",'II. Equipment &amp; Cost Data'!R107,"")</f>
        <v/>
      </c>
      <c r="V166" s="71" t="str">
        <f>IF('II. Equipment &amp; Cost Data'!S107&lt;&gt;"",'II. Equipment &amp; Cost Data'!S107,"")</f>
        <v/>
      </c>
      <c r="W166" s="71" t="str">
        <f>IF('II. Equipment &amp; Cost Data'!T107&lt;&gt;"",'II. Equipment &amp; Cost Data'!T107,"")</f>
        <v/>
      </c>
      <c r="X166" s="71" t="str">
        <f>IF('II. Equipment &amp; Cost Data'!U107&lt;&gt;"",'II. Equipment &amp; Cost Data'!U107,"")</f>
        <v/>
      </c>
      <c r="Y166" s="71" t="str">
        <f>IF('II. Equipment &amp; Cost Data'!V107&lt;&gt;"",'II. Equipment &amp; Cost Data'!V107,"")</f>
        <v/>
      </c>
      <c r="Z166" s="71" t="str">
        <f>IF('II. Equipment &amp; Cost Data'!W107&lt;&gt;"",'II. Equipment &amp; Cost Data'!W107,"")</f>
        <v/>
      </c>
      <c r="AA166" s="72" t="str">
        <f>IF('II. Equipment &amp; Cost Data'!X107&lt;&gt;"",'II. Equipment &amp; Cost Data'!X107,"")</f>
        <v/>
      </c>
      <c r="AB166" s="898"/>
      <c r="AC166" s="5"/>
      <c r="AD166" s="5"/>
      <c r="AF166" s="5"/>
      <c r="AG166" s="5"/>
      <c r="AH166" s="5"/>
      <c r="AI166" s="5"/>
      <c r="AJ166" s="5"/>
    </row>
    <row r="167" spans="2:128" ht="23.25" customHeight="1" thickBot="1" x14ac:dyDescent="0.25">
      <c r="B167" s="718"/>
      <c r="C167" s="719"/>
      <c r="D167" s="719"/>
      <c r="E167" s="719"/>
      <c r="F167" s="731"/>
      <c r="G167" s="731"/>
      <c r="H167" s="731"/>
      <c r="I167" s="731"/>
      <c r="J167" s="731"/>
      <c r="K167" s="731"/>
      <c r="L167" s="731"/>
      <c r="M167" s="731"/>
      <c r="N167" s="731"/>
      <c r="O167" s="731"/>
      <c r="P167" s="731"/>
      <c r="Q167" s="731"/>
      <c r="R167" s="731"/>
      <c r="S167" s="731"/>
      <c r="T167" s="731"/>
      <c r="U167" s="731"/>
      <c r="V167" s="731"/>
      <c r="W167" s="731"/>
      <c r="X167" s="731"/>
      <c r="Y167" s="731"/>
      <c r="Z167" s="731"/>
      <c r="AA167" s="731"/>
      <c r="AB167" s="899"/>
      <c r="AC167" s="5"/>
      <c r="AD167" s="5"/>
      <c r="AF167" s="5"/>
      <c r="AG167" s="5"/>
      <c r="AH167" s="5"/>
      <c r="AI167" s="5"/>
      <c r="AJ167" s="5"/>
    </row>
    <row r="168" spans="2:128" ht="23.25" customHeight="1" x14ac:dyDescent="0.2">
      <c r="D168" s="5"/>
      <c r="H168" s="5"/>
      <c r="I168" s="5"/>
      <c r="J168" s="5"/>
      <c r="P168" s="5"/>
      <c r="Q168" s="5"/>
      <c r="R168" s="5"/>
      <c r="S168" s="5"/>
      <c r="T168" s="5"/>
      <c r="U168" s="5"/>
      <c r="V168" s="5"/>
      <c r="W168" s="5"/>
      <c r="X168" s="5"/>
      <c r="Y168" s="5"/>
      <c r="Z168" s="5"/>
      <c r="AA168" s="5"/>
      <c r="AB168" s="5"/>
      <c r="AC168" s="5"/>
      <c r="AD168" s="5"/>
      <c r="AF168" s="5"/>
      <c r="AG168" s="5"/>
      <c r="AH168" s="5"/>
      <c r="AI168" s="5"/>
      <c r="AJ168" s="5"/>
    </row>
    <row r="169" spans="2:128" ht="23.25" customHeight="1" x14ac:dyDescent="0.2">
      <c r="D169" s="5"/>
      <c r="H169" s="5"/>
      <c r="I169" s="5"/>
      <c r="J169" s="5"/>
      <c r="P169" s="5"/>
      <c r="Q169" s="5"/>
      <c r="R169" s="5"/>
      <c r="S169" s="5"/>
      <c r="T169" s="5"/>
      <c r="U169" s="5"/>
      <c r="V169" s="5"/>
      <c r="W169" s="5"/>
      <c r="X169" s="5"/>
      <c r="Y169" s="5"/>
      <c r="Z169" s="5"/>
      <c r="AA169" s="5"/>
      <c r="AB169" s="5"/>
      <c r="AC169" s="5"/>
      <c r="AD169" s="5"/>
      <c r="AF169" s="5"/>
      <c r="AG169" s="5"/>
      <c r="AH169" s="5"/>
      <c r="AI169" s="5"/>
      <c r="AJ169" s="5"/>
    </row>
    <row r="170" spans="2:128" ht="23.25" customHeight="1" x14ac:dyDescent="0.2">
      <c r="D170" s="5"/>
      <c r="H170" s="5"/>
      <c r="I170" s="5"/>
      <c r="J170" s="5"/>
      <c r="P170" s="5"/>
      <c r="Q170" s="5"/>
      <c r="R170" s="5"/>
      <c r="S170" s="5"/>
      <c r="T170" s="5"/>
      <c r="U170" s="5"/>
      <c r="V170" s="5"/>
      <c r="W170" s="5"/>
      <c r="X170" s="5"/>
      <c r="Y170" s="5"/>
      <c r="Z170" s="5"/>
      <c r="AA170" s="5"/>
      <c r="AB170" s="5"/>
      <c r="AC170" s="5"/>
      <c r="AD170" s="5"/>
      <c r="AF170" s="5"/>
      <c r="AG170" s="5"/>
      <c r="AH170" s="5"/>
      <c r="AI170" s="5"/>
      <c r="AJ170" s="5"/>
    </row>
    <row r="171" spans="2:128" ht="23.25" customHeight="1" x14ac:dyDescent="0.2">
      <c r="D171" s="5"/>
      <c r="H171" s="5"/>
      <c r="I171" s="5"/>
      <c r="J171" s="5"/>
      <c r="P171" s="5"/>
      <c r="Q171" s="5"/>
      <c r="R171" s="5"/>
      <c r="S171" s="5"/>
      <c r="T171" s="5"/>
      <c r="U171" s="5"/>
      <c r="V171" s="5"/>
      <c r="W171" s="5"/>
      <c r="X171" s="5"/>
      <c r="Y171" s="5"/>
      <c r="Z171" s="5"/>
      <c r="AA171" s="5"/>
      <c r="AB171" s="5"/>
      <c r="AC171" s="5"/>
      <c r="AD171" s="5"/>
      <c r="AF171" s="5"/>
      <c r="AG171" s="5"/>
      <c r="AH171" s="5"/>
      <c r="AI171" s="5"/>
      <c r="AJ171" s="5"/>
    </row>
    <row r="172" spans="2:128" ht="23.25" customHeight="1" x14ac:dyDescent="0.2">
      <c r="H172" s="5"/>
      <c r="I172" s="5"/>
      <c r="J172" s="5"/>
      <c r="P172" s="5"/>
      <c r="Q172" s="5"/>
      <c r="R172" s="5"/>
      <c r="S172" s="5"/>
      <c r="T172" s="5"/>
      <c r="U172" s="5"/>
      <c r="V172" s="5"/>
      <c r="W172" s="5"/>
      <c r="X172" s="5"/>
      <c r="Y172" s="5"/>
      <c r="Z172" s="5"/>
      <c r="AA172" s="5"/>
      <c r="AC172" s="7"/>
    </row>
    <row r="173" spans="2:128" ht="23.25" customHeight="1" x14ac:dyDescent="0.2">
      <c r="H173" s="5"/>
      <c r="I173" s="5"/>
      <c r="J173" s="5"/>
      <c r="P173" s="5"/>
      <c r="Q173" s="5"/>
      <c r="R173" s="5"/>
      <c r="S173" s="5"/>
      <c r="T173" s="5"/>
      <c r="U173" s="5"/>
      <c r="V173" s="5"/>
      <c r="W173" s="5"/>
      <c r="X173" s="5"/>
      <c r="Y173" s="5"/>
      <c r="Z173" s="5"/>
      <c r="AA173" s="5"/>
      <c r="AC173" s="7"/>
    </row>
    <row r="174" spans="2:128" ht="23.25" customHeight="1" x14ac:dyDescent="0.2">
      <c r="H174" s="5"/>
      <c r="I174" s="5"/>
      <c r="J174" s="5"/>
      <c r="P174" s="5"/>
      <c r="Q174" s="5"/>
      <c r="R174" s="5"/>
      <c r="S174" s="5"/>
      <c r="T174" s="5"/>
      <c r="U174" s="5"/>
      <c r="V174" s="5"/>
      <c r="W174" s="5"/>
      <c r="X174" s="5"/>
      <c r="Y174" s="5"/>
      <c r="Z174" s="5"/>
      <c r="AA174" s="5"/>
    </row>
    <row r="175" spans="2:128" ht="23.25" customHeight="1" thickBot="1" x14ac:dyDescent="0.25">
      <c r="H175" s="5"/>
      <c r="I175" s="5"/>
      <c r="J175" s="5"/>
      <c r="P175" s="5"/>
      <c r="Q175" s="5"/>
      <c r="R175" s="5"/>
      <c r="S175" s="5"/>
      <c r="T175" s="5"/>
      <c r="U175" s="5"/>
      <c r="V175" s="5"/>
      <c r="W175" s="5"/>
      <c r="X175" s="5"/>
      <c r="Y175" s="5"/>
      <c r="Z175" s="5"/>
      <c r="AA175" s="5"/>
    </row>
    <row r="176" spans="2:128" ht="35.25" customHeight="1" thickBot="1" x14ac:dyDescent="0.55000000000000004">
      <c r="B176" s="376" t="s">
        <v>1284</v>
      </c>
      <c r="C176" s="151"/>
      <c r="D176" s="444"/>
      <c r="E176" s="783" t="s">
        <v>1258</v>
      </c>
      <c r="F176" s="783"/>
      <c r="G176" s="783" t="s">
        <v>711</v>
      </c>
      <c r="H176" s="783"/>
      <c r="I176" s="720"/>
      <c r="J176" s="720"/>
      <c r="K176" s="720"/>
      <c r="L176" s="720"/>
      <c r="M176" s="720"/>
      <c r="N176" s="720"/>
      <c r="O176" s="720"/>
      <c r="P176" s="720"/>
      <c r="Q176" s="720"/>
      <c r="R176" s="720"/>
      <c r="S176" s="720"/>
      <c r="T176" s="720"/>
      <c r="U176" s="720"/>
      <c r="V176" s="720"/>
      <c r="W176" s="720"/>
      <c r="X176" s="720"/>
      <c r="Y176" s="720"/>
      <c r="Z176" s="720"/>
      <c r="AA176" s="720"/>
      <c r="AB176" s="720"/>
      <c r="AC176" s="720"/>
      <c r="AD176" s="720"/>
      <c r="AE176" s="720"/>
      <c r="AF176" s="720"/>
      <c r="AG176" s="720"/>
      <c r="AH176" s="720"/>
      <c r="AI176" s="720"/>
      <c r="AJ176" s="720"/>
      <c r="AK176" s="720"/>
      <c r="AL176" s="720"/>
      <c r="AM176" s="720"/>
      <c r="AN176" s="720"/>
      <c r="AO176" s="720"/>
      <c r="AP176" s="720"/>
      <c r="AQ176" s="720"/>
      <c r="AR176" s="720"/>
      <c r="AS176" s="720"/>
      <c r="AT176" s="720"/>
      <c r="AU176" s="720"/>
      <c r="AV176" s="720"/>
      <c r="AW176" s="720"/>
      <c r="AX176" s="720"/>
      <c r="AY176" s="720"/>
      <c r="AZ176" s="720"/>
      <c r="BA176" s="720"/>
      <c r="BB176" s="720"/>
      <c r="BC176" s="720"/>
      <c r="BD176" s="720"/>
      <c r="BE176" s="720"/>
      <c r="BF176" s="720"/>
      <c r="BG176" s="720"/>
      <c r="BH176" s="720"/>
      <c r="BI176" s="720"/>
      <c r="BJ176" s="720"/>
      <c r="BK176" s="720"/>
      <c r="BL176" s="720"/>
      <c r="BM176" s="720"/>
      <c r="BN176" s="720"/>
      <c r="BO176" s="720"/>
      <c r="BP176" s="720"/>
      <c r="BQ176" s="720"/>
      <c r="BR176" s="720"/>
      <c r="BS176" s="720"/>
      <c r="BT176" s="720"/>
      <c r="BU176" s="720"/>
      <c r="BV176" s="720"/>
      <c r="BW176" s="720"/>
      <c r="BX176" s="720"/>
      <c r="BY176" s="720"/>
      <c r="BZ176" s="720"/>
      <c r="CA176" s="720"/>
      <c r="CB176" s="720"/>
      <c r="CC176" s="720"/>
      <c r="CD176" s="720"/>
      <c r="CE176" s="720"/>
      <c r="CF176" s="720"/>
      <c r="CG176" s="720"/>
      <c r="CH176" s="720"/>
      <c r="CI176" s="720"/>
      <c r="CJ176" s="720"/>
      <c r="CK176" s="720"/>
      <c r="CL176" s="720"/>
      <c r="CM176" s="720"/>
      <c r="CN176" s="720"/>
      <c r="CO176" s="720"/>
      <c r="CP176" s="720"/>
      <c r="CQ176" s="720"/>
      <c r="CR176" s="720"/>
      <c r="CS176" s="720"/>
      <c r="CT176" s="720"/>
      <c r="CU176" s="720"/>
      <c r="CV176" s="720"/>
      <c r="CW176" s="720"/>
      <c r="CX176" s="720"/>
      <c r="CY176" s="720"/>
      <c r="CZ176" s="720"/>
      <c r="DA176" s="720"/>
      <c r="DB176" s="720"/>
      <c r="DC176" s="720"/>
      <c r="DD176" s="720"/>
      <c r="DE176" s="720"/>
      <c r="DF176" s="720"/>
      <c r="DG176" s="720"/>
      <c r="DH176" s="720"/>
      <c r="DI176" s="720"/>
      <c r="DJ176" s="720"/>
      <c r="DK176" s="720"/>
      <c r="DL176" s="720"/>
      <c r="DM176" s="720"/>
      <c r="DN176" s="720"/>
      <c r="DO176" s="720"/>
      <c r="DP176" s="720"/>
      <c r="DQ176" s="720"/>
      <c r="DR176" s="720"/>
      <c r="DS176" s="720"/>
      <c r="DT176" s="720"/>
      <c r="DU176" s="720"/>
      <c r="DV176" s="720"/>
      <c r="DW176" s="720"/>
      <c r="DX176" s="727"/>
    </row>
    <row r="177" spans="2:128" ht="23.25" customHeight="1" thickBot="1" x14ac:dyDescent="0.25">
      <c r="B177" s="716"/>
      <c r="C177" s="717"/>
      <c r="D177" s="717"/>
      <c r="E177" s="717"/>
      <c r="F177" s="717"/>
      <c r="G177" s="723"/>
      <c r="H177" s="741">
        <v>1</v>
      </c>
      <c r="I177" s="742"/>
      <c r="J177" s="743"/>
      <c r="K177" s="741">
        <v>2</v>
      </c>
      <c r="L177" s="742"/>
      <c r="M177" s="743"/>
      <c r="N177" s="741">
        <v>3</v>
      </c>
      <c r="O177" s="742"/>
      <c r="P177" s="743"/>
      <c r="Q177" s="741">
        <v>4</v>
      </c>
      <c r="R177" s="742"/>
      <c r="S177" s="743"/>
      <c r="T177" s="741">
        <v>5</v>
      </c>
      <c r="U177" s="742"/>
      <c r="V177" s="743"/>
      <c r="W177" s="741">
        <v>6</v>
      </c>
      <c r="X177" s="742"/>
      <c r="Y177" s="743"/>
      <c r="Z177" s="741">
        <v>7</v>
      </c>
      <c r="AA177" s="742"/>
      <c r="AB177" s="743"/>
      <c r="AC177" s="741">
        <v>8</v>
      </c>
      <c r="AD177" s="742"/>
      <c r="AE177" s="743"/>
      <c r="AF177" s="741">
        <v>9</v>
      </c>
      <c r="AG177" s="742"/>
      <c r="AH177" s="743"/>
      <c r="AI177" s="741">
        <v>10</v>
      </c>
      <c r="AJ177" s="742"/>
      <c r="AK177" s="743"/>
      <c r="AL177" s="741">
        <v>11</v>
      </c>
      <c r="AM177" s="742"/>
      <c r="AN177" s="743"/>
      <c r="AO177" s="741">
        <v>12</v>
      </c>
      <c r="AP177" s="742"/>
      <c r="AQ177" s="743"/>
      <c r="AR177" s="741">
        <v>13</v>
      </c>
      <c r="AS177" s="742"/>
      <c r="AT177" s="743"/>
      <c r="AU177" s="741">
        <v>14</v>
      </c>
      <c r="AV177" s="742"/>
      <c r="AW177" s="743"/>
      <c r="AX177" s="741">
        <v>15</v>
      </c>
      <c r="AY177" s="742"/>
      <c r="AZ177" s="743"/>
      <c r="BA177" s="741">
        <v>16</v>
      </c>
      <c r="BB177" s="742"/>
      <c r="BC177" s="743"/>
      <c r="BD177" s="741">
        <v>17</v>
      </c>
      <c r="BE177" s="742"/>
      <c r="BF177" s="743"/>
      <c r="BG177" s="741">
        <v>18</v>
      </c>
      <c r="BH177" s="742"/>
      <c r="BI177" s="743"/>
      <c r="BJ177" s="741">
        <v>19</v>
      </c>
      <c r="BK177" s="742"/>
      <c r="BL177" s="743"/>
      <c r="BM177" s="741">
        <v>20</v>
      </c>
      <c r="BN177" s="742"/>
      <c r="BO177" s="743"/>
      <c r="BP177" s="741">
        <v>21</v>
      </c>
      <c r="BQ177" s="742"/>
      <c r="BR177" s="743"/>
      <c r="BS177" s="741">
        <v>22</v>
      </c>
      <c r="BT177" s="742"/>
      <c r="BU177" s="743"/>
      <c r="BV177" s="741">
        <v>23</v>
      </c>
      <c r="BW177" s="742"/>
      <c r="BX177" s="743"/>
      <c r="BY177" s="741">
        <v>24</v>
      </c>
      <c r="BZ177" s="742"/>
      <c r="CA177" s="743"/>
      <c r="CB177" s="741">
        <v>25</v>
      </c>
      <c r="CC177" s="742"/>
      <c r="CD177" s="743"/>
      <c r="CE177" s="741">
        <v>26</v>
      </c>
      <c r="CF177" s="742"/>
      <c r="CG177" s="743"/>
      <c r="CH177" s="741">
        <v>27</v>
      </c>
      <c r="CI177" s="742"/>
      <c r="CJ177" s="743"/>
      <c r="CK177" s="741">
        <v>28</v>
      </c>
      <c r="CL177" s="742"/>
      <c r="CM177" s="743"/>
      <c r="CN177" s="741">
        <v>29</v>
      </c>
      <c r="CO177" s="742"/>
      <c r="CP177" s="743"/>
      <c r="CQ177" s="741">
        <v>30</v>
      </c>
      <c r="CR177" s="742"/>
      <c r="CS177" s="743"/>
      <c r="CT177" s="741">
        <v>31</v>
      </c>
      <c r="CU177" s="742"/>
      <c r="CV177" s="743"/>
      <c r="CW177" s="741">
        <v>32</v>
      </c>
      <c r="CX177" s="742"/>
      <c r="CY177" s="743"/>
      <c r="CZ177" s="741">
        <v>33</v>
      </c>
      <c r="DA177" s="742"/>
      <c r="DB177" s="743"/>
      <c r="DC177" s="741">
        <v>34</v>
      </c>
      <c r="DD177" s="742"/>
      <c r="DE177" s="743"/>
      <c r="DF177" s="741">
        <v>35</v>
      </c>
      <c r="DG177" s="742"/>
      <c r="DH177" s="743"/>
      <c r="DI177" s="741">
        <v>36</v>
      </c>
      <c r="DJ177" s="742"/>
      <c r="DK177" s="743"/>
      <c r="DL177" s="741">
        <v>37</v>
      </c>
      <c r="DM177" s="742"/>
      <c r="DN177" s="743"/>
      <c r="DO177" s="741">
        <v>38</v>
      </c>
      <c r="DP177" s="742"/>
      <c r="DQ177" s="743"/>
      <c r="DR177" s="741">
        <v>39</v>
      </c>
      <c r="DS177" s="742"/>
      <c r="DT177" s="743"/>
      <c r="DU177" s="741">
        <v>40</v>
      </c>
      <c r="DV177" s="742"/>
      <c r="DW177" s="743"/>
      <c r="DX177" s="161"/>
    </row>
    <row r="178" spans="2:128" ht="31.5" customHeight="1" x14ac:dyDescent="0.2">
      <c r="B178" s="716"/>
      <c r="C178" s="717"/>
      <c r="D178" s="717"/>
      <c r="E178" s="717"/>
      <c r="F178" s="717"/>
      <c r="G178" s="723"/>
      <c r="H178" s="40" t="s">
        <v>794</v>
      </c>
      <c r="I178" s="413">
        <v>300</v>
      </c>
      <c r="J178" s="845"/>
      <c r="K178" s="40" t="s">
        <v>794</v>
      </c>
      <c r="L178" s="413">
        <v>301</v>
      </c>
      <c r="M178" s="845"/>
      <c r="N178" s="40" t="s">
        <v>794</v>
      </c>
      <c r="O178" s="413">
        <v>305</v>
      </c>
      <c r="P178" s="845"/>
      <c r="Q178" s="40" t="s">
        <v>794</v>
      </c>
      <c r="R178" s="413">
        <v>304</v>
      </c>
      <c r="S178" s="845"/>
      <c r="T178" s="40" t="s">
        <v>794</v>
      </c>
      <c r="U178" s="413">
        <v>302</v>
      </c>
      <c r="V178" s="845"/>
      <c r="W178" s="40" t="s">
        <v>794</v>
      </c>
      <c r="X178" s="413">
        <v>303</v>
      </c>
      <c r="Y178" s="845"/>
      <c r="Z178" s="40" t="s">
        <v>794</v>
      </c>
      <c r="AA178" s="413">
        <v>306</v>
      </c>
      <c r="AB178" s="744"/>
      <c r="AC178" s="40" t="s">
        <v>794</v>
      </c>
      <c r="AD178" s="413">
        <v>307</v>
      </c>
      <c r="AE178" s="744"/>
      <c r="AF178" s="40" t="s">
        <v>794</v>
      </c>
      <c r="AG178" s="413"/>
      <c r="AH178" s="744"/>
      <c r="AI178" s="40" t="s">
        <v>794</v>
      </c>
      <c r="AJ178" s="413"/>
      <c r="AK178" s="744"/>
      <c r="AL178" s="40" t="s">
        <v>794</v>
      </c>
      <c r="AM178" s="413"/>
      <c r="AN178" s="744"/>
      <c r="AO178" s="40" t="s">
        <v>794</v>
      </c>
      <c r="AP178" s="413"/>
      <c r="AQ178" s="744"/>
      <c r="AR178" s="40" t="s">
        <v>794</v>
      </c>
      <c r="AS178" s="413"/>
      <c r="AT178" s="744"/>
      <c r="AU178" s="40" t="s">
        <v>794</v>
      </c>
      <c r="AV178" s="413"/>
      <c r="AW178" s="744"/>
      <c r="AX178" s="40" t="s">
        <v>794</v>
      </c>
      <c r="AY178" s="413"/>
      <c r="AZ178" s="744"/>
      <c r="BA178" s="40" t="s">
        <v>794</v>
      </c>
      <c r="BB178" s="413"/>
      <c r="BC178" s="744"/>
      <c r="BD178" s="40" t="s">
        <v>794</v>
      </c>
      <c r="BE178" s="413"/>
      <c r="BF178" s="744"/>
      <c r="BG178" s="40" t="s">
        <v>794</v>
      </c>
      <c r="BH178" s="413"/>
      <c r="BI178" s="744"/>
      <c r="BJ178" s="40" t="s">
        <v>794</v>
      </c>
      <c r="BK178" s="413"/>
      <c r="BL178" s="744"/>
      <c r="BM178" s="40" t="s">
        <v>794</v>
      </c>
      <c r="BN178" s="413"/>
      <c r="BO178" s="744"/>
      <c r="BP178" s="40" t="s">
        <v>794</v>
      </c>
      <c r="BQ178" s="413"/>
      <c r="BR178" s="744"/>
      <c r="BS178" s="40" t="s">
        <v>794</v>
      </c>
      <c r="BT178" s="413"/>
      <c r="BU178" s="744"/>
      <c r="BV178" s="40" t="s">
        <v>794</v>
      </c>
      <c r="BW178" s="413"/>
      <c r="BX178" s="744"/>
      <c r="BY178" s="40" t="s">
        <v>794</v>
      </c>
      <c r="BZ178" s="413"/>
      <c r="CA178" s="744"/>
      <c r="CB178" s="40" t="s">
        <v>794</v>
      </c>
      <c r="CC178" s="413"/>
      <c r="CD178" s="744"/>
      <c r="CE178" s="40" t="s">
        <v>794</v>
      </c>
      <c r="CF178" s="413"/>
      <c r="CG178" s="744"/>
      <c r="CH178" s="40" t="s">
        <v>794</v>
      </c>
      <c r="CI178" s="413"/>
      <c r="CJ178" s="744"/>
      <c r="CK178" s="40" t="s">
        <v>794</v>
      </c>
      <c r="CL178" s="413"/>
      <c r="CM178" s="744"/>
      <c r="CN178" s="40" t="s">
        <v>794</v>
      </c>
      <c r="CO178" s="413"/>
      <c r="CP178" s="744"/>
      <c r="CQ178" s="40" t="s">
        <v>794</v>
      </c>
      <c r="CR178" s="413"/>
      <c r="CS178" s="744"/>
      <c r="CT178" s="40" t="s">
        <v>794</v>
      </c>
      <c r="CU178" s="413"/>
      <c r="CV178" s="744"/>
      <c r="CW178" s="40" t="s">
        <v>794</v>
      </c>
      <c r="CX178" s="413"/>
      <c r="CY178" s="744"/>
      <c r="CZ178" s="40" t="s">
        <v>794</v>
      </c>
      <c r="DA178" s="413"/>
      <c r="DB178" s="744"/>
      <c r="DC178" s="40" t="s">
        <v>794</v>
      </c>
      <c r="DD178" s="413"/>
      <c r="DE178" s="744"/>
      <c r="DF178" s="40" t="s">
        <v>794</v>
      </c>
      <c r="DG178" s="413"/>
      <c r="DH178" s="744"/>
      <c r="DI178" s="40" t="s">
        <v>794</v>
      </c>
      <c r="DJ178" s="413"/>
      <c r="DK178" s="744"/>
      <c r="DL178" s="40" t="s">
        <v>794</v>
      </c>
      <c r="DM178" s="413"/>
      <c r="DN178" s="744"/>
      <c r="DO178" s="40" t="s">
        <v>794</v>
      </c>
      <c r="DP178" s="413"/>
      <c r="DQ178" s="744"/>
      <c r="DR178" s="40" t="s">
        <v>794</v>
      </c>
      <c r="DS178" s="413"/>
      <c r="DT178" s="744"/>
      <c r="DU178" s="40" t="s">
        <v>794</v>
      </c>
      <c r="DV178" s="413"/>
      <c r="DW178" s="744"/>
      <c r="DX178" s="161"/>
    </row>
    <row r="179" spans="2:128" ht="31.5" customHeight="1" x14ac:dyDescent="0.2">
      <c r="B179" s="716"/>
      <c r="C179" s="717"/>
      <c r="D179" s="717"/>
      <c r="E179" s="717"/>
      <c r="F179" s="717"/>
      <c r="G179" s="723"/>
      <c r="H179" s="15" t="s">
        <v>778</v>
      </c>
      <c r="I179" s="129">
        <v>1</v>
      </c>
      <c r="J179" s="846"/>
      <c r="K179" s="30" t="s">
        <v>778</v>
      </c>
      <c r="L179" s="129">
        <v>1</v>
      </c>
      <c r="M179" s="846"/>
      <c r="N179" s="30" t="s">
        <v>778</v>
      </c>
      <c r="O179" s="129">
        <v>0</v>
      </c>
      <c r="P179" s="846"/>
      <c r="Q179" s="30" t="s">
        <v>778</v>
      </c>
      <c r="R179" s="129">
        <v>0</v>
      </c>
      <c r="S179" s="846"/>
      <c r="T179" s="30" t="s">
        <v>778</v>
      </c>
      <c r="U179" s="129">
        <v>0</v>
      </c>
      <c r="V179" s="846"/>
      <c r="W179" s="30" t="s">
        <v>778</v>
      </c>
      <c r="X179" s="129">
        <v>0</v>
      </c>
      <c r="Y179" s="846"/>
      <c r="Z179" s="30" t="s">
        <v>778</v>
      </c>
      <c r="AA179" s="129">
        <v>0</v>
      </c>
      <c r="AB179" s="745"/>
      <c r="AC179" s="30" t="s">
        <v>778</v>
      </c>
      <c r="AD179" s="129">
        <v>0</v>
      </c>
      <c r="AE179" s="745"/>
      <c r="AF179" s="30" t="s">
        <v>778</v>
      </c>
      <c r="AG179" s="129"/>
      <c r="AH179" s="745"/>
      <c r="AI179" s="30" t="s">
        <v>778</v>
      </c>
      <c r="AJ179" s="129"/>
      <c r="AK179" s="745"/>
      <c r="AL179" s="30" t="s">
        <v>778</v>
      </c>
      <c r="AM179" s="129"/>
      <c r="AN179" s="745"/>
      <c r="AO179" s="30" t="s">
        <v>778</v>
      </c>
      <c r="AP179" s="129"/>
      <c r="AQ179" s="745"/>
      <c r="AR179" s="30" t="s">
        <v>778</v>
      </c>
      <c r="AS179" s="129"/>
      <c r="AT179" s="745"/>
      <c r="AU179" s="30" t="s">
        <v>778</v>
      </c>
      <c r="AV179" s="129"/>
      <c r="AW179" s="745"/>
      <c r="AX179" s="30" t="s">
        <v>778</v>
      </c>
      <c r="AY179" s="129"/>
      <c r="AZ179" s="745"/>
      <c r="BA179" s="30" t="s">
        <v>778</v>
      </c>
      <c r="BB179" s="129"/>
      <c r="BC179" s="745"/>
      <c r="BD179" s="30" t="s">
        <v>778</v>
      </c>
      <c r="BE179" s="129"/>
      <c r="BF179" s="745"/>
      <c r="BG179" s="30" t="s">
        <v>778</v>
      </c>
      <c r="BH179" s="129"/>
      <c r="BI179" s="745"/>
      <c r="BJ179" s="30" t="s">
        <v>778</v>
      </c>
      <c r="BK179" s="129"/>
      <c r="BL179" s="745"/>
      <c r="BM179" s="30" t="s">
        <v>778</v>
      </c>
      <c r="BN179" s="129"/>
      <c r="BO179" s="745"/>
      <c r="BP179" s="30" t="s">
        <v>778</v>
      </c>
      <c r="BQ179" s="129"/>
      <c r="BR179" s="745"/>
      <c r="BS179" s="30" t="s">
        <v>778</v>
      </c>
      <c r="BT179" s="129"/>
      <c r="BU179" s="745"/>
      <c r="BV179" s="30" t="s">
        <v>778</v>
      </c>
      <c r="BW179" s="129"/>
      <c r="BX179" s="745"/>
      <c r="BY179" s="30" t="s">
        <v>778</v>
      </c>
      <c r="BZ179" s="129"/>
      <c r="CA179" s="745"/>
      <c r="CB179" s="30" t="s">
        <v>778</v>
      </c>
      <c r="CC179" s="129"/>
      <c r="CD179" s="745"/>
      <c r="CE179" s="30" t="s">
        <v>778</v>
      </c>
      <c r="CF179" s="129"/>
      <c r="CG179" s="745"/>
      <c r="CH179" s="30" t="s">
        <v>778</v>
      </c>
      <c r="CI179" s="129"/>
      <c r="CJ179" s="745"/>
      <c r="CK179" s="30" t="s">
        <v>778</v>
      </c>
      <c r="CL179" s="129"/>
      <c r="CM179" s="745"/>
      <c r="CN179" s="30" t="s">
        <v>778</v>
      </c>
      <c r="CO179" s="129"/>
      <c r="CP179" s="745"/>
      <c r="CQ179" s="30" t="s">
        <v>778</v>
      </c>
      <c r="CR179" s="129"/>
      <c r="CS179" s="745"/>
      <c r="CT179" s="30" t="s">
        <v>778</v>
      </c>
      <c r="CU179" s="129"/>
      <c r="CV179" s="745"/>
      <c r="CW179" s="30" t="s">
        <v>778</v>
      </c>
      <c r="CX179" s="129"/>
      <c r="CY179" s="745"/>
      <c r="CZ179" s="30" t="s">
        <v>778</v>
      </c>
      <c r="DA179" s="129"/>
      <c r="DB179" s="745"/>
      <c r="DC179" s="30" t="s">
        <v>778</v>
      </c>
      <c r="DD179" s="129"/>
      <c r="DE179" s="745"/>
      <c r="DF179" s="30" t="s">
        <v>778</v>
      </c>
      <c r="DG179" s="129"/>
      <c r="DH179" s="745"/>
      <c r="DI179" s="30" t="s">
        <v>778</v>
      </c>
      <c r="DJ179" s="129"/>
      <c r="DK179" s="745"/>
      <c r="DL179" s="30" t="s">
        <v>778</v>
      </c>
      <c r="DM179" s="129"/>
      <c r="DN179" s="745"/>
      <c r="DO179" s="30" t="s">
        <v>778</v>
      </c>
      <c r="DP179" s="129"/>
      <c r="DQ179" s="745"/>
      <c r="DR179" s="30" t="s">
        <v>778</v>
      </c>
      <c r="DS179" s="129"/>
      <c r="DT179" s="745"/>
      <c r="DU179" s="30" t="s">
        <v>778</v>
      </c>
      <c r="DV179" s="129"/>
      <c r="DW179" s="745"/>
      <c r="DX179" s="161"/>
    </row>
    <row r="180" spans="2:128" ht="31.5" customHeight="1" x14ac:dyDescent="0.2">
      <c r="B180" s="716"/>
      <c r="C180" s="717"/>
      <c r="D180" s="717"/>
      <c r="E180" s="717"/>
      <c r="F180" s="717"/>
      <c r="G180" s="723"/>
      <c r="H180" s="15" t="s">
        <v>754</v>
      </c>
      <c r="I180" s="129" t="s">
        <v>855</v>
      </c>
      <c r="J180" s="846"/>
      <c r="K180" s="15" t="s">
        <v>754</v>
      </c>
      <c r="L180" s="129" t="s">
        <v>8</v>
      </c>
      <c r="M180" s="846"/>
      <c r="N180" s="15" t="s">
        <v>754</v>
      </c>
      <c r="O180" s="129"/>
      <c r="P180" s="846"/>
      <c r="Q180" s="15" t="s">
        <v>754</v>
      </c>
      <c r="R180" s="129"/>
      <c r="S180" s="846"/>
      <c r="T180" s="15" t="s">
        <v>754</v>
      </c>
      <c r="U180" s="129"/>
      <c r="V180" s="846"/>
      <c r="W180" s="15" t="s">
        <v>754</v>
      </c>
      <c r="X180" s="129"/>
      <c r="Y180" s="846"/>
      <c r="Z180" s="15" t="s">
        <v>754</v>
      </c>
      <c r="AA180" s="129"/>
      <c r="AB180" s="745"/>
      <c r="AC180" s="15" t="s">
        <v>754</v>
      </c>
      <c r="AD180" s="129"/>
      <c r="AE180" s="745"/>
      <c r="AF180" s="15" t="s">
        <v>754</v>
      </c>
      <c r="AG180" s="129"/>
      <c r="AH180" s="745"/>
      <c r="AI180" s="15" t="s">
        <v>754</v>
      </c>
      <c r="AJ180" s="129"/>
      <c r="AK180" s="745"/>
      <c r="AL180" s="15" t="s">
        <v>754</v>
      </c>
      <c r="AM180" s="129"/>
      <c r="AN180" s="745"/>
      <c r="AO180" s="15" t="s">
        <v>754</v>
      </c>
      <c r="AP180" s="129"/>
      <c r="AQ180" s="745"/>
      <c r="AR180" s="15" t="s">
        <v>754</v>
      </c>
      <c r="AS180" s="129"/>
      <c r="AT180" s="745"/>
      <c r="AU180" s="15" t="s">
        <v>754</v>
      </c>
      <c r="AV180" s="129"/>
      <c r="AW180" s="745"/>
      <c r="AX180" s="15" t="s">
        <v>754</v>
      </c>
      <c r="AY180" s="129"/>
      <c r="AZ180" s="745"/>
      <c r="BA180" s="15" t="s">
        <v>754</v>
      </c>
      <c r="BB180" s="129"/>
      <c r="BC180" s="745"/>
      <c r="BD180" s="15" t="s">
        <v>754</v>
      </c>
      <c r="BE180" s="129"/>
      <c r="BF180" s="745"/>
      <c r="BG180" s="15" t="s">
        <v>754</v>
      </c>
      <c r="BH180" s="129"/>
      <c r="BI180" s="745"/>
      <c r="BJ180" s="15" t="s">
        <v>754</v>
      </c>
      <c r="BK180" s="129"/>
      <c r="BL180" s="745"/>
      <c r="BM180" s="15" t="s">
        <v>754</v>
      </c>
      <c r="BN180" s="129"/>
      <c r="BO180" s="745"/>
      <c r="BP180" s="15" t="s">
        <v>754</v>
      </c>
      <c r="BQ180" s="129"/>
      <c r="BR180" s="745"/>
      <c r="BS180" s="15" t="s">
        <v>754</v>
      </c>
      <c r="BT180" s="129"/>
      <c r="BU180" s="745"/>
      <c r="BV180" s="15" t="s">
        <v>754</v>
      </c>
      <c r="BW180" s="129"/>
      <c r="BX180" s="745"/>
      <c r="BY180" s="15" t="s">
        <v>754</v>
      </c>
      <c r="BZ180" s="129"/>
      <c r="CA180" s="745"/>
      <c r="CB180" s="15" t="s">
        <v>754</v>
      </c>
      <c r="CC180" s="129"/>
      <c r="CD180" s="745"/>
      <c r="CE180" s="15" t="s">
        <v>754</v>
      </c>
      <c r="CF180" s="129"/>
      <c r="CG180" s="745"/>
      <c r="CH180" s="15" t="s">
        <v>754</v>
      </c>
      <c r="CI180" s="129"/>
      <c r="CJ180" s="745"/>
      <c r="CK180" s="15" t="s">
        <v>754</v>
      </c>
      <c r="CL180" s="129"/>
      <c r="CM180" s="745"/>
      <c r="CN180" s="15" t="s">
        <v>754</v>
      </c>
      <c r="CO180" s="129"/>
      <c r="CP180" s="745"/>
      <c r="CQ180" s="15" t="s">
        <v>754</v>
      </c>
      <c r="CR180" s="129"/>
      <c r="CS180" s="745"/>
      <c r="CT180" s="15" t="s">
        <v>754</v>
      </c>
      <c r="CU180" s="129"/>
      <c r="CV180" s="745"/>
      <c r="CW180" s="15" t="s">
        <v>754</v>
      </c>
      <c r="CX180" s="129"/>
      <c r="CY180" s="745"/>
      <c r="CZ180" s="15" t="s">
        <v>754</v>
      </c>
      <c r="DA180" s="129"/>
      <c r="DB180" s="745"/>
      <c r="DC180" s="15" t="s">
        <v>754</v>
      </c>
      <c r="DD180" s="129"/>
      <c r="DE180" s="745"/>
      <c r="DF180" s="15" t="s">
        <v>754</v>
      </c>
      <c r="DG180" s="129"/>
      <c r="DH180" s="745"/>
      <c r="DI180" s="15" t="s">
        <v>754</v>
      </c>
      <c r="DJ180" s="129"/>
      <c r="DK180" s="745"/>
      <c r="DL180" s="15" t="s">
        <v>754</v>
      </c>
      <c r="DM180" s="129"/>
      <c r="DN180" s="745"/>
      <c r="DO180" s="15" t="s">
        <v>754</v>
      </c>
      <c r="DP180" s="129"/>
      <c r="DQ180" s="745"/>
      <c r="DR180" s="15" t="s">
        <v>754</v>
      </c>
      <c r="DS180" s="129"/>
      <c r="DT180" s="745"/>
      <c r="DU180" s="15" t="s">
        <v>754</v>
      </c>
      <c r="DV180" s="129"/>
      <c r="DW180" s="745"/>
      <c r="DX180" s="161"/>
    </row>
    <row r="181" spans="2:128" ht="51" customHeight="1" x14ac:dyDescent="0.2">
      <c r="B181" s="716"/>
      <c r="C181" s="717"/>
      <c r="D181" s="717"/>
      <c r="E181" s="717"/>
      <c r="F181" s="717"/>
      <c r="G181" s="723"/>
      <c r="H181" s="41" t="s">
        <v>856</v>
      </c>
      <c r="I181" s="129">
        <v>1</v>
      </c>
      <c r="J181" s="846"/>
      <c r="K181" s="41" t="s">
        <v>856</v>
      </c>
      <c r="L181" s="129">
        <v>1</v>
      </c>
      <c r="M181" s="846"/>
      <c r="N181" s="41" t="s">
        <v>856</v>
      </c>
      <c r="O181" s="129"/>
      <c r="P181" s="846"/>
      <c r="Q181" s="41" t="s">
        <v>856</v>
      </c>
      <c r="R181" s="129"/>
      <c r="S181" s="846"/>
      <c r="T181" s="41" t="s">
        <v>856</v>
      </c>
      <c r="U181" s="129"/>
      <c r="V181" s="846"/>
      <c r="W181" s="41" t="s">
        <v>856</v>
      </c>
      <c r="X181" s="129"/>
      <c r="Y181" s="846"/>
      <c r="Z181" s="41" t="s">
        <v>856</v>
      </c>
      <c r="AA181" s="129"/>
      <c r="AB181" s="745"/>
      <c r="AC181" s="41" t="s">
        <v>856</v>
      </c>
      <c r="AD181" s="129"/>
      <c r="AE181" s="745"/>
      <c r="AF181" s="41" t="s">
        <v>856</v>
      </c>
      <c r="AG181" s="129"/>
      <c r="AH181" s="745"/>
      <c r="AI181" s="41" t="s">
        <v>856</v>
      </c>
      <c r="AJ181" s="129"/>
      <c r="AK181" s="745"/>
      <c r="AL181" s="41" t="s">
        <v>856</v>
      </c>
      <c r="AM181" s="129"/>
      <c r="AN181" s="745"/>
      <c r="AO181" s="41" t="s">
        <v>856</v>
      </c>
      <c r="AP181" s="129"/>
      <c r="AQ181" s="745"/>
      <c r="AR181" s="41" t="s">
        <v>856</v>
      </c>
      <c r="AS181" s="129"/>
      <c r="AT181" s="745"/>
      <c r="AU181" s="41" t="s">
        <v>856</v>
      </c>
      <c r="AV181" s="129"/>
      <c r="AW181" s="745"/>
      <c r="AX181" s="41" t="s">
        <v>856</v>
      </c>
      <c r="AY181" s="129"/>
      <c r="AZ181" s="745"/>
      <c r="BA181" s="41" t="s">
        <v>856</v>
      </c>
      <c r="BB181" s="129"/>
      <c r="BC181" s="745"/>
      <c r="BD181" s="41" t="s">
        <v>856</v>
      </c>
      <c r="BE181" s="129"/>
      <c r="BF181" s="745"/>
      <c r="BG181" s="41" t="s">
        <v>856</v>
      </c>
      <c r="BH181" s="129"/>
      <c r="BI181" s="745"/>
      <c r="BJ181" s="41" t="s">
        <v>856</v>
      </c>
      <c r="BK181" s="129"/>
      <c r="BL181" s="745"/>
      <c r="BM181" s="41" t="s">
        <v>856</v>
      </c>
      <c r="BN181" s="129"/>
      <c r="BO181" s="745"/>
      <c r="BP181" s="41" t="s">
        <v>856</v>
      </c>
      <c r="BQ181" s="129"/>
      <c r="BR181" s="745"/>
      <c r="BS181" s="41" t="s">
        <v>856</v>
      </c>
      <c r="BT181" s="129"/>
      <c r="BU181" s="745"/>
      <c r="BV181" s="41" t="s">
        <v>856</v>
      </c>
      <c r="BW181" s="129"/>
      <c r="BX181" s="745"/>
      <c r="BY181" s="41" t="s">
        <v>856</v>
      </c>
      <c r="BZ181" s="129"/>
      <c r="CA181" s="745"/>
      <c r="CB181" s="41" t="s">
        <v>856</v>
      </c>
      <c r="CC181" s="129"/>
      <c r="CD181" s="745"/>
      <c r="CE181" s="41" t="s">
        <v>856</v>
      </c>
      <c r="CF181" s="129"/>
      <c r="CG181" s="745"/>
      <c r="CH181" s="41" t="s">
        <v>856</v>
      </c>
      <c r="CI181" s="129"/>
      <c r="CJ181" s="745"/>
      <c r="CK181" s="41" t="s">
        <v>856</v>
      </c>
      <c r="CL181" s="129"/>
      <c r="CM181" s="745"/>
      <c r="CN181" s="41" t="s">
        <v>856</v>
      </c>
      <c r="CO181" s="129"/>
      <c r="CP181" s="745"/>
      <c r="CQ181" s="41" t="s">
        <v>856</v>
      </c>
      <c r="CR181" s="129"/>
      <c r="CS181" s="745"/>
      <c r="CT181" s="41" t="s">
        <v>856</v>
      </c>
      <c r="CU181" s="129"/>
      <c r="CV181" s="745"/>
      <c r="CW181" s="41" t="s">
        <v>856</v>
      </c>
      <c r="CX181" s="129"/>
      <c r="CY181" s="745"/>
      <c r="CZ181" s="41" t="s">
        <v>856</v>
      </c>
      <c r="DA181" s="129"/>
      <c r="DB181" s="745"/>
      <c r="DC181" s="41" t="s">
        <v>856</v>
      </c>
      <c r="DD181" s="129"/>
      <c r="DE181" s="745"/>
      <c r="DF181" s="41" t="s">
        <v>856</v>
      </c>
      <c r="DG181" s="129"/>
      <c r="DH181" s="745"/>
      <c r="DI181" s="41" t="s">
        <v>856</v>
      </c>
      <c r="DJ181" s="129"/>
      <c r="DK181" s="745"/>
      <c r="DL181" s="41" t="s">
        <v>856</v>
      </c>
      <c r="DM181" s="129"/>
      <c r="DN181" s="745"/>
      <c r="DO181" s="41" t="s">
        <v>856</v>
      </c>
      <c r="DP181" s="129"/>
      <c r="DQ181" s="745"/>
      <c r="DR181" s="41" t="s">
        <v>856</v>
      </c>
      <c r="DS181" s="129"/>
      <c r="DT181" s="745"/>
      <c r="DU181" s="41" t="s">
        <v>856</v>
      </c>
      <c r="DV181" s="129"/>
      <c r="DW181" s="745"/>
      <c r="DX181" s="161"/>
    </row>
    <row r="182" spans="2:128" ht="31.5" customHeight="1" x14ac:dyDescent="0.2">
      <c r="B182" s="716"/>
      <c r="C182" s="717"/>
      <c r="D182" s="717"/>
      <c r="E182" s="717"/>
      <c r="F182" s="717"/>
      <c r="G182" s="723"/>
      <c r="H182" s="41" t="s">
        <v>799</v>
      </c>
      <c r="I182" s="129"/>
      <c r="J182" s="846"/>
      <c r="K182" s="42" t="s">
        <v>799</v>
      </c>
      <c r="L182" s="129"/>
      <c r="M182" s="846"/>
      <c r="N182" s="42" t="s">
        <v>799</v>
      </c>
      <c r="O182" s="129">
        <v>0</v>
      </c>
      <c r="P182" s="846"/>
      <c r="Q182" s="42" t="s">
        <v>799</v>
      </c>
      <c r="R182" s="129">
        <v>0</v>
      </c>
      <c r="S182" s="846"/>
      <c r="T182" s="42" t="s">
        <v>799</v>
      </c>
      <c r="U182" s="129">
        <v>0</v>
      </c>
      <c r="V182" s="846"/>
      <c r="W182" s="42" t="s">
        <v>799</v>
      </c>
      <c r="X182" s="129">
        <v>0</v>
      </c>
      <c r="Y182" s="846"/>
      <c r="Z182" s="42" t="s">
        <v>799</v>
      </c>
      <c r="AA182" s="129">
        <v>0</v>
      </c>
      <c r="AB182" s="745"/>
      <c r="AC182" s="42" t="s">
        <v>799</v>
      </c>
      <c r="AD182" s="129">
        <v>0</v>
      </c>
      <c r="AE182" s="745"/>
      <c r="AF182" s="42" t="s">
        <v>799</v>
      </c>
      <c r="AG182" s="129"/>
      <c r="AH182" s="745"/>
      <c r="AI182" s="42" t="s">
        <v>799</v>
      </c>
      <c r="AJ182" s="129"/>
      <c r="AK182" s="745"/>
      <c r="AL182" s="42" t="s">
        <v>799</v>
      </c>
      <c r="AM182" s="129"/>
      <c r="AN182" s="745"/>
      <c r="AO182" s="42" t="s">
        <v>799</v>
      </c>
      <c r="AP182" s="129"/>
      <c r="AQ182" s="745"/>
      <c r="AR182" s="42" t="s">
        <v>799</v>
      </c>
      <c r="AS182" s="129"/>
      <c r="AT182" s="745"/>
      <c r="AU182" s="42" t="s">
        <v>799</v>
      </c>
      <c r="AV182" s="129"/>
      <c r="AW182" s="745"/>
      <c r="AX182" s="42" t="s">
        <v>799</v>
      </c>
      <c r="AY182" s="129"/>
      <c r="AZ182" s="745"/>
      <c r="BA182" s="42" t="s">
        <v>799</v>
      </c>
      <c r="BB182" s="129"/>
      <c r="BC182" s="745"/>
      <c r="BD182" s="42" t="s">
        <v>799</v>
      </c>
      <c r="BE182" s="129"/>
      <c r="BF182" s="745"/>
      <c r="BG182" s="42" t="s">
        <v>799</v>
      </c>
      <c r="BH182" s="129"/>
      <c r="BI182" s="745"/>
      <c r="BJ182" s="42" t="s">
        <v>799</v>
      </c>
      <c r="BK182" s="129"/>
      <c r="BL182" s="745"/>
      <c r="BM182" s="42" t="s">
        <v>799</v>
      </c>
      <c r="BN182" s="129"/>
      <c r="BO182" s="745"/>
      <c r="BP182" s="42" t="s">
        <v>799</v>
      </c>
      <c r="BQ182" s="129"/>
      <c r="BR182" s="745"/>
      <c r="BS182" s="42" t="s">
        <v>799</v>
      </c>
      <c r="BT182" s="129"/>
      <c r="BU182" s="745"/>
      <c r="BV182" s="42" t="s">
        <v>799</v>
      </c>
      <c r="BW182" s="129"/>
      <c r="BX182" s="745"/>
      <c r="BY182" s="42" t="s">
        <v>799</v>
      </c>
      <c r="BZ182" s="129"/>
      <c r="CA182" s="745"/>
      <c r="CB182" s="42" t="s">
        <v>799</v>
      </c>
      <c r="CC182" s="129"/>
      <c r="CD182" s="745"/>
      <c r="CE182" s="42" t="s">
        <v>799</v>
      </c>
      <c r="CF182" s="129"/>
      <c r="CG182" s="745"/>
      <c r="CH182" s="42" t="s">
        <v>799</v>
      </c>
      <c r="CI182" s="129"/>
      <c r="CJ182" s="745"/>
      <c r="CK182" s="42" t="s">
        <v>799</v>
      </c>
      <c r="CL182" s="129"/>
      <c r="CM182" s="745"/>
      <c r="CN182" s="42" t="s">
        <v>799</v>
      </c>
      <c r="CO182" s="129"/>
      <c r="CP182" s="745"/>
      <c r="CQ182" s="42" t="s">
        <v>799</v>
      </c>
      <c r="CR182" s="129"/>
      <c r="CS182" s="745"/>
      <c r="CT182" s="42" t="s">
        <v>799</v>
      </c>
      <c r="CU182" s="129"/>
      <c r="CV182" s="745"/>
      <c r="CW182" s="42" t="s">
        <v>799</v>
      </c>
      <c r="CX182" s="129"/>
      <c r="CY182" s="745"/>
      <c r="CZ182" s="42" t="s">
        <v>799</v>
      </c>
      <c r="DA182" s="129"/>
      <c r="DB182" s="745"/>
      <c r="DC182" s="42" t="s">
        <v>799</v>
      </c>
      <c r="DD182" s="129"/>
      <c r="DE182" s="745"/>
      <c r="DF182" s="42" t="s">
        <v>799</v>
      </c>
      <c r="DG182" s="129"/>
      <c r="DH182" s="745"/>
      <c r="DI182" s="42" t="s">
        <v>799</v>
      </c>
      <c r="DJ182" s="129"/>
      <c r="DK182" s="745"/>
      <c r="DL182" s="42" t="s">
        <v>799</v>
      </c>
      <c r="DM182" s="129"/>
      <c r="DN182" s="745"/>
      <c r="DO182" s="42" t="s">
        <v>799</v>
      </c>
      <c r="DP182" s="129"/>
      <c r="DQ182" s="745"/>
      <c r="DR182" s="42" t="s">
        <v>799</v>
      </c>
      <c r="DS182" s="129"/>
      <c r="DT182" s="745"/>
      <c r="DU182" s="42" t="s">
        <v>799</v>
      </c>
      <c r="DV182" s="129"/>
      <c r="DW182" s="745"/>
      <c r="DX182" s="161"/>
    </row>
    <row r="183" spans="2:128" ht="31.5" customHeight="1" x14ac:dyDescent="0.2">
      <c r="B183" s="716"/>
      <c r="C183" s="717"/>
      <c r="D183" s="717"/>
      <c r="E183" s="717"/>
      <c r="F183" s="717"/>
      <c r="G183" s="723"/>
      <c r="H183" s="15" t="s">
        <v>0</v>
      </c>
      <c r="I183" s="129" t="s">
        <v>32</v>
      </c>
      <c r="J183" s="846"/>
      <c r="K183" s="30" t="s">
        <v>0</v>
      </c>
      <c r="L183" s="129" t="s">
        <v>32</v>
      </c>
      <c r="M183" s="846"/>
      <c r="N183" s="30" t="s">
        <v>0</v>
      </c>
      <c r="O183" s="129"/>
      <c r="P183" s="846"/>
      <c r="Q183" s="30" t="s">
        <v>0</v>
      </c>
      <c r="R183" s="129"/>
      <c r="S183" s="846"/>
      <c r="T183" s="30" t="s">
        <v>0</v>
      </c>
      <c r="U183" s="129"/>
      <c r="V183" s="846"/>
      <c r="W183" s="30" t="s">
        <v>0</v>
      </c>
      <c r="X183" s="129"/>
      <c r="Y183" s="846"/>
      <c r="Z183" s="30" t="s">
        <v>0</v>
      </c>
      <c r="AA183" s="129"/>
      <c r="AB183" s="745"/>
      <c r="AC183" s="30" t="s">
        <v>0</v>
      </c>
      <c r="AD183" s="129"/>
      <c r="AE183" s="745"/>
      <c r="AF183" s="30" t="s">
        <v>0</v>
      </c>
      <c r="AG183" s="129"/>
      <c r="AH183" s="745"/>
      <c r="AI183" s="30" t="s">
        <v>0</v>
      </c>
      <c r="AJ183" s="129"/>
      <c r="AK183" s="745"/>
      <c r="AL183" s="30" t="s">
        <v>0</v>
      </c>
      <c r="AM183" s="129"/>
      <c r="AN183" s="745"/>
      <c r="AO183" s="30" t="s">
        <v>0</v>
      </c>
      <c r="AP183" s="129"/>
      <c r="AQ183" s="745"/>
      <c r="AR183" s="30" t="s">
        <v>0</v>
      </c>
      <c r="AS183" s="129"/>
      <c r="AT183" s="745"/>
      <c r="AU183" s="30" t="s">
        <v>0</v>
      </c>
      <c r="AV183" s="129"/>
      <c r="AW183" s="745"/>
      <c r="AX183" s="30" t="s">
        <v>0</v>
      </c>
      <c r="AY183" s="129"/>
      <c r="AZ183" s="745"/>
      <c r="BA183" s="30" t="s">
        <v>0</v>
      </c>
      <c r="BB183" s="129"/>
      <c r="BC183" s="745"/>
      <c r="BD183" s="30" t="s">
        <v>0</v>
      </c>
      <c r="BE183" s="129"/>
      <c r="BF183" s="745"/>
      <c r="BG183" s="30" t="s">
        <v>0</v>
      </c>
      <c r="BH183" s="129"/>
      <c r="BI183" s="745"/>
      <c r="BJ183" s="30" t="s">
        <v>0</v>
      </c>
      <c r="BK183" s="129"/>
      <c r="BL183" s="745"/>
      <c r="BM183" s="30" t="s">
        <v>0</v>
      </c>
      <c r="BN183" s="129"/>
      <c r="BO183" s="745"/>
      <c r="BP183" s="30" t="s">
        <v>0</v>
      </c>
      <c r="BQ183" s="129"/>
      <c r="BR183" s="745"/>
      <c r="BS183" s="30" t="s">
        <v>0</v>
      </c>
      <c r="BT183" s="129"/>
      <c r="BU183" s="745"/>
      <c r="BV183" s="30" t="s">
        <v>0</v>
      </c>
      <c r="BW183" s="129"/>
      <c r="BX183" s="745"/>
      <c r="BY183" s="30" t="s">
        <v>0</v>
      </c>
      <c r="BZ183" s="129"/>
      <c r="CA183" s="745"/>
      <c r="CB183" s="30" t="s">
        <v>0</v>
      </c>
      <c r="CC183" s="129"/>
      <c r="CD183" s="745"/>
      <c r="CE183" s="30" t="s">
        <v>0</v>
      </c>
      <c r="CF183" s="129"/>
      <c r="CG183" s="745"/>
      <c r="CH183" s="30" t="s">
        <v>0</v>
      </c>
      <c r="CI183" s="129"/>
      <c r="CJ183" s="745"/>
      <c r="CK183" s="30" t="s">
        <v>0</v>
      </c>
      <c r="CL183" s="129"/>
      <c r="CM183" s="745"/>
      <c r="CN183" s="30" t="s">
        <v>0</v>
      </c>
      <c r="CO183" s="129"/>
      <c r="CP183" s="745"/>
      <c r="CQ183" s="30" t="s">
        <v>0</v>
      </c>
      <c r="CR183" s="129"/>
      <c r="CS183" s="745"/>
      <c r="CT183" s="30" t="s">
        <v>0</v>
      </c>
      <c r="CU183" s="129"/>
      <c r="CV183" s="745"/>
      <c r="CW183" s="30" t="s">
        <v>0</v>
      </c>
      <c r="CX183" s="129"/>
      <c r="CY183" s="745"/>
      <c r="CZ183" s="30" t="s">
        <v>0</v>
      </c>
      <c r="DA183" s="129"/>
      <c r="DB183" s="745"/>
      <c r="DC183" s="30" t="s">
        <v>0</v>
      </c>
      <c r="DD183" s="129"/>
      <c r="DE183" s="745"/>
      <c r="DF183" s="30" t="s">
        <v>0</v>
      </c>
      <c r="DG183" s="129"/>
      <c r="DH183" s="745"/>
      <c r="DI183" s="30" t="s">
        <v>0</v>
      </c>
      <c r="DJ183" s="129"/>
      <c r="DK183" s="745"/>
      <c r="DL183" s="30" t="s">
        <v>0</v>
      </c>
      <c r="DM183" s="129"/>
      <c r="DN183" s="745"/>
      <c r="DO183" s="30" t="s">
        <v>0</v>
      </c>
      <c r="DP183" s="129"/>
      <c r="DQ183" s="745"/>
      <c r="DR183" s="30" t="s">
        <v>0</v>
      </c>
      <c r="DS183" s="129"/>
      <c r="DT183" s="745"/>
      <c r="DU183" s="30" t="s">
        <v>0</v>
      </c>
      <c r="DV183" s="129"/>
      <c r="DW183" s="745"/>
      <c r="DX183" s="161"/>
    </row>
    <row r="184" spans="2:128" ht="31.5" customHeight="1" x14ac:dyDescent="0.2">
      <c r="B184" s="716"/>
      <c r="C184" s="717"/>
      <c r="D184" s="717"/>
      <c r="E184" s="717"/>
      <c r="F184" s="717"/>
      <c r="G184" s="723"/>
      <c r="H184" s="128" t="s">
        <v>804</v>
      </c>
      <c r="I184" s="129">
        <f>IF(I178="","",IF(I179=1,0,IF(H242-SUMIF($AM$262:$AM281,"=1",H186:H205)&lt;SUMIF($AM$262:$AM281,"=1",H186:H205),1,0)))</f>
        <v>0</v>
      </c>
      <c r="J184" s="847"/>
      <c r="K184" s="126" t="s">
        <v>804</v>
      </c>
      <c r="L184" s="129">
        <f>IF(L178="","",IF(L179=1,0,IF(K242-SUMIF($AM$262:$AM281,"=1",K186:K205)&lt;SUMIF($AM$262:$AM281,"=1",K186:K205),1,0)))</f>
        <v>0</v>
      </c>
      <c r="M184" s="847"/>
      <c r="N184" s="126" t="s">
        <v>804</v>
      </c>
      <c r="O184" s="129">
        <f>IF(O178="","",IF(O179=1,0,IF(N242-SUMIF($AM$262:$AM281,"=1",N186:N205)&lt;SUMIF($AM$262:$AM281,"=1",N186:N205),1,0)))</f>
        <v>0</v>
      </c>
      <c r="P184" s="847"/>
      <c r="Q184" s="126" t="s">
        <v>804</v>
      </c>
      <c r="R184" s="129">
        <f>IF(R178="","",IF(R179=1,0,IF(Q242-SUMIF($AM$262:$AM281,"=1",Q186:Q205)&lt;SUMIF($AM$262:$AM281,"=1",Q186:Q205),1,0)))</f>
        <v>0</v>
      </c>
      <c r="S184" s="847"/>
      <c r="T184" s="126" t="s">
        <v>804</v>
      </c>
      <c r="U184" s="129">
        <f>IF(U178="","",IF(U179=1,0,IF(T242-SUMIF($AM$262:$AM281,"=1",T186:T205)&lt;SUMIF($AM$262:$AM281,"=1",T186:T205),1,0)))</f>
        <v>0</v>
      </c>
      <c r="V184" s="847"/>
      <c r="W184" s="126" t="s">
        <v>804</v>
      </c>
      <c r="X184" s="129">
        <f>IF(X178="","",IF(X179=1,0,IF(W242-SUMIF($AM$262:$AM281,"=1",W186:W205)&lt;SUMIF($AM$262:$AM281,"=1",W186:W205),1,0)))</f>
        <v>1</v>
      </c>
      <c r="Y184" s="847"/>
      <c r="Z184" s="126" t="s">
        <v>804</v>
      </c>
      <c r="AA184" s="129">
        <f>IF(AA178="","",IF(AA179=1,0,IF((Z242-SUMIF($AM$262:$AM281,"=1",Z186:Z205))&lt;SUMIF($AM$262:$AM281,"=1",Z186:Z205),1,0)))</f>
        <v>0</v>
      </c>
      <c r="AB184" s="746"/>
      <c r="AC184" s="126" t="s">
        <v>804</v>
      </c>
      <c r="AD184" s="129">
        <f>IF(AD178="","",IF(AD179=1,0,IF(AC242-SUMIF($AM$262:$AM281,"=1",AC186:AC205)&lt;SUMIF($AM$262:$AM281,"=1",AC186:AC205),1,0)))</f>
        <v>0</v>
      </c>
      <c r="AE184" s="746"/>
      <c r="AF184" s="126" t="s">
        <v>804</v>
      </c>
      <c r="AG184" s="129" t="str">
        <f>IF(AG178="","",IF(AG179=1,0,IF(AF242-SUMIF($AM$262:$AM281,"=1",AF186:AF205)&lt;SUMIF($AM$262:$AM281,"=1",AF186:AF205),1,0)))</f>
        <v/>
      </c>
      <c r="AH184" s="746"/>
      <c r="AI184" s="126" t="s">
        <v>804</v>
      </c>
      <c r="AJ184" s="129" t="str">
        <f>IF(AJ178="","",IF(AJ179=1,0,IF(AI242-SUMIF($AM$262:$AM281,"=1",AI186:AI205)&lt;SUMIF($AM$262:$AM281,"=1",AI186:AI205),1,0)))</f>
        <v/>
      </c>
      <c r="AK184" s="746"/>
      <c r="AL184" s="126" t="s">
        <v>804</v>
      </c>
      <c r="AM184" s="129" t="str">
        <f>IF(AM178="","",IF(AM179=1,0,IF(AL242-SUMIF($AM$262:$AM281,"=1",AL186:AL205)&lt;SUMIF($AM$262:$AM281,"=1",AL186:AL205),1,0)))</f>
        <v/>
      </c>
      <c r="AN184" s="746"/>
      <c r="AO184" s="126" t="s">
        <v>804</v>
      </c>
      <c r="AP184" s="129" t="str">
        <f>IF(AP178="","",IF(AP179=1,0,IF(AO242-SUMIF($AM$262:$AM281,"=1",AO186:AO205)&lt;SUMIF($AM$262:$AM281,"=1",AO186:AO205),1,0)))</f>
        <v/>
      </c>
      <c r="AQ184" s="746"/>
      <c r="AR184" s="126" t="s">
        <v>804</v>
      </c>
      <c r="AS184" s="129" t="str">
        <f>IF(AS178="","",IF(AS179=1,0,IF(AR242-SUMIF($AM$262:$AM281,"=1",AR186:AR205)&lt;SUMIF($AM$262:$AM281,"=1",AR186:AR205),1,0)))</f>
        <v/>
      </c>
      <c r="AT184" s="746"/>
      <c r="AU184" s="126" t="s">
        <v>804</v>
      </c>
      <c r="AV184" s="129" t="str">
        <f>IF(AV178="","",IF(AV179=1,0,IF(AU242-SUMIF($AM$262:$AM281,"=1",AU186:AU205)&lt;SUMIF($AM$262:$AM281,"=1",AU186:AU205),1,0)))</f>
        <v/>
      </c>
      <c r="AW184" s="746"/>
      <c r="AX184" s="126" t="s">
        <v>804</v>
      </c>
      <c r="AY184" s="129" t="str">
        <f>IF(AY178="","",IF(AY179=1,0,IF(AX242-SUMIF($AM$262:$AM281,"=1",AX186:AX205)&lt;SUMIF($AM$262:$AM281,"=1",AX186:AX205),1,0)))</f>
        <v/>
      </c>
      <c r="AZ184" s="746"/>
      <c r="BA184" s="126" t="s">
        <v>804</v>
      </c>
      <c r="BB184" s="129" t="str">
        <f>IF(BB178="","",IF(BB179=1,0,IF(BA242-SUMIF($AM$262:$AM281,"=1",BA186:BA205)&lt;SUMIF($AM$262:$AM281,"=1",BA186:BA205),1,0)))</f>
        <v/>
      </c>
      <c r="BC184" s="746"/>
      <c r="BD184" s="126" t="s">
        <v>804</v>
      </c>
      <c r="BE184" s="129" t="str">
        <f>IF(BE178="","",IF(BE179=1,0,IF(BD242-SUMIF($AM$262:$AM281,"=1",BD186:BD205)&lt;SUMIF($AM$262:$AM281,"=1",BD186:BD205),1,0)))</f>
        <v/>
      </c>
      <c r="BF184" s="746"/>
      <c r="BG184" s="126" t="s">
        <v>804</v>
      </c>
      <c r="BH184" s="129" t="str">
        <f>IF(BH178="","",IF(BH179=1,0,IF(BG242-SUMIF($AM$262:$AM281,"=1",BG186:BG205)&lt;SUMIF($AM$262:$AM281,"=1",BG186:BG205),1,0)))</f>
        <v/>
      </c>
      <c r="BI184" s="746"/>
      <c r="BJ184" s="126" t="s">
        <v>804</v>
      </c>
      <c r="BK184" s="129" t="str">
        <f>IF(BK178="","",IF(BK179=1,0,IF(BJ242-SUMIF($AM$262:$AM281,"=1",BJ186:BJ205)&lt;SUMIF($AM$262:$AM281,"=1",BJ186:BJ205),1,0)))</f>
        <v/>
      </c>
      <c r="BL184" s="746"/>
      <c r="BM184" s="126" t="s">
        <v>804</v>
      </c>
      <c r="BN184" s="129" t="str">
        <f>IF(BN178="","",IF(BN179=1,0,IF(BM242-SUMIF($AM$262:$AM281,"=1",BM186:BM205)&lt;SUMIF($AM$262:$AM281,"=1",BM186:BM205),1,0)))</f>
        <v/>
      </c>
      <c r="BO184" s="746"/>
      <c r="BP184" s="126" t="s">
        <v>804</v>
      </c>
      <c r="BQ184" s="129" t="str">
        <f>IF(BQ178="","",IF(BQ179=1,0,IF(BP242-SUMIF($AM$262:$AM281,"=1",BP186:BP205)&lt;SUMIF($AM$262:$AM281,"=1",BP186:BP205),1,0)))</f>
        <v/>
      </c>
      <c r="BR184" s="746"/>
      <c r="BS184" s="126" t="s">
        <v>804</v>
      </c>
      <c r="BT184" s="129" t="str">
        <f>IF(BT178="","",IF(BT179=1,0,IF(BS242-SUMIF($AM$262:$AM281,"=1",BS186:BS205)&lt;SUMIF($AM$262:$AM281,"=1",BS186:BS205),1,0)))</f>
        <v/>
      </c>
      <c r="BU184" s="746"/>
      <c r="BV184" s="126" t="s">
        <v>804</v>
      </c>
      <c r="BW184" s="129" t="str">
        <f>IF(BW178="","",IF(BW179=1,0,IF(BV242-SUMIF($AM$262:$AM281,"=1",BV186:BV205)&lt;SUMIF($AM$262:$AM281,"=1",BV186:BV205),1,0)))</f>
        <v/>
      </c>
      <c r="BX184" s="746"/>
      <c r="BY184" s="126" t="s">
        <v>804</v>
      </c>
      <c r="BZ184" s="129" t="str">
        <f>IF(BZ178="","",IF(BZ179=1,0,IF(BY242-SUMIF($AM$262:$AM281,"=1",BY186:BY205)&lt;SUMIF($AM$262:$AM281,"=1",BY186:BY205),1,0)))</f>
        <v/>
      </c>
      <c r="CA184" s="746"/>
      <c r="CB184" s="126" t="s">
        <v>804</v>
      </c>
      <c r="CC184" s="129" t="str">
        <f>IF(CC178="","",IF(CC179=1,0,IF(CB242-SUMIF($AM$262:$AM281,"=1",CB186:CB205)&lt;SUMIF($AM$262:$AM281,"=1",CB186:CB205),1,0)))</f>
        <v/>
      </c>
      <c r="CD184" s="746"/>
      <c r="CE184" s="126" t="s">
        <v>804</v>
      </c>
      <c r="CF184" s="129" t="str">
        <f>IF(CF178="","",IF(CF179=1,0,IF(CE242-SUMIF($AM$262:$AM281,"=1",CE186:CE205)&lt;SUMIF($AM$262:$AM281,"=1",CE186:CE205),1,0)))</f>
        <v/>
      </c>
      <c r="CG184" s="746"/>
      <c r="CH184" s="126" t="s">
        <v>804</v>
      </c>
      <c r="CI184" s="129" t="str">
        <f>IF(CI178="","",IF(CI179=1,0,IF(CH242-SUMIF($AM$262:$AM281,"=1",CH186:CH205)&lt;SUMIF($AM$262:$AM281,"=1",CH186:CH205),1,0)))</f>
        <v/>
      </c>
      <c r="CJ184" s="746"/>
      <c r="CK184" s="126" t="s">
        <v>804</v>
      </c>
      <c r="CL184" s="129" t="str">
        <f>IF(CL178="","",IF(CL179=1,0,IF(CK242-SUMIF($AM$262:$AM281,"=1",CK186:CK205)&lt;SUMIF($AM$262:$AM281,"=1",CK186:CK205),1,0)))</f>
        <v/>
      </c>
      <c r="CM184" s="746"/>
      <c r="CN184" s="126" t="s">
        <v>804</v>
      </c>
      <c r="CO184" s="129" t="str">
        <f>IF(CO178="","",IF(CO179=1,0,IF(CN242-SUMIF($AM$262:$AM281,"=1",CN186:CN205)&lt;SUMIF($AM$262:$AM281,"=1",CN186:CN205),1,0)))</f>
        <v/>
      </c>
      <c r="CP184" s="746"/>
      <c r="CQ184" s="126" t="s">
        <v>804</v>
      </c>
      <c r="CR184" s="129" t="str">
        <f>IF(CR178="","",IF(CR179=1,0,IF(CQ242-SUMIF($AM$262:$AM281,"=1",CQ186:CQ205)&lt;SUMIF($AM$262:$AM281,"=1",CQ186:CQ205),1,0)))</f>
        <v/>
      </c>
      <c r="CS184" s="746"/>
      <c r="CT184" s="126" t="s">
        <v>804</v>
      </c>
      <c r="CU184" s="129" t="str">
        <f>IF(CU178="","",IF(CU179=1,0,IF(CT242-SUMIF($AM$262:$AM281,"=1",CT186:CT205)&lt;SUMIF($AM$262:$AM281,"=1",CT186:CT205),1,0)))</f>
        <v/>
      </c>
      <c r="CV184" s="746"/>
      <c r="CW184" s="126" t="s">
        <v>804</v>
      </c>
      <c r="CX184" s="129" t="str">
        <f>IF(CX178="","",IF(CX179=1,0,IF(CW242-SUMIF($AM$262:$AM281,"=1",CW186:CW205)&lt;SUMIF($AM$262:$AM281,"=1",CW186:CW205),1,0)))</f>
        <v/>
      </c>
      <c r="CY184" s="746"/>
      <c r="CZ184" s="126" t="s">
        <v>804</v>
      </c>
      <c r="DA184" s="129" t="str">
        <f>IF(DA178="","",IF(DA179=1,0,IF(CZ242-SUMIF($AM$262:$AM281,"=1",CZ186:CZ205)&lt;SUMIF($AM$262:$AM281,"=1",CZ186:CZ205),1,0)))</f>
        <v/>
      </c>
      <c r="DB184" s="746"/>
      <c r="DC184" s="126" t="s">
        <v>804</v>
      </c>
      <c r="DD184" s="129" t="str">
        <f>IF(DD178="","",IF(DD179=1,0,IF(DC242-SUMIF($AM$262:$AM281,"=1",DC186:DC205)&lt;SUMIF($AM$262:$AM281,"=1",DC186:DC205),1,0)))</f>
        <v/>
      </c>
      <c r="DE184" s="746"/>
      <c r="DF184" s="126" t="s">
        <v>804</v>
      </c>
      <c r="DG184" s="129" t="str">
        <f>IF(DG178="","",IF(DG179=1,0,IF(DF242-SUMIF($AM$262:$AM281,"=1",DF186:DF205)&lt;SUMIF($AM$262:$AM281,"=1",DF186:DF205),1,0)))</f>
        <v/>
      </c>
      <c r="DH184" s="746"/>
      <c r="DI184" s="126" t="s">
        <v>804</v>
      </c>
      <c r="DJ184" s="129" t="str">
        <f>IF(DJ178="","",IF(DJ179=1,0,IF(DI242-SUMIF($AM$262:$AM281,"=1",DI186:DI205)&lt;SUMIF($AM$262:$AM281,"=1",DI186:DI205),1,0)))</f>
        <v/>
      </c>
      <c r="DK184" s="746"/>
      <c r="DL184" s="126" t="s">
        <v>804</v>
      </c>
      <c r="DM184" s="129" t="str">
        <f>IF(DM178="","",IF(DM179=1,0,IF(DL242-SUMIF($AM$262:$AM281,"=1",DL186:DL205)&lt;SUMIF($AM$262:$AM281,"=1",DL186:DL205),1,0)))</f>
        <v/>
      </c>
      <c r="DN184" s="746"/>
      <c r="DO184" s="126" t="s">
        <v>804</v>
      </c>
      <c r="DP184" s="129" t="str">
        <f>IF(DP178="","",IF(DP179=1,0,IF(DO242-SUMIF($AM$262:$AM281,"=1",DO186:DO205)&lt;SUMIF($AM$262:$AM281,"=1",DO186:DO205),1,0)))</f>
        <v/>
      </c>
      <c r="DQ184" s="746"/>
      <c r="DR184" s="126" t="s">
        <v>804</v>
      </c>
      <c r="DS184" s="129" t="str">
        <f>IF(DS178="","",IF(DS179=1,0,IF(DR242-SUMIF($AM$262:$AM281,"=1",DR186:DR205)&lt;SUMIF($AM$262:$AM281,"=1",DR186:DR205),1,0)))</f>
        <v/>
      </c>
      <c r="DT184" s="746"/>
      <c r="DU184" s="126" t="s">
        <v>804</v>
      </c>
      <c r="DV184" s="129" t="str">
        <f>IF(DV178="","",IF(DV179=1,0,IF(DU242-SUMIF($AM$262:$AM281,"=1",DU186:DU205)&lt;SUMIF($AM$262:$AM281,"=1",DU186:DU205),1,0)))</f>
        <v/>
      </c>
      <c r="DW184" s="746"/>
      <c r="DX184" s="161"/>
    </row>
    <row r="185" spans="2:128" ht="23.25" customHeight="1" x14ac:dyDescent="0.2">
      <c r="B185" s="716"/>
      <c r="C185" s="717"/>
      <c r="D185" s="717"/>
      <c r="E185" s="310" t="s">
        <v>768</v>
      </c>
      <c r="F185" s="916" t="s">
        <v>1232</v>
      </c>
      <c r="G185" s="917"/>
      <c r="H185" s="30" t="s">
        <v>774</v>
      </c>
      <c r="I185" s="57" t="s">
        <v>776</v>
      </c>
      <c r="J185" s="2" t="s">
        <v>777</v>
      </c>
      <c r="K185" s="30" t="s">
        <v>774</v>
      </c>
      <c r="L185" s="57" t="s">
        <v>776</v>
      </c>
      <c r="M185" s="2" t="s">
        <v>777</v>
      </c>
      <c r="N185" s="30" t="s">
        <v>774</v>
      </c>
      <c r="O185" s="57" t="s">
        <v>776</v>
      </c>
      <c r="P185" s="2" t="s">
        <v>777</v>
      </c>
      <c r="Q185" s="30" t="s">
        <v>774</v>
      </c>
      <c r="R185" s="57" t="s">
        <v>776</v>
      </c>
      <c r="S185" s="2" t="s">
        <v>777</v>
      </c>
      <c r="T185" s="30" t="s">
        <v>774</v>
      </c>
      <c r="U185" s="57" t="s">
        <v>776</v>
      </c>
      <c r="V185" s="2" t="s">
        <v>777</v>
      </c>
      <c r="W185" s="30" t="s">
        <v>774</v>
      </c>
      <c r="X185" s="57" t="s">
        <v>776</v>
      </c>
      <c r="Y185" s="2" t="s">
        <v>777</v>
      </c>
      <c r="Z185" s="30" t="s">
        <v>774</v>
      </c>
      <c r="AA185" s="57" t="s">
        <v>776</v>
      </c>
      <c r="AB185" s="2" t="s">
        <v>777</v>
      </c>
      <c r="AC185" s="30" t="s">
        <v>774</v>
      </c>
      <c r="AD185" s="57" t="s">
        <v>776</v>
      </c>
      <c r="AE185" s="2" t="s">
        <v>777</v>
      </c>
      <c r="AF185" s="30" t="s">
        <v>774</v>
      </c>
      <c r="AG185" s="57" t="s">
        <v>776</v>
      </c>
      <c r="AH185" s="2" t="s">
        <v>777</v>
      </c>
      <c r="AI185" s="30" t="s">
        <v>774</v>
      </c>
      <c r="AJ185" s="57" t="s">
        <v>776</v>
      </c>
      <c r="AK185" s="2" t="s">
        <v>777</v>
      </c>
      <c r="AL185" s="30" t="s">
        <v>774</v>
      </c>
      <c r="AM185" s="57" t="s">
        <v>776</v>
      </c>
      <c r="AN185" s="2" t="s">
        <v>777</v>
      </c>
      <c r="AO185" s="30" t="s">
        <v>774</v>
      </c>
      <c r="AP185" s="57" t="s">
        <v>776</v>
      </c>
      <c r="AQ185" s="2" t="s">
        <v>777</v>
      </c>
      <c r="AR185" s="30" t="s">
        <v>774</v>
      </c>
      <c r="AS185" s="57" t="s">
        <v>776</v>
      </c>
      <c r="AT185" s="2" t="s">
        <v>777</v>
      </c>
      <c r="AU185" s="30" t="s">
        <v>774</v>
      </c>
      <c r="AV185" s="57" t="s">
        <v>776</v>
      </c>
      <c r="AW185" s="2" t="s">
        <v>777</v>
      </c>
      <c r="AX185" s="30" t="s">
        <v>774</v>
      </c>
      <c r="AY185" s="57" t="s">
        <v>776</v>
      </c>
      <c r="AZ185" s="2" t="s">
        <v>777</v>
      </c>
      <c r="BA185" s="30" t="s">
        <v>774</v>
      </c>
      <c r="BB185" s="57" t="s">
        <v>776</v>
      </c>
      <c r="BC185" s="2" t="s">
        <v>777</v>
      </c>
      <c r="BD185" s="30" t="s">
        <v>774</v>
      </c>
      <c r="BE185" s="57" t="s">
        <v>776</v>
      </c>
      <c r="BF185" s="2" t="s">
        <v>777</v>
      </c>
      <c r="BG185" s="30" t="s">
        <v>774</v>
      </c>
      <c r="BH185" s="57" t="s">
        <v>776</v>
      </c>
      <c r="BI185" s="2" t="s">
        <v>777</v>
      </c>
      <c r="BJ185" s="30" t="s">
        <v>774</v>
      </c>
      <c r="BK185" s="57" t="s">
        <v>776</v>
      </c>
      <c r="BL185" s="2" t="s">
        <v>777</v>
      </c>
      <c r="BM185" s="30" t="s">
        <v>774</v>
      </c>
      <c r="BN185" s="57" t="s">
        <v>776</v>
      </c>
      <c r="BO185" s="2" t="s">
        <v>777</v>
      </c>
      <c r="BP185" s="30" t="s">
        <v>774</v>
      </c>
      <c r="BQ185" s="57" t="s">
        <v>776</v>
      </c>
      <c r="BR185" s="2" t="s">
        <v>777</v>
      </c>
      <c r="BS185" s="30" t="s">
        <v>774</v>
      </c>
      <c r="BT185" s="57" t="s">
        <v>776</v>
      </c>
      <c r="BU185" s="2" t="s">
        <v>777</v>
      </c>
      <c r="BV185" s="30" t="s">
        <v>774</v>
      </c>
      <c r="BW185" s="57" t="s">
        <v>776</v>
      </c>
      <c r="BX185" s="2" t="s">
        <v>777</v>
      </c>
      <c r="BY185" s="30" t="s">
        <v>774</v>
      </c>
      <c r="BZ185" s="57" t="s">
        <v>776</v>
      </c>
      <c r="CA185" s="2" t="s">
        <v>777</v>
      </c>
      <c r="CB185" s="30" t="s">
        <v>774</v>
      </c>
      <c r="CC185" s="57" t="s">
        <v>776</v>
      </c>
      <c r="CD185" s="2" t="s">
        <v>777</v>
      </c>
      <c r="CE185" s="30" t="s">
        <v>774</v>
      </c>
      <c r="CF185" s="57" t="s">
        <v>776</v>
      </c>
      <c r="CG185" s="2" t="s">
        <v>777</v>
      </c>
      <c r="CH185" s="30" t="s">
        <v>774</v>
      </c>
      <c r="CI185" s="57" t="s">
        <v>776</v>
      </c>
      <c r="CJ185" s="2" t="s">
        <v>777</v>
      </c>
      <c r="CK185" s="30" t="s">
        <v>774</v>
      </c>
      <c r="CL185" s="57" t="s">
        <v>776</v>
      </c>
      <c r="CM185" s="2" t="s">
        <v>777</v>
      </c>
      <c r="CN185" s="30" t="s">
        <v>774</v>
      </c>
      <c r="CO185" s="57" t="s">
        <v>776</v>
      </c>
      <c r="CP185" s="2" t="s">
        <v>777</v>
      </c>
      <c r="CQ185" s="30" t="s">
        <v>774</v>
      </c>
      <c r="CR185" s="57" t="s">
        <v>776</v>
      </c>
      <c r="CS185" s="2" t="s">
        <v>777</v>
      </c>
      <c r="CT185" s="30" t="s">
        <v>774</v>
      </c>
      <c r="CU185" s="57" t="s">
        <v>776</v>
      </c>
      <c r="CV185" s="2" t="s">
        <v>777</v>
      </c>
      <c r="CW185" s="30" t="s">
        <v>774</v>
      </c>
      <c r="CX185" s="57" t="s">
        <v>776</v>
      </c>
      <c r="CY185" s="2" t="s">
        <v>777</v>
      </c>
      <c r="CZ185" s="30" t="s">
        <v>774</v>
      </c>
      <c r="DA185" s="57" t="s">
        <v>776</v>
      </c>
      <c r="DB185" s="2" t="s">
        <v>777</v>
      </c>
      <c r="DC185" s="30" t="s">
        <v>774</v>
      </c>
      <c r="DD185" s="57" t="s">
        <v>776</v>
      </c>
      <c r="DE185" s="2" t="s">
        <v>777</v>
      </c>
      <c r="DF185" s="30" t="s">
        <v>774</v>
      </c>
      <c r="DG185" s="57" t="s">
        <v>776</v>
      </c>
      <c r="DH185" s="2" t="s">
        <v>777</v>
      </c>
      <c r="DI185" s="30" t="s">
        <v>774</v>
      </c>
      <c r="DJ185" s="57" t="s">
        <v>776</v>
      </c>
      <c r="DK185" s="2" t="s">
        <v>777</v>
      </c>
      <c r="DL185" s="30" t="s">
        <v>774</v>
      </c>
      <c r="DM185" s="57" t="s">
        <v>776</v>
      </c>
      <c r="DN185" s="2" t="s">
        <v>777</v>
      </c>
      <c r="DO185" s="30" t="s">
        <v>774</v>
      </c>
      <c r="DP185" s="57" t="s">
        <v>776</v>
      </c>
      <c r="DQ185" s="2" t="s">
        <v>777</v>
      </c>
      <c r="DR185" s="30" t="s">
        <v>774</v>
      </c>
      <c r="DS185" s="57" t="s">
        <v>776</v>
      </c>
      <c r="DT185" s="2" t="s">
        <v>777</v>
      </c>
      <c r="DU185" s="30" t="s">
        <v>774</v>
      </c>
      <c r="DV185" s="57" t="s">
        <v>776</v>
      </c>
      <c r="DW185" s="2" t="s">
        <v>777</v>
      </c>
      <c r="DX185" s="161"/>
    </row>
    <row r="186" spans="2:128" ht="23.25" customHeight="1" x14ac:dyDescent="0.2">
      <c r="B186" s="716"/>
      <c r="C186" s="717"/>
      <c r="D186" s="717"/>
      <c r="E186" s="314">
        <f t="shared" ref="E186:E235" si="252">C32</f>
        <v>1</v>
      </c>
      <c r="F186" s="750" t="str">
        <f t="shared" ref="F186:F193" si="253">IF(D32&lt;&gt;"",D32,"")</f>
        <v>FAME (Methyl oleate)</v>
      </c>
      <c r="G186" s="751"/>
      <c r="H186" s="421">
        <v>986.04970000000003</v>
      </c>
      <c r="I186" s="59">
        <f t="shared" ref="I186:I205" si="254">IF($F32&gt;0,H186/$F32,"")</f>
        <v>3.3257659669194033</v>
      </c>
      <c r="J186" s="62">
        <f t="shared" ref="J186:J205" si="255">IF(I186="","",IF(I$236=0,0,I186/I$236))</f>
        <v>0.99787105109975049</v>
      </c>
      <c r="K186" s="421">
        <v>1.9E-3</v>
      </c>
      <c r="L186" s="59">
        <f t="shared" ref="L186:L205" si="256">IF($F32&gt;0,K186/$F32,"")</f>
        <v>6.4083537950945735E-6</v>
      </c>
      <c r="M186" s="62">
        <f t="shared" ref="M186:M205" si="257">IF(L186="","",IF(L$236=0,0,L186/L$236))</f>
        <v>5.5995465961027099E-6</v>
      </c>
      <c r="N186" s="421">
        <v>15.473699999999999</v>
      </c>
      <c r="O186" s="59">
        <f t="shared" ref="O186:O205" si="258">IF($F32&gt;0,N186/$F32,"")</f>
        <v>5.2189970589028897E-2</v>
      </c>
      <c r="P186" s="62">
        <f t="shared" ref="P186:P205" si="259">IF(O186="","",IF(O$236=0,0,O186/O$236))</f>
        <v>0.16459478873532765</v>
      </c>
      <c r="Q186" s="421">
        <v>0.55500000000000005</v>
      </c>
      <c r="R186" s="59">
        <f t="shared" ref="R186:R205" si="260">IF($F32&gt;0,Q186/$F32,"")</f>
        <v>1.8719138717249941E-3</v>
      </c>
      <c r="S186" s="60">
        <f t="shared" ref="S186:S205" si="261">IF(R186="","",IF(R$236=0,0,R186/R$236))</f>
        <v>8.6450674041211976E-3</v>
      </c>
      <c r="T186" s="421">
        <v>2.0999999999999999E-3</v>
      </c>
      <c r="U186" s="59">
        <f t="shared" ref="U186:U205" si="262">IF($F32&gt;0,T186/$F32,"")</f>
        <v>7.08291735247295E-6</v>
      </c>
      <c r="V186" s="60">
        <f t="shared" ref="V186:V205" si="263">IF(U186="","",IF(U$236=0,0,U186/U$236))</f>
        <v>1.0219478530431008E-5</v>
      </c>
      <c r="W186" s="421">
        <v>0</v>
      </c>
      <c r="X186" s="59">
        <f t="shared" ref="X186:X205" si="264">IF($F32&gt;0,W186/$F32,"")</f>
        <v>0</v>
      </c>
      <c r="Y186" s="60">
        <f t="shared" ref="Y186:Y205" si="265">IF(X186="","",IF(X$236=0,0,X186/X$236))</f>
        <v>0</v>
      </c>
      <c r="Z186" s="421">
        <v>3.8664000000000001</v>
      </c>
      <c r="AA186" s="59">
        <f t="shared" ref="AA186:AA205" si="266">IF($F32&gt;0,Z186/$F32,"")</f>
        <v>1.3040662691238769E-2</v>
      </c>
      <c r="AB186" s="60">
        <f t="shared" ref="AB186:AB205" si="267">IF(AA186="","",IF(AA$236=0,0,AA186/AA$236))</f>
        <v>5.5520483510544455E-3</v>
      </c>
      <c r="AC186" s="421"/>
      <c r="AD186" s="59">
        <f t="shared" ref="AD186:AD205" si="268">IF($F32&gt;0,AC186/$F32,"")</f>
        <v>0</v>
      </c>
      <c r="AE186" s="60">
        <f t="shared" ref="AE186:AE205" si="269">IF(AD186="","",IF(AD$236=0,0,AD186/AD$236))</f>
        <v>0</v>
      </c>
      <c r="AF186" s="421"/>
      <c r="AG186" s="59">
        <f t="shared" ref="AG186:AG205" si="270">IF($F32&gt;0,AF186/$F32,"")</f>
        <v>0</v>
      </c>
      <c r="AH186" s="60">
        <f t="shared" ref="AH186:AH205" si="271">IF(AG186="","",IF(AG$236=0,0,AG186/AG$236))</f>
        <v>0</v>
      </c>
      <c r="AI186" s="421"/>
      <c r="AJ186" s="59">
        <f t="shared" ref="AJ186:AJ205" si="272">IF($F32&gt;0,AI186/$F32,"")</f>
        <v>0</v>
      </c>
      <c r="AK186" s="60">
        <f t="shared" ref="AK186:AK205" si="273">IF(AJ186="","",IF(AJ$236=0,0,AJ186/AJ$236))</f>
        <v>0</v>
      </c>
      <c r="AL186" s="421"/>
      <c r="AM186" s="59">
        <f t="shared" ref="AM186:AM205" si="274">IF($F32&gt;0,AL186/$F32,"")</f>
        <v>0</v>
      </c>
      <c r="AN186" s="60">
        <f t="shared" ref="AN186:AN205" si="275">IF(AM186="","",IF(AM$236=0,0,AM186/AM$236))</f>
        <v>0</v>
      </c>
      <c r="AO186" s="421"/>
      <c r="AP186" s="59">
        <f t="shared" ref="AP186:AP205" si="276">IF($F32&gt;0,AO186/$F32,"")</f>
        <v>0</v>
      </c>
      <c r="AQ186" s="60">
        <f t="shared" ref="AQ186:AQ205" si="277">IF(AP186="","",IF(AP$236=0,0,AP186/AP$236))</f>
        <v>0</v>
      </c>
      <c r="AR186" s="421"/>
      <c r="AS186" s="59">
        <f t="shared" ref="AS186:AS205" si="278">IF($F32&gt;0,AR186/$F32,"")</f>
        <v>0</v>
      </c>
      <c r="AT186" s="60">
        <f t="shared" ref="AT186:AT205" si="279">IF(AS186="","",IF(AS$236=0,0,AS186/AS$236))</f>
        <v>0</v>
      </c>
      <c r="AU186" s="421"/>
      <c r="AV186" s="59">
        <f t="shared" ref="AV186:AV205" si="280">IF($F32&gt;0,AU186/$F32,"")</f>
        <v>0</v>
      </c>
      <c r="AW186" s="60">
        <f t="shared" ref="AW186:AW205" si="281">IF(AV186="","",IF(AV$236=0,0,AV186/AV$236))</f>
        <v>0</v>
      </c>
      <c r="AX186" s="421"/>
      <c r="AY186" s="59">
        <f t="shared" ref="AY186:AY205" si="282">IF($F32&gt;0,AX186/$F32,"")</f>
        <v>0</v>
      </c>
      <c r="AZ186" s="60">
        <f t="shared" ref="AZ186:AZ205" si="283">IF(AY186="","",IF(AY$236=0,0,AY186/AY$236))</f>
        <v>0</v>
      </c>
      <c r="BA186" s="421"/>
      <c r="BB186" s="59">
        <f t="shared" ref="BB186:BB205" si="284">IF($F32&gt;0,BA186/$F32,"")</f>
        <v>0</v>
      </c>
      <c r="BC186" s="60">
        <f t="shared" ref="BC186:BC205" si="285">IF(BB186="","",IF(BB$236=0,0,BB186/BB$236))</f>
        <v>0</v>
      </c>
      <c r="BD186" s="421"/>
      <c r="BE186" s="59">
        <f t="shared" ref="BE186:BE205" si="286">IF($F32&gt;0,BD186/$F32,"")</f>
        <v>0</v>
      </c>
      <c r="BF186" s="60">
        <f t="shared" ref="BF186:BF205" si="287">IF(BE186="","",IF(BE$236=0,0,BE186/BE$236))</f>
        <v>0</v>
      </c>
      <c r="BG186" s="421"/>
      <c r="BH186" s="59">
        <f t="shared" ref="BH186:BH205" si="288">IF($F32&gt;0,BG186/$F32,"")</f>
        <v>0</v>
      </c>
      <c r="BI186" s="60">
        <f t="shared" ref="BI186:BI205" si="289">IF(BH186="","",IF(BH$236=0,0,BH186/BH$236))</f>
        <v>0</v>
      </c>
      <c r="BJ186" s="421"/>
      <c r="BK186" s="59">
        <f t="shared" ref="BK186:BK205" si="290">IF($F32&gt;0,BJ186/$F32,"")</f>
        <v>0</v>
      </c>
      <c r="BL186" s="60">
        <f t="shared" ref="BL186:BL205" si="291">IF(BK186="","",IF(BK$236=0,0,BK186/BK$236))</f>
        <v>0</v>
      </c>
      <c r="BM186" s="421"/>
      <c r="BN186" s="59">
        <f t="shared" ref="BN186:BN205" si="292">IF($F32&gt;0,BM186/$F32,"")</f>
        <v>0</v>
      </c>
      <c r="BO186" s="60">
        <f t="shared" ref="BO186:BO205" si="293">IF(BN186="","",IF(BN$236=0,0,BN186/BN$236))</f>
        <v>0</v>
      </c>
      <c r="BP186" s="421"/>
      <c r="BQ186" s="59">
        <f t="shared" ref="BQ186:BQ205" si="294">IF($F32&gt;0,BP186/$F32,"")</f>
        <v>0</v>
      </c>
      <c r="BR186" s="60">
        <f t="shared" ref="BR186:BR205" si="295">IF(BQ186="","",IF(BQ$236=0,0,BQ186/BQ$236))</f>
        <v>0</v>
      </c>
      <c r="BS186" s="421"/>
      <c r="BT186" s="59">
        <f t="shared" ref="BT186:BT205" si="296">IF($F32&gt;0,BS186/$F32,"")</f>
        <v>0</v>
      </c>
      <c r="BU186" s="60">
        <f t="shared" ref="BU186:BU205" si="297">IF(BT186="","",IF(BT$236=0,0,BT186/BT$236))</f>
        <v>0</v>
      </c>
      <c r="BV186" s="421"/>
      <c r="BW186" s="59">
        <f t="shared" ref="BW186:BW205" si="298">IF($F32&gt;0,BV186/$F32,"")</f>
        <v>0</v>
      </c>
      <c r="BX186" s="60">
        <f t="shared" ref="BX186:BX205" si="299">IF(BW186="","",IF(BW$236=0,0,BW186/BW$236))</f>
        <v>0</v>
      </c>
      <c r="BY186" s="421"/>
      <c r="BZ186" s="59">
        <f t="shared" ref="BZ186:BZ205" si="300">IF($F32&gt;0,BY186/$F32,"")</f>
        <v>0</v>
      </c>
      <c r="CA186" s="60">
        <f t="shared" ref="CA186:CA205" si="301">IF(BZ186="","",IF(BZ$236=0,0,BZ186/BZ$236))</f>
        <v>0</v>
      </c>
      <c r="CB186" s="421"/>
      <c r="CC186" s="59">
        <f t="shared" ref="CC186:CC205" si="302">IF($F32&gt;0,CB186/$F32,"")</f>
        <v>0</v>
      </c>
      <c r="CD186" s="60">
        <f t="shared" ref="CD186:CD205" si="303">IF(CC186="","",IF(CC$236=0,0,CC186/CC$236))</f>
        <v>0</v>
      </c>
      <c r="CE186" s="421"/>
      <c r="CF186" s="59">
        <f t="shared" ref="CF186:CF205" si="304">IF($F32&gt;0,CE186/$F32,"")</f>
        <v>0</v>
      </c>
      <c r="CG186" s="60">
        <f t="shared" ref="CG186:CG205" si="305">IF(CF186="","",IF(CF$236=0,0,CF186/CF$236))</f>
        <v>0</v>
      </c>
      <c r="CH186" s="421"/>
      <c r="CI186" s="59">
        <f t="shared" ref="CI186:CI205" si="306">IF($F32&gt;0,CH186/$F32,"")</f>
        <v>0</v>
      </c>
      <c r="CJ186" s="60">
        <f t="shared" ref="CJ186:CJ205" si="307">IF(CI186="","",IF(CI$236=0,0,CI186/CI$236))</f>
        <v>0</v>
      </c>
      <c r="CK186" s="421"/>
      <c r="CL186" s="59">
        <f t="shared" ref="CL186:CL205" si="308">IF($F32&gt;0,CK186/$F32,"")</f>
        <v>0</v>
      </c>
      <c r="CM186" s="60">
        <f t="shared" ref="CM186:CM205" si="309">IF(CL186="","",IF(CL$236=0,0,CL186/CL$236))</f>
        <v>0</v>
      </c>
      <c r="CN186" s="421"/>
      <c r="CO186" s="59">
        <f t="shared" ref="CO186:CO205" si="310">IF($F32&gt;0,CN186/$F32,"")</f>
        <v>0</v>
      </c>
      <c r="CP186" s="60">
        <f t="shared" ref="CP186:CP205" si="311">IF(CO186="","",IF(CO$236=0,0,CO186/CO$236))</f>
        <v>0</v>
      </c>
      <c r="CQ186" s="421"/>
      <c r="CR186" s="59">
        <f t="shared" ref="CR186:CR205" si="312">IF($F32&gt;0,CQ186/$F32,"")</f>
        <v>0</v>
      </c>
      <c r="CS186" s="60">
        <f t="shared" ref="CS186:CS205" si="313">IF(CR186="","",IF(CR$236=0,0,CR186/CR$236))</f>
        <v>0</v>
      </c>
      <c r="CT186" s="421"/>
      <c r="CU186" s="59">
        <f t="shared" ref="CU186:CU205" si="314">IF($F32&gt;0,CT186/$F32,"")</f>
        <v>0</v>
      </c>
      <c r="CV186" s="60">
        <f t="shared" ref="CV186:CV205" si="315">IF(CU186="","",IF(CU$236=0,0,CU186/CU$236))</f>
        <v>0</v>
      </c>
      <c r="CW186" s="421"/>
      <c r="CX186" s="59">
        <f t="shared" ref="CX186:CX205" si="316">IF($F32&gt;0,CW186/$F32,"")</f>
        <v>0</v>
      </c>
      <c r="CY186" s="60">
        <f t="shared" ref="CY186:CY205" si="317">IF(CX186="","",IF(CX$236=0,0,CX186/CX$236))</f>
        <v>0</v>
      </c>
      <c r="CZ186" s="421"/>
      <c r="DA186" s="59">
        <f t="shared" ref="DA186:DA205" si="318">IF($F32&gt;0,CZ186/$F32,"")</f>
        <v>0</v>
      </c>
      <c r="DB186" s="60">
        <f t="shared" ref="DB186:DB205" si="319">IF(DA186="","",IF(DA$236=0,0,DA186/DA$236))</f>
        <v>0</v>
      </c>
      <c r="DC186" s="421"/>
      <c r="DD186" s="59">
        <f t="shared" ref="DD186:DD205" si="320">IF($F32&gt;0,DC186/$F32,"")</f>
        <v>0</v>
      </c>
      <c r="DE186" s="60">
        <f t="shared" ref="DE186:DE205" si="321">IF(DD186="","",IF(DD$236=0,0,DD186/DD$236))</f>
        <v>0</v>
      </c>
      <c r="DF186" s="421"/>
      <c r="DG186" s="59">
        <f t="shared" ref="DG186:DG205" si="322">IF($F32&gt;0,DF186/$F32,"")</f>
        <v>0</v>
      </c>
      <c r="DH186" s="60">
        <f t="shared" ref="DH186:DH205" si="323">IF(DG186="","",IF(DG$236=0,0,DG186/DG$236))</f>
        <v>0</v>
      </c>
      <c r="DI186" s="421"/>
      <c r="DJ186" s="59">
        <f t="shared" ref="DJ186:DJ205" si="324">IF($F32&gt;0,DI186/$F32,"")</f>
        <v>0</v>
      </c>
      <c r="DK186" s="60">
        <f t="shared" ref="DK186:DK205" si="325">IF(DJ186="","",IF(DJ$236=0,0,DJ186/DJ$236))</f>
        <v>0</v>
      </c>
      <c r="DL186" s="421"/>
      <c r="DM186" s="59">
        <f t="shared" ref="DM186:DM205" si="326">IF($F32&gt;0,DL186/$F32,"")</f>
        <v>0</v>
      </c>
      <c r="DN186" s="60">
        <f t="shared" ref="DN186:DN205" si="327">IF(DM186="","",IF(DM$236=0,0,DM186/DM$236))</f>
        <v>0</v>
      </c>
      <c r="DO186" s="421"/>
      <c r="DP186" s="59">
        <f t="shared" ref="DP186:DP205" si="328">IF($F32&gt;0,DO186/$F32,"")</f>
        <v>0</v>
      </c>
      <c r="DQ186" s="60">
        <f t="shared" ref="DQ186:DQ205" si="329">IF(DP186="","",IF(DP$236=0,0,DP186/DP$236))</f>
        <v>0</v>
      </c>
      <c r="DR186" s="421"/>
      <c r="DS186" s="59">
        <f t="shared" ref="DS186:DS205" si="330">IF($F32&gt;0,DR186/$F32,"")</f>
        <v>0</v>
      </c>
      <c r="DT186" s="60">
        <f t="shared" ref="DT186:DT205" si="331">IF(DS186="","",IF(DS$236=0,0,DS186/DS$236))</f>
        <v>0</v>
      </c>
      <c r="DU186" s="421"/>
      <c r="DV186" s="59">
        <f t="shared" ref="DV186:DV205" si="332">IF($F32&gt;0,DU186/$F32,"")</f>
        <v>0</v>
      </c>
      <c r="DW186" s="60">
        <f t="shared" ref="DW186:DW205" si="333">IF(DV186="","",IF(DV$236=0,0,DV186/DV$236))</f>
        <v>0</v>
      </c>
      <c r="DX186" s="161"/>
    </row>
    <row r="187" spans="2:128" ht="23.25" customHeight="1" x14ac:dyDescent="0.2">
      <c r="B187" s="716"/>
      <c r="C187" s="717"/>
      <c r="D187" s="717"/>
      <c r="E187" s="314">
        <f t="shared" si="252"/>
        <v>2</v>
      </c>
      <c r="F187" s="750" t="str">
        <f t="shared" si="253"/>
        <v>Glycerol</v>
      </c>
      <c r="G187" s="751"/>
      <c r="H187" s="421">
        <v>0</v>
      </c>
      <c r="I187" s="59">
        <f t="shared" si="254"/>
        <v>0</v>
      </c>
      <c r="J187" s="62">
        <f t="shared" si="255"/>
        <v>0</v>
      </c>
      <c r="K187" s="421">
        <v>103.7431</v>
      </c>
      <c r="L187" s="59">
        <f t="shared" si="256"/>
        <v>1.1264938573497889</v>
      </c>
      <c r="M187" s="62">
        <f t="shared" si="257"/>
        <v>0.9843175090117714</v>
      </c>
      <c r="N187" s="421">
        <v>0</v>
      </c>
      <c r="O187" s="59">
        <f t="shared" si="258"/>
        <v>0</v>
      </c>
      <c r="P187" s="62">
        <f t="shared" si="259"/>
        <v>0</v>
      </c>
      <c r="Q187" s="421">
        <v>0</v>
      </c>
      <c r="R187" s="59">
        <f t="shared" si="260"/>
        <v>0</v>
      </c>
      <c r="S187" s="60">
        <f t="shared" si="261"/>
        <v>0</v>
      </c>
      <c r="T187" s="421">
        <v>1.03E-2</v>
      </c>
      <c r="U187" s="59">
        <f t="shared" si="262"/>
        <v>1.1184249102545449E-4</v>
      </c>
      <c r="V187" s="60">
        <f t="shared" si="263"/>
        <v>1.6137022062321456E-4</v>
      </c>
      <c r="W187" s="421">
        <v>0</v>
      </c>
      <c r="X187" s="59">
        <f t="shared" si="264"/>
        <v>0</v>
      </c>
      <c r="Y187" s="60">
        <f t="shared" si="265"/>
        <v>0</v>
      </c>
      <c r="Z187" s="421">
        <v>110</v>
      </c>
      <c r="AA187" s="59">
        <f t="shared" si="266"/>
        <v>1.1944343701747566</v>
      </c>
      <c r="AB187" s="60">
        <f t="shared" si="267"/>
        <v>0.50852917005719767</v>
      </c>
      <c r="AC187" s="421"/>
      <c r="AD187" s="59">
        <f t="shared" si="268"/>
        <v>0</v>
      </c>
      <c r="AE187" s="60">
        <f t="shared" si="269"/>
        <v>0</v>
      </c>
      <c r="AF187" s="421"/>
      <c r="AG187" s="59">
        <f t="shared" si="270"/>
        <v>0</v>
      </c>
      <c r="AH187" s="60">
        <f t="shared" si="271"/>
        <v>0</v>
      </c>
      <c r="AI187" s="421"/>
      <c r="AJ187" s="59">
        <f t="shared" si="272"/>
        <v>0</v>
      </c>
      <c r="AK187" s="60">
        <f t="shared" si="273"/>
        <v>0</v>
      </c>
      <c r="AL187" s="421"/>
      <c r="AM187" s="59">
        <f t="shared" si="274"/>
        <v>0</v>
      </c>
      <c r="AN187" s="60">
        <f t="shared" si="275"/>
        <v>0</v>
      </c>
      <c r="AO187" s="421"/>
      <c r="AP187" s="59">
        <f t="shared" si="276"/>
        <v>0</v>
      </c>
      <c r="AQ187" s="60">
        <f t="shared" si="277"/>
        <v>0</v>
      </c>
      <c r="AR187" s="421"/>
      <c r="AS187" s="59">
        <f t="shared" si="278"/>
        <v>0</v>
      </c>
      <c r="AT187" s="60">
        <f t="shared" si="279"/>
        <v>0</v>
      </c>
      <c r="AU187" s="421"/>
      <c r="AV187" s="59">
        <f t="shared" si="280"/>
        <v>0</v>
      </c>
      <c r="AW187" s="60">
        <f t="shared" si="281"/>
        <v>0</v>
      </c>
      <c r="AX187" s="421"/>
      <c r="AY187" s="59">
        <f t="shared" si="282"/>
        <v>0</v>
      </c>
      <c r="AZ187" s="60">
        <f t="shared" si="283"/>
        <v>0</v>
      </c>
      <c r="BA187" s="421"/>
      <c r="BB187" s="59">
        <f t="shared" si="284"/>
        <v>0</v>
      </c>
      <c r="BC187" s="60">
        <f t="shared" si="285"/>
        <v>0</v>
      </c>
      <c r="BD187" s="421"/>
      <c r="BE187" s="59">
        <f t="shared" si="286"/>
        <v>0</v>
      </c>
      <c r="BF187" s="60">
        <f t="shared" si="287"/>
        <v>0</v>
      </c>
      <c r="BG187" s="421"/>
      <c r="BH187" s="59">
        <f t="shared" si="288"/>
        <v>0</v>
      </c>
      <c r="BI187" s="60">
        <f t="shared" si="289"/>
        <v>0</v>
      </c>
      <c r="BJ187" s="421"/>
      <c r="BK187" s="59">
        <f t="shared" si="290"/>
        <v>0</v>
      </c>
      <c r="BL187" s="60">
        <f t="shared" si="291"/>
        <v>0</v>
      </c>
      <c r="BM187" s="421"/>
      <c r="BN187" s="59">
        <f t="shared" si="292"/>
        <v>0</v>
      </c>
      <c r="BO187" s="60">
        <f t="shared" si="293"/>
        <v>0</v>
      </c>
      <c r="BP187" s="421"/>
      <c r="BQ187" s="59">
        <f t="shared" si="294"/>
        <v>0</v>
      </c>
      <c r="BR187" s="60">
        <f t="shared" si="295"/>
        <v>0</v>
      </c>
      <c r="BS187" s="421"/>
      <c r="BT187" s="59">
        <f t="shared" si="296"/>
        <v>0</v>
      </c>
      <c r="BU187" s="60">
        <f t="shared" si="297"/>
        <v>0</v>
      </c>
      <c r="BV187" s="421"/>
      <c r="BW187" s="59">
        <f t="shared" si="298"/>
        <v>0</v>
      </c>
      <c r="BX187" s="60">
        <f t="shared" si="299"/>
        <v>0</v>
      </c>
      <c r="BY187" s="421"/>
      <c r="BZ187" s="59">
        <f t="shared" si="300"/>
        <v>0</v>
      </c>
      <c r="CA187" s="60">
        <f t="shared" si="301"/>
        <v>0</v>
      </c>
      <c r="CB187" s="421"/>
      <c r="CC187" s="59">
        <f t="shared" si="302"/>
        <v>0</v>
      </c>
      <c r="CD187" s="60">
        <f t="shared" si="303"/>
        <v>0</v>
      </c>
      <c r="CE187" s="421"/>
      <c r="CF187" s="59">
        <f t="shared" si="304"/>
        <v>0</v>
      </c>
      <c r="CG187" s="60">
        <f t="shared" si="305"/>
        <v>0</v>
      </c>
      <c r="CH187" s="421"/>
      <c r="CI187" s="59">
        <f t="shared" si="306"/>
        <v>0</v>
      </c>
      <c r="CJ187" s="60">
        <f t="shared" si="307"/>
        <v>0</v>
      </c>
      <c r="CK187" s="421"/>
      <c r="CL187" s="59">
        <f t="shared" si="308"/>
        <v>0</v>
      </c>
      <c r="CM187" s="60">
        <f t="shared" si="309"/>
        <v>0</v>
      </c>
      <c r="CN187" s="421"/>
      <c r="CO187" s="59">
        <f t="shared" si="310"/>
        <v>0</v>
      </c>
      <c r="CP187" s="60">
        <f t="shared" si="311"/>
        <v>0</v>
      </c>
      <c r="CQ187" s="421"/>
      <c r="CR187" s="59">
        <f t="shared" si="312"/>
        <v>0</v>
      </c>
      <c r="CS187" s="60">
        <f t="shared" si="313"/>
        <v>0</v>
      </c>
      <c r="CT187" s="421"/>
      <c r="CU187" s="59">
        <f t="shared" si="314"/>
        <v>0</v>
      </c>
      <c r="CV187" s="60">
        <f t="shared" si="315"/>
        <v>0</v>
      </c>
      <c r="CW187" s="421"/>
      <c r="CX187" s="59">
        <f t="shared" si="316"/>
        <v>0</v>
      </c>
      <c r="CY187" s="60">
        <f t="shared" si="317"/>
        <v>0</v>
      </c>
      <c r="CZ187" s="421"/>
      <c r="DA187" s="59">
        <f t="shared" si="318"/>
        <v>0</v>
      </c>
      <c r="DB187" s="60">
        <f t="shared" si="319"/>
        <v>0</v>
      </c>
      <c r="DC187" s="421"/>
      <c r="DD187" s="59">
        <f t="shared" si="320"/>
        <v>0</v>
      </c>
      <c r="DE187" s="60">
        <f t="shared" si="321"/>
        <v>0</v>
      </c>
      <c r="DF187" s="421"/>
      <c r="DG187" s="59">
        <f t="shared" si="322"/>
        <v>0</v>
      </c>
      <c r="DH187" s="60">
        <f t="shared" si="323"/>
        <v>0</v>
      </c>
      <c r="DI187" s="421"/>
      <c r="DJ187" s="59">
        <f t="shared" si="324"/>
        <v>0</v>
      </c>
      <c r="DK187" s="60">
        <f t="shared" si="325"/>
        <v>0</v>
      </c>
      <c r="DL187" s="421"/>
      <c r="DM187" s="59">
        <f t="shared" si="326"/>
        <v>0</v>
      </c>
      <c r="DN187" s="60">
        <f t="shared" si="327"/>
        <v>0</v>
      </c>
      <c r="DO187" s="421"/>
      <c r="DP187" s="59">
        <f t="shared" si="328"/>
        <v>0</v>
      </c>
      <c r="DQ187" s="60">
        <f t="shared" si="329"/>
        <v>0</v>
      </c>
      <c r="DR187" s="421"/>
      <c r="DS187" s="59">
        <f t="shared" si="330"/>
        <v>0</v>
      </c>
      <c r="DT187" s="60">
        <f t="shared" si="331"/>
        <v>0</v>
      </c>
      <c r="DU187" s="421"/>
      <c r="DV187" s="59">
        <f t="shared" si="332"/>
        <v>0</v>
      </c>
      <c r="DW187" s="60">
        <f t="shared" si="333"/>
        <v>0</v>
      </c>
      <c r="DX187" s="161"/>
    </row>
    <row r="188" spans="2:128" ht="23.25" customHeight="1" x14ac:dyDescent="0.2">
      <c r="B188" s="716"/>
      <c r="C188" s="717"/>
      <c r="D188" s="717"/>
      <c r="E188" s="314">
        <f t="shared" si="252"/>
        <v>3</v>
      </c>
      <c r="F188" s="750" t="str">
        <f t="shared" si="253"/>
        <v>Methanol</v>
      </c>
      <c r="G188" s="751"/>
      <c r="H188" s="421">
        <v>3.6400000000000002E-2</v>
      </c>
      <c r="I188" s="59">
        <f t="shared" si="254"/>
        <v>1.1360125335888322E-3</v>
      </c>
      <c r="J188" s="62">
        <f t="shared" si="255"/>
        <v>3.408520119065402E-4</v>
      </c>
      <c r="K188" s="421">
        <v>0.17380000000000001</v>
      </c>
      <c r="L188" s="59">
        <f t="shared" si="256"/>
        <v>5.4241477565312923E-3</v>
      </c>
      <c r="M188" s="62">
        <f t="shared" si="257"/>
        <v>4.7395585634008698E-3</v>
      </c>
      <c r="N188" s="421">
        <v>1.8714</v>
      </c>
      <c r="O188" s="59">
        <f t="shared" si="258"/>
        <v>5.8404776246102762E-2</v>
      </c>
      <c r="P188" s="62">
        <f t="shared" si="259"/>
        <v>0.18419481173998184</v>
      </c>
      <c r="Q188" s="421">
        <v>0</v>
      </c>
      <c r="R188" s="59">
        <f t="shared" si="260"/>
        <v>0</v>
      </c>
      <c r="S188" s="60">
        <f t="shared" si="261"/>
        <v>0</v>
      </c>
      <c r="T188" s="421">
        <v>6.8154000000000003</v>
      </c>
      <c r="U188" s="59">
        <f t="shared" si="262"/>
        <v>0.21270274234673975</v>
      </c>
      <c r="V188" s="60">
        <f t="shared" si="263"/>
        <v>0.30689488534231862</v>
      </c>
      <c r="W188" s="421">
        <v>0</v>
      </c>
      <c r="X188" s="59">
        <f t="shared" si="264"/>
        <v>0</v>
      </c>
      <c r="Y188" s="60">
        <f t="shared" si="265"/>
        <v>0</v>
      </c>
      <c r="Z188" s="421">
        <v>22.85</v>
      </c>
      <c r="AA188" s="59">
        <f t="shared" si="266"/>
        <v>0.7131287470468356</v>
      </c>
      <c r="AB188" s="60">
        <f t="shared" si="267"/>
        <v>0.30361380996311921</v>
      </c>
      <c r="AC188" s="421"/>
      <c r="AD188" s="59">
        <f t="shared" si="268"/>
        <v>0</v>
      </c>
      <c r="AE188" s="60">
        <f t="shared" si="269"/>
        <v>0</v>
      </c>
      <c r="AF188" s="421"/>
      <c r="AG188" s="59">
        <f t="shared" si="270"/>
        <v>0</v>
      </c>
      <c r="AH188" s="60">
        <f t="shared" si="271"/>
        <v>0</v>
      </c>
      <c r="AI188" s="421"/>
      <c r="AJ188" s="59">
        <f t="shared" si="272"/>
        <v>0</v>
      </c>
      <c r="AK188" s="60">
        <f t="shared" si="273"/>
        <v>0</v>
      </c>
      <c r="AL188" s="421"/>
      <c r="AM188" s="59">
        <f t="shared" si="274"/>
        <v>0</v>
      </c>
      <c r="AN188" s="60">
        <f t="shared" si="275"/>
        <v>0</v>
      </c>
      <c r="AO188" s="421"/>
      <c r="AP188" s="59">
        <f t="shared" si="276"/>
        <v>0</v>
      </c>
      <c r="AQ188" s="60">
        <f t="shared" si="277"/>
        <v>0</v>
      </c>
      <c r="AR188" s="421"/>
      <c r="AS188" s="59">
        <f t="shared" si="278"/>
        <v>0</v>
      </c>
      <c r="AT188" s="60">
        <f t="shared" si="279"/>
        <v>0</v>
      </c>
      <c r="AU188" s="421"/>
      <c r="AV188" s="59">
        <f t="shared" si="280"/>
        <v>0</v>
      </c>
      <c r="AW188" s="60">
        <f t="shared" si="281"/>
        <v>0</v>
      </c>
      <c r="AX188" s="421"/>
      <c r="AY188" s="59">
        <f t="shared" si="282"/>
        <v>0</v>
      </c>
      <c r="AZ188" s="60">
        <f t="shared" si="283"/>
        <v>0</v>
      </c>
      <c r="BA188" s="421"/>
      <c r="BB188" s="59">
        <f t="shared" si="284"/>
        <v>0</v>
      </c>
      <c r="BC188" s="60">
        <f t="shared" si="285"/>
        <v>0</v>
      </c>
      <c r="BD188" s="421"/>
      <c r="BE188" s="59">
        <f t="shared" si="286"/>
        <v>0</v>
      </c>
      <c r="BF188" s="60">
        <f t="shared" si="287"/>
        <v>0</v>
      </c>
      <c r="BG188" s="421"/>
      <c r="BH188" s="59">
        <f t="shared" si="288"/>
        <v>0</v>
      </c>
      <c r="BI188" s="60">
        <f t="shared" si="289"/>
        <v>0</v>
      </c>
      <c r="BJ188" s="421"/>
      <c r="BK188" s="59">
        <f t="shared" si="290"/>
        <v>0</v>
      </c>
      <c r="BL188" s="60">
        <f t="shared" si="291"/>
        <v>0</v>
      </c>
      <c r="BM188" s="421"/>
      <c r="BN188" s="59">
        <f t="shared" si="292"/>
        <v>0</v>
      </c>
      <c r="BO188" s="60">
        <f t="shared" si="293"/>
        <v>0</v>
      </c>
      <c r="BP188" s="421"/>
      <c r="BQ188" s="59">
        <f t="shared" si="294"/>
        <v>0</v>
      </c>
      <c r="BR188" s="60">
        <f t="shared" si="295"/>
        <v>0</v>
      </c>
      <c r="BS188" s="421"/>
      <c r="BT188" s="59">
        <f t="shared" si="296"/>
        <v>0</v>
      </c>
      <c r="BU188" s="60">
        <f t="shared" si="297"/>
        <v>0</v>
      </c>
      <c r="BV188" s="421"/>
      <c r="BW188" s="59">
        <f t="shared" si="298"/>
        <v>0</v>
      </c>
      <c r="BX188" s="60">
        <f t="shared" si="299"/>
        <v>0</v>
      </c>
      <c r="BY188" s="421"/>
      <c r="BZ188" s="59">
        <f t="shared" si="300"/>
        <v>0</v>
      </c>
      <c r="CA188" s="60">
        <f t="shared" si="301"/>
        <v>0</v>
      </c>
      <c r="CB188" s="421"/>
      <c r="CC188" s="59">
        <f t="shared" si="302"/>
        <v>0</v>
      </c>
      <c r="CD188" s="60">
        <f t="shared" si="303"/>
        <v>0</v>
      </c>
      <c r="CE188" s="421"/>
      <c r="CF188" s="59">
        <f t="shared" si="304"/>
        <v>0</v>
      </c>
      <c r="CG188" s="60">
        <f t="shared" si="305"/>
        <v>0</v>
      </c>
      <c r="CH188" s="421"/>
      <c r="CI188" s="59">
        <f t="shared" si="306"/>
        <v>0</v>
      </c>
      <c r="CJ188" s="60">
        <f t="shared" si="307"/>
        <v>0</v>
      </c>
      <c r="CK188" s="421"/>
      <c r="CL188" s="59">
        <f t="shared" si="308"/>
        <v>0</v>
      </c>
      <c r="CM188" s="60">
        <f t="shared" si="309"/>
        <v>0</v>
      </c>
      <c r="CN188" s="421"/>
      <c r="CO188" s="59">
        <f t="shared" si="310"/>
        <v>0</v>
      </c>
      <c r="CP188" s="60">
        <f t="shared" si="311"/>
        <v>0</v>
      </c>
      <c r="CQ188" s="421"/>
      <c r="CR188" s="59">
        <f t="shared" si="312"/>
        <v>0</v>
      </c>
      <c r="CS188" s="60">
        <f t="shared" si="313"/>
        <v>0</v>
      </c>
      <c r="CT188" s="421"/>
      <c r="CU188" s="59">
        <f t="shared" si="314"/>
        <v>0</v>
      </c>
      <c r="CV188" s="60">
        <f t="shared" si="315"/>
        <v>0</v>
      </c>
      <c r="CW188" s="421"/>
      <c r="CX188" s="59">
        <f t="shared" si="316"/>
        <v>0</v>
      </c>
      <c r="CY188" s="60">
        <f t="shared" si="317"/>
        <v>0</v>
      </c>
      <c r="CZ188" s="421"/>
      <c r="DA188" s="59">
        <f t="shared" si="318"/>
        <v>0</v>
      </c>
      <c r="DB188" s="60">
        <f t="shared" si="319"/>
        <v>0</v>
      </c>
      <c r="DC188" s="421"/>
      <c r="DD188" s="59">
        <f t="shared" si="320"/>
        <v>0</v>
      </c>
      <c r="DE188" s="60">
        <f t="shared" si="321"/>
        <v>0</v>
      </c>
      <c r="DF188" s="421"/>
      <c r="DG188" s="59">
        <f t="shared" si="322"/>
        <v>0</v>
      </c>
      <c r="DH188" s="60">
        <f t="shared" si="323"/>
        <v>0</v>
      </c>
      <c r="DI188" s="421"/>
      <c r="DJ188" s="59">
        <f t="shared" si="324"/>
        <v>0</v>
      </c>
      <c r="DK188" s="60">
        <f t="shared" si="325"/>
        <v>0</v>
      </c>
      <c r="DL188" s="421"/>
      <c r="DM188" s="59">
        <f t="shared" si="326"/>
        <v>0</v>
      </c>
      <c r="DN188" s="60">
        <f t="shared" si="327"/>
        <v>0</v>
      </c>
      <c r="DO188" s="421"/>
      <c r="DP188" s="59">
        <f t="shared" si="328"/>
        <v>0</v>
      </c>
      <c r="DQ188" s="60">
        <f t="shared" si="329"/>
        <v>0</v>
      </c>
      <c r="DR188" s="421"/>
      <c r="DS188" s="59">
        <f t="shared" si="330"/>
        <v>0</v>
      </c>
      <c r="DT188" s="60">
        <f t="shared" si="331"/>
        <v>0</v>
      </c>
      <c r="DU188" s="421"/>
      <c r="DV188" s="59">
        <f t="shared" si="332"/>
        <v>0</v>
      </c>
      <c r="DW188" s="60">
        <f t="shared" si="333"/>
        <v>0</v>
      </c>
      <c r="DX188" s="161"/>
    </row>
    <row r="189" spans="2:128" ht="23.25" customHeight="1" x14ac:dyDescent="0.2">
      <c r="B189" s="716"/>
      <c r="C189" s="717"/>
      <c r="D189" s="717"/>
      <c r="E189" s="314">
        <f t="shared" si="252"/>
        <v>4</v>
      </c>
      <c r="F189" s="750" t="str">
        <f t="shared" si="253"/>
        <v>Phosphoric Acid</v>
      </c>
      <c r="G189" s="751"/>
      <c r="H189" s="421">
        <v>0</v>
      </c>
      <c r="I189" s="59">
        <f t="shared" si="254"/>
        <v>0</v>
      </c>
      <c r="J189" s="62">
        <f t="shared" si="255"/>
        <v>0</v>
      </c>
      <c r="K189" s="421">
        <v>0</v>
      </c>
      <c r="L189" s="59">
        <f t="shared" si="256"/>
        <v>0</v>
      </c>
      <c r="M189" s="62">
        <f t="shared" si="257"/>
        <v>0</v>
      </c>
      <c r="N189" s="421">
        <v>0</v>
      </c>
      <c r="O189" s="59">
        <f t="shared" si="258"/>
        <v>0</v>
      </c>
      <c r="P189" s="62">
        <f t="shared" si="259"/>
        <v>0</v>
      </c>
      <c r="Q189" s="421">
        <v>0</v>
      </c>
      <c r="R189" s="59">
        <f t="shared" si="260"/>
        <v>0</v>
      </c>
      <c r="S189" s="60">
        <f t="shared" si="261"/>
        <v>0</v>
      </c>
      <c r="T189" s="421">
        <v>0</v>
      </c>
      <c r="U189" s="59">
        <f t="shared" si="262"/>
        <v>0</v>
      </c>
      <c r="V189" s="60">
        <f t="shared" si="263"/>
        <v>0</v>
      </c>
      <c r="W189" s="421">
        <v>7.0537999999999998</v>
      </c>
      <c r="X189" s="59">
        <f t="shared" si="264"/>
        <v>7.1981076624161186E-2</v>
      </c>
      <c r="Y189" s="60">
        <f t="shared" si="265"/>
        <v>0.70538182107357816</v>
      </c>
      <c r="Z189" s="421">
        <v>0</v>
      </c>
      <c r="AA189" s="59">
        <f t="shared" si="266"/>
        <v>0</v>
      </c>
      <c r="AB189" s="60">
        <f t="shared" si="267"/>
        <v>0</v>
      </c>
      <c r="AC189" s="421"/>
      <c r="AD189" s="59">
        <f t="shared" si="268"/>
        <v>0</v>
      </c>
      <c r="AE189" s="60">
        <f t="shared" si="269"/>
        <v>0</v>
      </c>
      <c r="AF189" s="421"/>
      <c r="AG189" s="59">
        <f t="shared" si="270"/>
        <v>0</v>
      </c>
      <c r="AH189" s="60">
        <f t="shared" si="271"/>
        <v>0</v>
      </c>
      <c r="AI189" s="421"/>
      <c r="AJ189" s="59">
        <f t="shared" si="272"/>
        <v>0</v>
      </c>
      <c r="AK189" s="60">
        <f t="shared" si="273"/>
        <v>0</v>
      </c>
      <c r="AL189" s="421"/>
      <c r="AM189" s="59">
        <f t="shared" si="274"/>
        <v>0</v>
      </c>
      <c r="AN189" s="60">
        <f t="shared" si="275"/>
        <v>0</v>
      </c>
      <c r="AO189" s="421"/>
      <c r="AP189" s="59">
        <f t="shared" si="276"/>
        <v>0</v>
      </c>
      <c r="AQ189" s="60">
        <f t="shared" si="277"/>
        <v>0</v>
      </c>
      <c r="AR189" s="421"/>
      <c r="AS189" s="59">
        <f t="shared" si="278"/>
        <v>0</v>
      </c>
      <c r="AT189" s="60">
        <f t="shared" si="279"/>
        <v>0</v>
      </c>
      <c r="AU189" s="421"/>
      <c r="AV189" s="59">
        <f t="shared" si="280"/>
        <v>0</v>
      </c>
      <c r="AW189" s="60">
        <f t="shared" si="281"/>
        <v>0</v>
      </c>
      <c r="AX189" s="421"/>
      <c r="AY189" s="59">
        <f t="shared" si="282"/>
        <v>0</v>
      </c>
      <c r="AZ189" s="60">
        <f t="shared" si="283"/>
        <v>0</v>
      </c>
      <c r="BA189" s="421"/>
      <c r="BB189" s="59">
        <f t="shared" si="284"/>
        <v>0</v>
      </c>
      <c r="BC189" s="60">
        <f t="shared" si="285"/>
        <v>0</v>
      </c>
      <c r="BD189" s="421"/>
      <c r="BE189" s="59">
        <f t="shared" si="286"/>
        <v>0</v>
      </c>
      <c r="BF189" s="60">
        <f t="shared" si="287"/>
        <v>0</v>
      </c>
      <c r="BG189" s="421"/>
      <c r="BH189" s="59">
        <f t="shared" si="288"/>
        <v>0</v>
      </c>
      <c r="BI189" s="60">
        <f t="shared" si="289"/>
        <v>0</v>
      </c>
      <c r="BJ189" s="421"/>
      <c r="BK189" s="59">
        <f t="shared" si="290"/>
        <v>0</v>
      </c>
      <c r="BL189" s="60">
        <f t="shared" si="291"/>
        <v>0</v>
      </c>
      <c r="BM189" s="421"/>
      <c r="BN189" s="59">
        <f t="shared" si="292"/>
        <v>0</v>
      </c>
      <c r="BO189" s="60">
        <f t="shared" si="293"/>
        <v>0</v>
      </c>
      <c r="BP189" s="421"/>
      <c r="BQ189" s="59">
        <f t="shared" si="294"/>
        <v>0</v>
      </c>
      <c r="BR189" s="60">
        <f t="shared" si="295"/>
        <v>0</v>
      </c>
      <c r="BS189" s="421"/>
      <c r="BT189" s="59">
        <f t="shared" si="296"/>
        <v>0</v>
      </c>
      <c r="BU189" s="60">
        <f t="shared" si="297"/>
        <v>0</v>
      </c>
      <c r="BV189" s="421"/>
      <c r="BW189" s="59">
        <f t="shared" si="298"/>
        <v>0</v>
      </c>
      <c r="BX189" s="60">
        <f t="shared" si="299"/>
        <v>0</v>
      </c>
      <c r="BY189" s="421"/>
      <c r="BZ189" s="59">
        <f t="shared" si="300"/>
        <v>0</v>
      </c>
      <c r="CA189" s="60">
        <f t="shared" si="301"/>
        <v>0</v>
      </c>
      <c r="CB189" s="421"/>
      <c r="CC189" s="59">
        <f t="shared" si="302"/>
        <v>0</v>
      </c>
      <c r="CD189" s="60">
        <f t="shared" si="303"/>
        <v>0</v>
      </c>
      <c r="CE189" s="421"/>
      <c r="CF189" s="59">
        <f t="shared" si="304"/>
        <v>0</v>
      </c>
      <c r="CG189" s="60">
        <f t="shared" si="305"/>
        <v>0</v>
      </c>
      <c r="CH189" s="421"/>
      <c r="CI189" s="59">
        <f t="shared" si="306"/>
        <v>0</v>
      </c>
      <c r="CJ189" s="60">
        <f t="shared" si="307"/>
        <v>0</v>
      </c>
      <c r="CK189" s="421"/>
      <c r="CL189" s="59">
        <f t="shared" si="308"/>
        <v>0</v>
      </c>
      <c r="CM189" s="60">
        <f t="shared" si="309"/>
        <v>0</v>
      </c>
      <c r="CN189" s="421"/>
      <c r="CO189" s="59">
        <f t="shared" si="310"/>
        <v>0</v>
      </c>
      <c r="CP189" s="60">
        <f t="shared" si="311"/>
        <v>0</v>
      </c>
      <c r="CQ189" s="421"/>
      <c r="CR189" s="59">
        <f t="shared" si="312"/>
        <v>0</v>
      </c>
      <c r="CS189" s="60">
        <f t="shared" si="313"/>
        <v>0</v>
      </c>
      <c r="CT189" s="421"/>
      <c r="CU189" s="59">
        <f t="shared" si="314"/>
        <v>0</v>
      </c>
      <c r="CV189" s="60">
        <f t="shared" si="315"/>
        <v>0</v>
      </c>
      <c r="CW189" s="421"/>
      <c r="CX189" s="59">
        <f t="shared" si="316"/>
        <v>0</v>
      </c>
      <c r="CY189" s="60">
        <f t="shared" si="317"/>
        <v>0</v>
      </c>
      <c r="CZ189" s="421"/>
      <c r="DA189" s="59">
        <f t="shared" si="318"/>
        <v>0</v>
      </c>
      <c r="DB189" s="60">
        <f t="shared" si="319"/>
        <v>0</v>
      </c>
      <c r="DC189" s="421"/>
      <c r="DD189" s="59">
        <f t="shared" si="320"/>
        <v>0</v>
      </c>
      <c r="DE189" s="60">
        <f t="shared" si="321"/>
        <v>0</v>
      </c>
      <c r="DF189" s="421"/>
      <c r="DG189" s="59">
        <f t="shared" si="322"/>
        <v>0</v>
      </c>
      <c r="DH189" s="60">
        <f t="shared" si="323"/>
        <v>0</v>
      </c>
      <c r="DI189" s="421"/>
      <c r="DJ189" s="59">
        <f t="shared" si="324"/>
        <v>0</v>
      </c>
      <c r="DK189" s="60">
        <f t="shared" si="325"/>
        <v>0</v>
      </c>
      <c r="DL189" s="421"/>
      <c r="DM189" s="59">
        <f t="shared" si="326"/>
        <v>0</v>
      </c>
      <c r="DN189" s="60">
        <f t="shared" si="327"/>
        <v>0</v>
      </c>
      <c r="DO189" s="421"/>
      <c r="DP189" s="59">
        <f t="shared" si="328"/>
        <v>0</v>
      </c>
      <c r="DQ189" s="60">
        <f t="shared" si="329"/>
        <v>0</v>
      </c>
      <c r="DR189" s="421"/>
      <c r="DS189" s="59">
        <f t="shared" si="330"/>
        <v>0</v>
      </c>
      <c r="DT189" s="60">
        <f t="shared" si="331"/>
        <v>0</v>
      </c>
      <c r="DU189" s="421"/>
      <c r="DV189" s="59">
        <f t="shared" si="332"/>
        <v>0</v>
      </c>
      <c r="DW189" s="60">
        <f t="shared" si="333"/>
        <v>0</v>
      </c>
      <c r="DX189" s="161"/>
    </row>
    <row r="190" spans="2:128" ht="23.25" customHeight="1" x14ac:dyDescent="0.2">
      <c r="B190" s="716"/>
      <c r="C190" s="717"/>
      <c r="D190" s="717"/>
      <c r="E190" s="314">
        <f t="shared" si="252"/>
        <v>5</v>
      </c>
      <c r="F190" s="750" t="str">
        <f t="shared" si="253"/>
        <v>Trisodium Phosphate</v>
      </c>
      <c r="G190" s="751"/>
      <c r="H190" s="421">
        <v>0</v>
      </c>
      <c r="I190" s="59">
        <f t="shared" si="254"/>
        <v>0</v>
      </c>
      <c r="J190" s="62">
        <f t="shared" si="255"/>
        <v>0</v>
      </c>
      <c r="K190" s="421">
        <v>0</v>
      </c>
      <c r="L190" s="59">
        <f t="shared" si="256"/>
        <v>0</v>
      </c>
      <c r="M190" s="62">
        <f t="shared" si="257"/>
        <v>0</v>
      </c>
      <c r="N190" s="421">
        <v>0</v>
      </c>
      <c r="O190" s="59">
        <f t="shared" si="258"/>
        <v>0</v>
      </c>
      <c r="P190" s="62">
        <f t="shared" si="259"/>
        <v>0</v>
      </c>
      <c r="Q190" s="421">
        <v>0</v>
      </c>
      <c r="R190" s="59">
        <f t="shared" si="260"/>
        <v>0</v>
      </c>
      <c r="S190" s="60">
        <f t="shared" si="261"/>
        <v>0</v>
      </c>
      <c r="T190" s="421">
        <v>0</v>
      </c>
      <c r="U190" s="59">
        <f t="shared" si="262"/>
        <v>0</v>
      </c>
      <c r="V190" s="60">
        <f t="shared" si="263"/>
        <v>0</v>
      </c>
      <c r="W190" s="421">
        <v>4.9287999999999998</v>
      </c>
      <c r="X190" s="59">
        <f t="shared" si="264"/>
        <v>3.0064474414575975E-2</v>
      </c>
      <c r="Y190" s="60">
        <f t="shared" si="265"/>
        <v>0.29461817892642184</v>
      </c>
      <c r="Z190" s="421">
        <v>0</v>
      </c>
      <c r="AA190" s="59">
        <f t="shared" si="266"/>
        <v>0</v>
      </c>
      <c r="AB190" s="60">
        <f t="shared" si="267"/>
        <v>0</v>
      </c>
      <c r="AC190" s="421"/>
      <c r="AD190" s="59">
        <f t="shared" si="268"/>
        <v>0</v>
      </c>
      <c r="AE190" s="60">
        <f t="shared" si="269"/>
        <v>0</v>
      </c>
      <c r="AF190" s="421"/>
      <c r="AG190" s="59">
        <f t="shared" si="270"/>
        <v>0</v>
      </c>
      <c r="AH190" s="60">
        <f t="shared" si="271"/>
        <v>0</v>
      </c>
      <c r="AI190" s="421"/>
      <c r="AJ190" s="59">
        <f t="shared" si="272"/>
        <v>0</v>
      </c>
      <c r="AK190" s="60">
        <f t="shared" si="273"/>
        <v>0</v>
      </c>
      <c r="AL190" s="421"/>
      <c r="AM190" s="59">
        <f t="shared" si="274"/>
        <v>0</v>
      </c>
      <c r="AN190" s="60">
        <f t="shared" si="275"/>
        <v>0</v>
      </c>
      <c r="AO190" s="421"/>
      <c r="AP190" s="59">
        <f t="shared" si="276"/>
        <v>0</v>
      </c>
      <c r="AQ190" s="60">
        <f t="shared" si="277"/>
        <v>0</v>
      </c>
      <c r="AR190" s="421"/>
      <c r="AS190" s="59">
        <f t="shared" si="278"/>
        <v>0</v>
      </c>
      <c r="AT190" s="60">
        <f t="shared" si="279"/>
        <v>0</v>
      </c>
      <c r="AU190" s="421"/>
      <c r="AV190" s="59">
        <f t="shared" si="280"/>
        <v>0</v>
      </c>
      <c r="AW190" s="60">
        <f t="shared" si="281"/>
        <v>0</v>
      </c>
      <c r="AX190" s="421"/>
      <c r="AY190" s="59">
        <f t="shared" si="282"/>
        <v>0</v>
      </c>
      <c r="AZ190" s="60">
        <f t="shared" si="283"/>
        <v>0</v>
      </c>
      <c r="BA190" s="421"/>
      <c r="BB190" s="59">
        <f t="shared" si="284"/>
        <v>0</v>
      </c>
      <c r="BC190" s="60">
        <f t="shared" si="285"/>
        <v>0</v>
      </c>
      <c r="BD190" s="421"/>
      <c r="BE190" s="59">
        <f t="shared" si="286"/>
        <v>0</v>
      </c>
      <c r="BF190" s="60">
        <f t="shared" si="287"/>
        <v>0</v>
      </c>
      <c r="BG190" s="421"/>
      <c r="BH190" s="59">
        <f t="shared" si="288"/>
        <v>0</v>
      </c>
      <c r="BI190" s="60">
        <f t="shared" si="289"/>
        <v>0</v>
      </c>
      <c r="BJ190" s="421"/>
      <c r="BK190" s="59">
        <f t="shared" si="290"/>
        <v>0</v>
      </c>
      <c r="BL190" s="60">
        <f t="shared" si="291"/>
        <v>0</v>
      </c>
      <c r="BM190" s="421"/>
      <c r="BN190" s="59">
        <f t="shared" si="292"/>
        <v>0</v>
      </c>
      <c r="BO190" s="60">
        <f t="shared" si="293"/>
        <v>0</v>
      </c>
      <c r="BP190" s="421"/>
      <c r="BQ190" s="59">
        <f t="shared" si="294"/>
        <v>0</v>
      </c>
      <c r="BR190" s="60">
        <f t="shared" si="295"/>
        <v>0</v>
      </c>
      <c r="BS190" s="421"/>
      <c r="BT190" s="59">
        <f t="shared" si="296"/>
        <v>0</v>
      </c>
      <c r="BU190" s="60">
        <f t="shared" si="297"/>
        <v>0</v>
      </c>
      <c r="BV190" s="421"/>
      <c r="BW190" s="59">
        <f t="shared" si="298"/>
        <v>0</v>
      </c>
      <c r="BX190" s="60">
        <f t="shared" si="299"/>
        <v>0</v>
      </c>
      <c r="BY190" s="421"/>
      <c r="BZ190" s="59">
        <f t="shared" si="300"/>
        <v>0</v>
      </c>
      <c r="CA190" s="60">
        <f t="shared" si="301"/>
        <v>0</v>
      </c>
      <c r="CB190" s="421"/>
      <c r="CC190" s="59">
        <f t="shared" si="302"/>
        <v>0</v>
      </c>
      <c r="CD190" s="60">
        <f t="shared" si="303"/>
        <v>0</v>
      </c>
      <c r="CE190" s="421"/>
      <c r="CF190" s="59">
        <f t="shared" si="304"/>
        <v>0</v>
      </c>
      <c r="CG190" s="60">
        <f t="shared" si="305"/>
        <v>0</v>
      </c>
      <c r="CH190" s="421"/>
      <c r="CI190" s="59">
        <f t="shared" si="306"/>
        <v>0</v>
      </c>
      <c r="CJ190" s="60">
        <f t="shared" si="307"/>
        <v>0</v>
      </c>
      <c r="CK190" s="421"/>
      <c r="CL190" s="59">
        <f t="shared" si="308"/>
        <v>0</v>
      </c>
      <c r="CM190" s="60">
        <f t="shared" si="309"/>
        <v>0</v>
      </c>
      <c r="CN190" s="421"/>
      <c r="CO190" s="59">
        <f t="shared" si="310"/>
        <v>0</v>
      </c>
      <c r="CP190" s="60">
        <f t="shared" si="311"/>
        <v>0</v>
      </c>
      <c r="CQ190" s="421"/>
      <c r="CR190" s="59">
        <f t="shared" si="312"/>
        <v>0</v>
      </c>
      <c r="CS190" s="60">
        <f t="shared" si="313"/>
        <v>0</v>
      </c>
      <c r="CT190" s="421"/>
      <c r="CU190" s="59">
        <f t="shared" si="314"/>
        <v>0</v>
      </c>
      <c r="CV190" s="60">
        <f t="shared" si="315"/>
        <v>0</v>
      </c>
      <c r="CW190" s="421"/>
      <c r="CX190" s="59">
        <f t="shared" si="316"/>
        <v>0</v>
      </c>
      <c r="CY190" s="60">
        <f t="shared" si="317"/>
        <v>0</v>
      </c>
      <c r="CZ190" s="421"/>
      <c r="DA190" s="59">
        <f t="shared" si="318"/>
        <v>0</v>
      </c>
      <c r="DB190" s="60">
        <f t="shared" si="319"/>
        <v>0</v>
      </c>
      <c r="DC190" s="421"/>
      <c r="DD190" s="59">
        <f t="shared" si="320"/>
        <v>0</v>
      </c>
      <c r="DE190" s="60">
        <f t="shared" si="321"/>
        <v>0</v>
      </c>
      <c r="DF190" s="421"/>
      <c r="DG190" s="59">
        <f t="shared" si="322"/>
        <v>0</v>
      </c>
      <c r="DH190" s="60">
        <f t="shared" si="323"/>
        <v>0</v>
      </c>
      <c r="DI190" s="421"/>
      <c r="DJ190" s="59">
        <f t="shared" si="324"/>
        <v>0</v>
      </c>
      <c r="DK190" s="60">
        <f t="shared" si="325"/>
        <v>0</v>
      </c>
      <c r="DL190" s="421"/>
      <c r="DM190" s="59">
        <f t="shared" si="326"/>
        <v>0</v>
      </c>
      <c r="DN190" s="60">
        <f t="shared" si="327"/>
        <v>0</v>
      </c>
      <c r="DO190" s="421"/>
      <c r="DP190" s="59">
        <f t="shared" si="328"/>
        <v>0</v>
      </c>
      <c r="DQ190" s="60">
        <f t="shared" si="329"/>
        <v>0</v>
      </c>
      <c r="DR190" s="421"/>
      <c r="DS190" s="59">
        <f t="shared" si="330"/>
        <v>0</v>
      </c>
      <c r="DT190" s="60">
        <f t="shared" si="331"/>
        <v>0</v>
      </c>
      <c r="DU190" s="421"/>
      <c r="DV190" s="59">
        <f t="shared" si="332"/>
        <v>0</v>
      </c>
      <c r="DW190" s="60">
        <f t="shared" si="333"/>
        <v>0</v>
      </c>
      <c r="DX190" s="161"/>
    </row>
    <row r="191" spans="2:128" ht="23.25" customHeight="1" x14ac:dyDescent="0.2">
      <c r="B191" s="716"/>
      <c r="C191" s="717"/>
      <c r="D191" s="717"/>
      <c r="E191" s="314">
        <f t="shared" si="252"/>
        <v>6</v>
      </c>
      <c r="F191" s="750" t="str">
        <f t="shared" si="253"/>
        <v>OIL (Triolein)</v>
      </c>
      <c r="G191" s="751"/>
      <c r="H191" s="421">
        <v>3.8858000000000001</v>
      </c>
      <c r="I191" s="59">
        <f t="shared" si="254"/>
        <v>4.388592235202703E-3</v>
      </c>
      <c r="J191" s="62">
        <f t="shared" si="255"/>
        <v>1.3167640748474986E-3</v>
      </c>
      <c r="K191" s="421">
        <v>0</v>
      </c>
      <c r="L191" s="59">
        <f t="shared" si="256"/>
        <v>0</v>
      </c>
      <c r="M191" s="62">
        <f t="shared" si="257"/>
        <v>0</v>
      </c>
      <c r="N191" s="421">
        <v>4.53E-2</v>
      </c>
      <c r="O191" s="59">
        <f t="shared" si="258"/>
        <v>5.1161466944948907E-5</v>
      </c>
      <c r="P191" s="62">
        <f t="shared" si="259"/>
        <v>1.6135113218407359E-4</v>
      </c>
      <c r="Q191" s="421">
        <v>48.549300000000002</v>
      </c>
      <c r="R191" s="59">
        <f t="shared" si="260"/>
        <v>5.4831201040847856E-2</v>
      </c>
      <c r="S191" s="60">
        <f t="shared" si="261"/>
        <v>0.25322715751352104</v>
      </c>
      <c r="T191" s="421">
        <v>0</v>
      </c>
      <c r="U191" s="59">
        <f t="shared" si="262"/>
        <v>0</v>
      </c>
      <c r="V191" s="60">
        <f t="shared" si="263"/>
        <v>0</v>
      </c>
      <c r="W191" s="421">
        <v>0</v>
      </c>
      <c r="X191" s="59">
        <f t="shared" si="264"/>
        <v>0</v>
      </c>
      <c r="Y191" s="60">
        <f t="shared" si="265"/>
        <v>0</v>
      </c>
      <c r="Z191" s="421">
        <v>0</v>
      </c>
      <c r="AA191" s="59">
        <f t="shared" si="266"/>
        <v>0</v>
      </c>
      <c r="AB191" s="60">
        <f t="shared" si="267"/>
        <v>0</v>
      </c>
      <c r="AC191" s="421"/>
      <c r="AD191" s="59">
        <f t="shared" si="268"/>
        <v>0</v>
      </c>
      <c r="AE191" s="60">
        <f t="shared" si="269"/>
        <v>0</v>
      </c>
      <c r="AF191" s="421"/>
      <c r="AG191" s="59">
        <f t="shared" si="270"/>
        <v>0</v>
      </c>
      <c r="AH191" s="60">
        <f t="shared" si="271"/>
        <v>0</v>
      </c>
      <c r="AI191" s="421"/>
      <c r="AJ191" s="59">
        <f t="shared" si="272"/>
        <v>0</v>
      </c>
      <c r="AK191" s="60">
        <f t="shared" si="273"/>
        <v>0</v>
      </c>
      <c r="AL191" s="421"/>
      <c r="AM191" s="59">
        <f t="shared" si="274"/>
        <v>0</v>
      </c>
      <c r="AN191" s="60">
        <f t="shared" si="275"/>
        <v>0</v>
      </c>
      <c r="AO191" s="421"/>
      <c r="AP191" s="59">
        <f t="shared" si="276"/>
        <v>0</v>
      </c>
      <c r="AQ191" s="60">
        <f t="shared" si="277"/>
        <v>0</v>
      </c>
      <c r="AR191" s="421"/>
      <c r="AS191" s="59">
        <f t="shared" si="278"/>
        <v>0</v>
      </c>
      <c r="AT191" s="60">
        <f t="shared" si="279"/>
        <v>0</v>
      </c>
      <c r="AU191" s="421"/>
      <c r="AV191" s="59">
        <f t="shared" si="280"/>
        <v>0</v>
      </c>
      <c r="AW191" s="60">
        <f t="shared" si="281"/>
        <v>0</v>
      </c>
      <c r="AX191" s="421"/>
      <c r="AY191" s="59">
        <f t="shared" si="282"/>
        <v>0</v>
      </c>
      <c r="AZ191" s="60">
        <f t="shared" si="283"/>
        <v>0</v>
      </c>
      <c r="BA191" s="421"/>
      <c r="BB191" s="59">
        <f t="shared" si="284"/>
        <v>0</v>
      </c>
      <c r="BC191" s="60">
        <f t="shared" si="285"/>
        <v>0</v>
      </c>
      <c r="BD191" s="421"/>
      <c r="BE191" s="59">
        <f t="shared" si="286"/>
        <v>0</v>
      </c>
      <c r="BF191" s="60">
        <f t="shared" si="287"/>
        <v>0</v>
      </c>
      <c r="BG191" s="421"/>
      <c r="BH191" s="59">
        <f t="shared" si="288"/>
        <v>0</v>
      </c>
      <c r="BI191" s="60">
        <f t="shared" si="289"/>
        <v>0</v>
      </c>
      <c r="BJ191" s="421"/>
      <c r="BK191" s="59">
        <f t="shared" si="290"/>
        <v>0</v>
      </c>
      <c r="BL191" s="60">
        <f t="shared" si="291"/>
        <v>0</v>
      </c>
      <c r="BM191" s="421"/>
      <c r="BN191" s="59">
        <f t="shared" si="292"/>
        <v>0</v>
      </c>
      <c r="BO191" s="60">
        <f t="shared" si="293"/>
        <v>0</v>
      </c>
      <c r="BP191" s="421"/>
      <c r="BQ191" s="59">
        <f t="shared" si="294"/>
        <v>0</v>
      </c>
      <c r="BR191" s="60">
        <f t="shared" si="295"/>
        <v>0</v>
      </c>
      <c r="BS191" s="421"/>
      <c r="BT191" s="59">
        <f t="shared" si="296"/>
        <v>0</v>
      </c>
      <c r="BU191" s="60">
        <f t="shared" si="297"/>
        <v>0</v>
      </c>
      <c r="BV191" s="421"/>
      <c r="BW191" s="59">
        <f t="shared" si="298"/>
        <v>0</v>
      </c>
      <c r="BX191" s="60">
        <f t="shared" si="299"/>
        <v>0</v>
      </c>
      <c r="BY191" s="421"/>
      <c r="BZ191" s="59">
        <f t="shared" si="300"/>
        <v>0</v>
      </c>
      <c r="CA191" s="60">
        <f t="shared" si="301"/>
        <v>0</v>
      </c>
      <c r="CB191" s="421"/>
      <c r="CC191" s="59">
        <f t="shared" si="302"/>
        <v>0</v>
      </c>
      <c r="CD191" s="60">
        <f t="shared" si="303"/>
        <v>0</v>
      </c>
      <c r="CE191" s="421"/>
      <c r="CF191" s="59">
        <f t="shared" si="304"/>
        <v>0</v>
      </c>
      <c r="CG191" s="60">
        <f t="shared" si="305"/>
        <v>0</v>
      </c>
      <c r="CH191" s="421"/>
      <c r="CI191" s="59">
        <f t="shared" si="306"/>
        <v>0</v>
      </c>
      <c r="CJ191" s="60">
        <f t="shared" si="307"/>
        <v>0</v>
      </c>
      <c r="CK191" s="421"/>
      <c r="CL191" s="59">
        <f t="shared" si="308"/>
        <v>0</v>
      </c>
      <c r="CM191" s="60">
        <f t="shared" si="309"/>
        <v>0</v>
      </c>
      <c r="CN191" s="421"/>
      <c r="CO191" s="59">
        <f t="shared" si="310"/>
        <v>0</v>
      </c>
      <c r="CP191" s="60">
        <f t="shared" si="311"/>
        <v>0</v>
      </c>
      <c r="CQ191" s="421"/>
      <c r="CR191" s="59">
        <f t="shared" si="312"/>
        <v>0</v>
      </c>
      <c r="CS191" s="60">
        <f t="shared" si="313"/>
        <v>0</v>
      </c>
      <c r="CT191" s="421"/>
      <c r="CU191" s="59">
        <f t="shared" si="314"/>
        <v>0</v>
      </c>
      <c r="CV191" s="60">
        <f t="shared" si="315"/>
        <v>0</v>
      </c>
      <c r="CW191" s="421"/>
      <c r="CX191" s="59">
        <f t="shared" si="316"/>
        <v>0</v>
      </c>
      <c r="CY191" s="60">
        <f t="shared" si="317"/>
        <v>0</v>
      </c>
      <c r="CZ191" s="421"/>
      <c r="DA191" s="59">
        <f t="shared" si="318"/>
        <v>0</v>
      </c>
      <c r="DB191" s="60">
        <f t="shared" si="319"/>
        <v>0</v>
      </c>
      <c r="DC191" s="421"/>
      <c r="DD191" s="59">
        <f t="shared" si="320"/>
        <v>0</v>
      </c>
      <c r="DE191" s="60">
        <f t="shared" si="321"/>
        <v>0</v>
      </c>
      <c r="DF191" s="421"/>
      <c r="DG191" s="59">
        <f t="shared" si="322"/>
        <v>0</v>
      </c>
      <c r="DH191" s="60">
        <f t="shared" si="323"/>
        <v>0</v>
      </c>
      <c r="DI191" s="421"/>
      <c r="DJ191" s="59">
        <f t="shared" si="324"/>
        <v>0</v>
      </c>
      <c r="DK191" s="60">
        <f t="shared" si="325"/>
        <v>0</v>
      </c>
      <c r="DL191" s="421"/>
      <c r="DM191" s="59">
        <f t="shared" si="326"/>
        <v>0</v>
      </c>
      <c r="DN191" s="60">
        <f t="shared" si="327"/>
        <v>0</v>
      </c>
      <c r="DO191" s="421"/>
      <c r="DP191" s="59">
        <f t="shared" si="328"/>
        <v>0</v>
      </c>
      <c r="DQ191" s="60">
        <f t="shared" si="329"/>
        <v>0</v>
      </c>
      <c r="DR191" s="421"/>
      <c r="DS191" s="59">
        <f t="shared" si="330"/>
        <v>0</v>
      </c>
      <c r="DT191" s="60">
        <f t="shared" si="331"/>
        <v>0</v>
      </c>
      <c r="DU191" s="421"/>
      <c r="DV191" s="59">
        <f t="shared" si="332"/>
        <v>0</v>
      </c>
      <c r="DW191" s="60">
        <f t="shared" si="333"/>
        <v>0</v>
      </c>
      <c r="DX191" s="161"/>
    </row>
    <row r="192" spans="2:128" ht="23.25" customHeight="1" x14ac:dyDescent="0.2">
      <c r="B192" s="716"/>
      <c r="C192" s="717"/>
      <c r="D192" s="717"/>
      <c r="E192" s="314">
        <f t="shared" si="252"/>
        <v>7</v>
      </c>
      <c r="F192" s="750" t="str">
        <f t="shared" si="253"/>
        <v>Water</v>
      </c>
      <c r="G192" s="751"/>
      <c r="H192" s="421">
        <v>2.8299999999999999E-2</v>
      </c>
      <c r="I192" s="59">
        <f t="shared" si="254"/>
        <v>1.5708869682991679E-3</v>
      </c>
      <c r="J192" s="62">
        <f t="shared" si="255"/>
        <v>4.7133281349546596E-4</v>
      </c>
      <c r="K192" s="421">
        <v>0.22550000000000001</v>
      </c>
      <c r="L192" s="59">
        <f t="shared" si="256"/>
        <v>1.2517138210299024E-2</v>
      </c>
      <c r="M192" s="62">
        <f t="shared" si="257"/>
        <v>1.0937332878231435E-2</v>
      </c>
      <c r="N192" s="421">
        <v>3.7189999999999999</v>
      </c>
      <c r="O192" s="59">
        <f t="shared" si="258"/>
        <v>0.20643564081641716</v>
      </c>
      <c r="P192" s="62">
        <f t="shared" si="259"/>
        <v>0.65104904839250655</v>
      </c>
      <c r="Q192" s="421">
        <v>0</v>
      </c>
      <c r="R192" s="59">
        <f t="shared" si="260"/>
        <v>0</v>
      </c>
      <c r="S192" s="60">
        <f t="shared" si="261"/>
        <v>0</v>
      </c>
      <c r="T192" s="421">
        <v>8.6519999999999992</v>
      </c>
      <c r="U192" s="59">
        <f t="shared" si="262"/>
        <v>0.48025844698672793</v>
      </c>
      <c r="V192" s="60">
        <f t="shared" si="263"/>
        <v>0.69293352495852767</v>
      </c>
      <c r="W192" s="421">
        <v>0</v>
      </c>
      <c r="X192" s="59">
        <f t="shared" si="264"/>
        <v>0</v>
      </c>
      <c r="Y192" s="60">
        <f t="shared" si="265"/>
        <v>0</v>
      </c>
      <c r="Z192" s="421">
        <v>7.6916000000000002</v>
      </c>
      <c r="AA192" s="59">
        <f t="shared" si="266"/>
        <v>0.42694820513674492</v>
      </c>
      <c r="AB192" s="60">
        <f t="shared" si="267"/>
        <v>0.18177274686413541</v>
      </c>
      <c r="AC192" s="421"/>
      <c r="AD192" s="59">
        <f t="shared" si="268"/>
        <v>0</v>
      </c>
      <c r="AE192" s="60">
        <f t="shared" si="269"/>
        <v>0</v>
      </c>
      <c r="AF192" s="421"/>
      <c r="AG192" s="59">
        <f t="shared" si="270"/>
        <v>0</v>
      </c>
      <c r="AH192" s="60">
        <f t="shared" si="271"/>
        <v>0</v>
      </c>
      <c r="AI192" s="421"/>
      <c r="AJ192" s="59">
        <f t="shared" si="272"/>
        <v>0</v>
      </c>
      <c r="AK192" s="60">
        <f t="shared" si="273"/>
        <v>0</v>
      </c>
      <c r="AL192" s="421"/>
      <c r="AM192" s="59">
        <f t="shared" si="274"/>
        <v>0</v>
      </c>
      <c r="AN192" s="60">
        <f t="shared" si="275"/>
        <v>0</v>
      </c>
      <c r="AO192" s="421"/>
      <c r="AP192" s="59">
        <f t="shared" si="276"/>
        <v>0</v>
      </c>
      <c r="AQ192" s="60">
        <f t="shared" si="277"/>
        <v>0</v>
      </c>
      <c r="AR192" s="421"/>
      <c r="AS192" s="59">
        <f t="shared" si="278"/>
        <v>0</v>
      </c>
      <c r="AT192" s="60">
        <f t="shared" si="279"/>
        <v>0</v>
      </c>
      <c r="AU192" s="421"/>
      <c r="AV192" s="59">
        <f t="shared" si="280"/>
        <v>0</v>
      </c>
      <c r="AW192" s="60">
        <f t="shared" si="281"/>
        <v>0</v>
      </c>
      <c r="AX192" s="421"/>
      <c r="AY192" s="59">
        <f t="shared" si="282"/>
        <v>0</v>
      </c>
      <c r="AZ192" s="60">
        <f t="shared" si="283"/>
        <v>0</v>
      </c>
      <c r="BA192" s="421"/>
      <c r="BB192" s="59">
        <f t="shared" si="284"/>
        <v>0</v>
      </c>
      <c r="BC192" s="60">
        <f t="shared" si="285"/>
        <v>0</v>
      </c>
      <c r="BD192" s="421"/>
      <c r="BE192" s="59">
        <f t="shared" si="286"/>
        <v>0</v>
      </c>
      <c r="BF192" s="60">
        <f t="shared" si="287"/>
        <v>0</v>
      </c>
      <c r="BG192" s="421"/>
      <c r="BH192" s="59">
        <f t="shared" si="288"/>
        <v>0</v>
      </c>
      <c r="BI192" s="60">
        <f t="shared" si="289"/>
        <v>0</v>
      </c>
      <c r="BJ192" s="421"/>
      <c r="BK192" s="59">
        <f t="shared" si="290"/>
        <v>0</v>
      </c>
      <c r="BL192" s="60">
        <f t="shared" si="291"/>
        <v>0</v>
      </c>
      <c r="BM192" s="421"/>
      <c r="BN192" s="59">
        <f t="shared" si="292"/>
        <v>0</v>
      </c>
      <c r="BO192" s="60">
        <f t="shared" si="293"/>
        <v>0</v>
      </c>
      <c r="BP192" s="421"/>
      <c r="BQ192" s="59">
        <f t="shared" si="294"/>
        <v>0</v>
      </c>
      <c r="BR192" s="60">
        <f t="shared" si="295"/>
        <v>0</v>
      </c>
      <c r="BS192" s="421"/>
      <c r="BT192" s="59">
        <f t="shared" si="296"/>
        <v>0</v>
      </c>
      <c r="BU192" s="60">
        <f t="shared" si="297"/>
        <v>0</v>
      </c>
      <c r="BV192" s="421"/>
      <c r="BW192" s="59">
        <f t="shared" si="298"/>
        <v>0</v>
      </c>
      <c r="BX192" s="60">
        <f t="shared" si="299"/>
        <v>0</v>
      </c>
      <c r="BY192" s="421"/>
      <c r="BZ192" s="59">
        <f t="shared" si="300"/>
        <v>0</v>
      </c>
      <c r="CA192" s="60">
        <f t="shared" si="301"/>
        <v>0</v>
      </c>
      <c r="CB192" s="421"/>
      <c r="CC192" s="59">
        <f t="shared" si="302"/>
        <v>0</v>
      </c>
      <c r="CD192" s="60">
        <f t="shared" si="303"/>
        <v>0</v>
      </c>
      <c r="CE192" s="421"/>
      <c r="CF192" s="59">
        <f t="shared" si="304"/>
        <v>0</v>
      </c>
      <c r="CG192" s="60">
        <f t="shared" si="305"/>
        <v>0</v>
      </c>
      <c r="CH192" s="421"/>
      <c r="CI192" s="59">
        <f t="shared" si="306"/>
        <v>0</v>
      </c>
      <c r="CJ192" s="60">
        <f t="shared" si="307"/>
        <v>0</v>
      </c>
      <c r="CK192" s="421"/>
      <c r="CL192" s="59">
        <f t="shared" si="308"/>
        <v>0</v>
      </c>
      <c r="CM192" s="60">
        <f t="shared" si="309"/>
        <v>0</v>
      </c>
      <c r="CN192" s="421"/>
      <c r="CO192" s="59">
        <f t="shared" si="310"/>
        <v>0</v>
      </c>
      <c r="CP192" s="60">
        <f t="shared" si="311"/>
        <v>0</v>
      </c>
      <c r="CQ192" s="421"/>
      <c r="CR192" s="59">
        <f t="shared" si="312"/>
        <v>0</v>
      </c>
      <c r="CS192" s="60">
        <f t="shared" si="313"/>
        <v>0</v>
      </c>
      <c r="CT192" s="421"/>
      <c r="CU192" s="59">
        <f t="shared" si="314"/>
        <v>0</v>
      </c>
      <c r="CV192" s="60">
        <f t="shared" si="315"/>
        <v>0</v>
      </c>
      <c r="CW192" s="421"/>
      <c r="CX192" s="59">
        <f t="shared" si="316"/>
        <v>0</v>
      </c>
      <c r="CY192" s="60">
        <f t="shared" si="317"/>
        <v>0</v>
      </c>
      <c r="CZ192" s="421"/>
      <c r="DA192" s="59">
        <f t="shared" si="318"/>
        <v>0</v>
      </c>
      <c r="DB192" s="60">
        <f t="shared" si="319"/>
        <v>0</v>
      </c>
      <c r="DC192" s="421"/>
      <c r="DD192" s="59">
        <f t="shared" si="320"/>
        <v>0</v>
      </c>
      <c r="DE192" s="60">
        <f t="shared" si="321"/>
        <v>0</v>
      </c>
      <c r="DF192" s="421"/>
      <c r="DG192" s="59">
        <f t="shared" si="322"/>
        <v>0</v>
      </c>
      <c r="DH192" s="60">
        <f t="shared" si="323"/>
        <v>0</v>
      </c>
      <c r="DI192" s="421"/>
      <c r="DJ192" s="59">
        <f t="shared" si="324"/>
        <v>0</v>
      </c>
      <c r="DK192" s="60">
        <f t="shared" si="325"/>
        <v>0</v>
      </c>
      <c r="DL192" s="421"/>
      <c r="DM192" s="59">
        <f t="shared" si="326"/>
        <v>0</v>
      </c>
      <c r="DN192" s="60">
        <f t="shared" si="327"/>
        <v>0</v>
      </c>
      <c r="DO192" s="421"/>
      <c r="DP192" s="59">
        <f t="shared" si="328"/>
        <v>0</v>
      </c>
      <c r="DQ192" s="60">
        <f t="shared" si="329"/>
        <v>0</v>
      </c>
      <c r="DR192" s="421"/>
      <c r="DS192" s="59">
        <f t="shared" si="330"/>
        <v>0</v>
      </c>
      <c r="DT192" s="60">
        <f t="shared" si="331"/>
        <v>0</v>
      </c>
      <c r="DU192" s="421"/>
      <c r="DV192" s="59">
        <f t="shared" si="332"/>
        <v>0</v>
      </c>
      <c r="DW192" s="60">
        <f t="shared" si="333"/>
        <v>0</v>
      </c>
      <c r="DX192" s="161"/>
    </row>
    <row r="193" spans="2:128" ht="23.25" customHeight="1" x14ac:dyDescent="0.2">
      <c r="B193" s="716"/>
      <c r="C193" s="717"/>
      <c r="D193" s="717"/>
      <c r="E193" s="314">
        <f t="shared" si="252"/>
        <v>8</v>
      </c>
      <c r="F193" s="750" t="str">
        <f t="shared" si="253"/>
        <v>Sodium Hydroxide</v>
      </c>
      <c r="G193" s="751"/>
      <c r="H193" s="421">
        <v>0</v>
      </c>
      <c r="I193" s="59">
        <f t="shared" si="254"/>
        <v>0</v>
      </c>
      <c r="J193" s="62">
        <f t="shared" si="255"/>
        <v>0</v>
      </c>
      <c r="K193" s="421">
        <v>0</v>
      </c>
      <c r="L193" s="59">
        <f t="shared" si="256"/>
        <v>0</v>
      </c>
      <c r="M193" s="62">
        <f t="shared" si="257"/>
        <v>0</v>
      </c>
      <c r="N193" s="421">
        <v>0</v>
      </c>
      <c r="O193" s="59">
        <f t="shared" si="258"/>
        <v>0</v>
      </c>
      <c r="P193" s="62">
        <f t="shared" si="259"/>
        <v>0</v>
      </c>
      <c r="Q193" s="421">
        <v>6.3925999999999998</v>
      </c>
      <c r="R193" s="59">
        <f t="shared" si="260"/>
        <v>0.15982658742758848</v>
      </c>
      <c r="S193" s="60">
        <f t="shared" si="261"/>
        <v>0.73812777508235783</v>
      </c>
      <c r="T193" s="421">
        <v>0</v>
      </c>
      <c r="U193" s="59">
        <f t="shared" si="262"/>
        <v>0</v>
      </c>
      <c r="V193" s="60">
        <f t="shared" si="263"/>
        <v>0</v>
      </c>
      <c r="W193" s="421">
        <v>0</v>
      </c>
      <c r="X193" s="59">
        <f t="shared" si="264"/>
        <v>0</v>
      </c>
      <c r="Y193" s="60">
        <f t="shared" si="265"/>
        <v>0</v>
      </c>
      <c r="Z193" s="421">
        <v>0.05</v>
      </c>
      <c r="AA193" s="59">
        <f t="shared" si="266"/>
        <v>1.2500906315707889E-3</v>
      </c>
      <c r="AB193" s="60">
        <f t="shared" si="267"/>
        <v>5.3222476449330696E-4</v>
      </c>
      <c r="AC193" s="421"/>
      <c r="AD193" s="59">
        <f t="shared" si="268"/>
        <v>0</v>
      </c>
      <c r="AE193" s="60">
        <f t="shared" si="269"/>
        <v>0</v>
      </c>
      <c r="AF193" s="421"/>
      <c r="AG193" s="59">
        <f t="shared" si="270"/>
        <v>0</v>
      </c>
      <c r="AH193" s="60">
        <f t="shared" si="271"/>
        <v>0</v>
      </c>
      <c r="AI193" s="421"/>
      <c r="AJ193" s="59">
        <f t="shared" si="272"/>
        <v>0</v>
      </c>
      <c r="AK193" s="60">
        <f t="shared" si="273"/>
        <v>0</v>
      </c>
      <c r="AL193" s="421"/>
      <c r="AM193" s="59">
        <f t="shared" si="274"/>
        <v>0</v>
      </c>
      <c r="AN193" s="60">
        <f t="shared" si="275"/>
        <v>0</v>
      </c>
      <c r="AO193" s="421"/>
      <c r="AP193" s="59">
        <f t="shared" si="276"/>
        <v>0</v>
      </c>
      <c r="AQ193" s="60">
        <f t="shared" si="277"/>
        <v>0</v>
      </c>
      <c r="AR193" s="421"/>
      <c r="AS193" s="59">
        <f t="shared" si="278"/>
        <v>0</v>
      </c>
      <c r="AT193" s="60">
        <f t="shared" si="279"/>
        <v>0</v>
      </c>
      <c r="AU193" s="421"/>
      <c r="AV193" s="59">
        <f t="shared" si="280"/>
        <v>0</v>
      </c>
      <c r="AW193" s="60">
        <f t="shared" si="281"/>
        <v>0</v>
      </c>
      <c r="AX193" s="421"/>
      <c r="AY193" s="59">
        <f t="shared" si="282"/>
        <v>0</v>
      </c>
      <c r="AZ193" s="60">
        <f t="shared" si="283"/>
        <v>0</v>
      </c>
      <c r="BA193" s="421"/>
      <c r="BB193" s="59">
        <f t="shared" si="284"/>
        <v>0</v>
      </c>
      <c r="BC193" s="60">
        <f t="shared" si="285"/>
        <v>0</v>
      </c>
      <c r="BD193" s="421"/>
      <c r="BE193" s="59">
        <f t="shared" si="286"/>
        <v>0</v>
      </c>
      <c r="BF193" s="60">
        <f t="shared" si="287"/>
        <v>0</v>
      </c>
      <c r="BG193" s="421"/>
      <c r="BH193" s="59">
        <f t="shared" si="288"/>
        <v>0</v>
      </c>
      <c r="BI193" s="60">
        <f t="shared" si="289"/>
        <v>0</v>
      </c>
      <c r="BJ193" s="421"/>
      <c r="BK193" s="59">
        <f t="shared" si="290"/>
        <v>0</v>
      </c>
      <c r="BL193" s="60">
        <f t="shared" si="291"/>
        <v>0</v>
      </c>
      <c r="BM193" s="421"/>
      <c r="BN193" s="59">
        <f t="shared" si="292"/>
        <v>0</v>
      </c>
      <c r="BO193" s="60">
        <f t="shared" si="293"/>
        <v>0</v>
      </c>
      <c r="BP193" s="421"/>
      <c r="BQ193" s="59">
        <f t="shared" si="294"/>
        <v>0</v>
      </c>
      <c r="BR193" s="60">
        <f t="shared" si="295"/>
        <v>0</v>
      </c>
      <c r="BS193" s="421"/>
      <c r="BT193" s="59">
        <f t="shared" si="296"/>
        <v>0</v>
      </c>
      <c r="BU193" s="60">
        <f t="shared" si="297"/>
        <v>0</v>
      </c>
      <c r="BV193" s="421"/>
      <c r="BW193" s="59">
        <f t="shared" si="298"/>
        <v>0</v>
      </c>
      <c r="BX193" s="60">
        <f t="shared" si="299"/>
        <v>0</v>
      </c>
      <c r="BY193" s="421"/>
      <c r="BZ193" s="59">
        <f t="shared" si="300"/>
        <v>0</v>
      </c>
      <c r="CA193" s="60">
        <f t="shared" si="301"/>
        <v>0</v>
      </c>
      <c r="CB193" s="421"/>
      <c r="CC193" s="59">
        <f t="shared" si="302"/>
        <v>0</v>
      </c>
      <c r="CD193" s="60">
        <f t="shared" si="303"/>
        <v>0</v>
      </c>
      <c r="CE193" s="421"/>
      <c r="CF193" s="59">
        <f t="shared" si="304"/>
        <v>0</v>
      </c>
      <c r="CG193" s="60">
        <f t="shared" si="305"/>
        <v>0</v>
      </c>
      <c r="CH193" s="421"/>
      <c r="CI193" s="59">
        <f t="shared" si="306"/>
        <v>0</v>
      </c>
      <c r="CJ193" s="60">
        <f t="shared" si="307"/>
        <v>0</v>
      </c>
      <c r="CK193" s="421"/>
      <c r="CL193" s="59">
        <f t="shared" si="308"/>
        <v>0</v>
      </c>
      <c r="CM193" s="60">
        <f t="shared" si="309"/>
        <v>0</v>
      </c>
      <c r="CN193" s="421"/>
      <c r="CO193" s="59">
        <f t="shared" si="310"/>
        <v>0</v>
      </c>
      <c r="CP193" s="60">
        <f t="shared" si="311"/>
        <v>0</v>
      </c>
      <c r="CQ193" s="421"/>
      <c r="CR193" s="59">
        <f t="shared" si="312"/>
        <v>0</v>
      </c>
      <c r="CS193" s="60">
        <f t="shared" si="313"/>
        <v>0</v>
      </c>
      <c r="CT193" s="421"/>
      <c r="CU193" s="59">
        <f t="shared" si="314"/>
        <v>0</v>
      </c>
      <c r="CV193" s="60">
        <f t="shared" si="315"/>
        <v>0</v>
      </c>
      <c r="CW193" s="421"/>
      <c r="CX193" s="59">
        <f t="shared" si="316"/>
        <v>0</v>
      </c>
      <c r="CY193" s="60">
        <f t="shared" si="317"/>
        <v>0</v>
      </c>
      <c r="CZ193" s="421"/>
      <c r="DA193" s="59">
        <f t="shared" si="318"/>
        <v>0</v>
      </c>
      <c r="DB193" s="60">
        <f t="shared" si="319"/>
        <v>0</v>
      </c>
      <c r="DC193" s="421"/>
      <c r="DD193" s="59">
        <f t="shared" si="320"/>
        <v>0</v>
      </c>
      <c r="DE193" s="60">
        <f t="shared" si="321"/>
        <v>0</v>
      </c>
      <c r="DF193" s="421"/>
      <c r="DG193" s="59">
        <f t="shared" si="322"/>
        <v>0</v>
      </c>
      <c r="DH193" s="60">
        <f t="shared" si="323"/>
        <v>0</v>
      </c>
      <c r="DI193" s="421"/>
      <c r="DJ193" s="59">
        <f t="shared" si="324"/>
        <v>0</v>
      </c>
      <c r="DK193" s="60">
        <f t="shared" si="325"/>
        <v>0</v>
      </c>
      <c r="DL193" s="421"/>
      <c r="DM193" s="59">
        <f t="shared" si="326"/>
        <v>0</v>
      </c>
      <c r="DN193" s="60">
        <f t="shared" si="327"/>
        <v>0</v>
      </c>
      <c r="DO193" s="421"/>
      <c r="DP193" s="59">
        <f t="shared" si="328"/>
        <v>0</v>
      </c>
      <c r="DQ193" s="60">
        <f t="shared" si="329"/>
        <v>0</v>
      </c>
      <c r="DR193" s="421"/>
      <c r="DS193" s="59">
        <f t="shared" si="330"/>
        <v>0</v>
      </c>
      <c r="DT193" s="60">
        <f t="shared" si="331"/>
        <v>0</v>
      </c>
      <c r="DU193" s="421"/>
      <c r="DV193" s="59">
        <f t="shared" si="332"/>
        <v>0</v>
      </c>
      <c r="DW193" s="60">
        <f t="shared" si="333"/>
        <v>0</v>
      </c>
      <c r="DX193" s="161"/>
    </row>
    <row r="194" spans="2:128" ht="23.25" customHeight="1" x14ac:dyDescent="0.2">
      <c r="B194" s="716"/>
      <c r="C194" s="717"/>
      <c r="D194" s="717"/>
      <c r="E194" s="314">
        <f t="shared" si="252"/>
        <v>9</v>
      </c>
      <c r="F194" s="750" t="str">
        <f t="shared" ref="F194:F205" si="334">IF(D40&lt;&gt;"",D40,"")</f>
        <v>Sulfuric Acid</v>
      </c>
      <c r="G194" s="751"/>
      <c r="H194" s="421">
        <v>0</v>
      </c>
      <c r="I194" s="59">
        <f t="shared" si="254"/>
        <v>0</v>
      </c>
      <c r="J194" s="62">
        <f t="shared" si="255"/>
        <v>0</v>
      </c>
      <c r="K194" s="421"/>
      <c r="L194" s="59">
        <f t="shared" si="256"/>
        <v>0</v>
      </c>
      <c r="M194" s="62">
        <f t="shared" si="257"/>
        <v>0</v>
      </c>
      <c r="N194" s="421"/>
      <c r="O194" s="59">
        <f t="shared" si="258"/>
        <v>0</v>
      </c>
      <c r="P194" s="62">
        <f t="shared" si="259"/>
        <v>0</v>
      </c>
      <c r="Q194" s="421"/>
      <c r="R194" s="59">
        <f t="shared" si="260"/>
        <v>0</v>
      </c>
      <c r="S194" s="60">
        <f t="shared" si="261"/>
        <v>0</v>
      </c>
      <c r="T194" s="421"/>
      <c r="U194" s="59">
        <f t="shared" si="262"/>
        <v>0</v>
      </c>
      <c r="V194" s="60">
        <f t="shared" si="263"/>
        <v>0</v>
      </c>
      <c r="W194" s="421"/>
      <c r="X194" s="59">
        <f t="shared" si="264"/>
        <v>0</v>
      </c>
      <c r="Y194" s="60">
        <f t="shared" si="265"/>
        <v>0</v>
      </c>
      <c r="Z194" s="421">
        <v>0</v>
      </c>
      <c r="AA194" s="59">
        <f t="shared" si="266"/>
        <v>0</v>
      </c>
      <c r="AB194" s="60">
        <f t="shared" si="267"/>
        <v>0</v>
      </c>
      <c r="AC194" s="421"/>
      <c r="AD194" s="59">
        <f t="shared" si="268"/>
        <v>0</v>
      </c>
      <c r="AE194" s="60">
        <f t="shared" si="269"/>
        <v>0</v>
      </c>
      <c r="AF194" s="421"/>
      <c r="AG194" s="59">
        <f t="shared" si="270"/>
        <v>0</v>
      </c>
      <c r="AH194" s="60">
        <f t="shared" si="271"/>
        <v>0</v>
      </c>
      <c r="AI194" s="421"/>
      <c r="AJ194" s="59">
        <f t="shared" si="272"/>
        <v>0</v>
      </c>
      <c r="AK194" s="60">
        <f t="shared" si="273"/>
        <v>0</v>
      </c>
      <c r="AL194" s="421"/>
      <c r="AM194" s="59">
        <f t="shared" si="274"/>
        <v>0</v>
      </c>
      <c r="AN194" s="60">
        <f t="shared" si="275"/>
        <v>0</v>
      </c>
      <c r="AO194" s="421"/>
      <c r="AP194" s="59">
        <f t="shared" si="276"/>
        <v>0</v>
      </c>
      <c r="AQ194" s="60">
        <f t="shared" si="277"/>
        <v>0</v>
      </c>
      <c r="AR194" s="421"/>
      <c r="AS194" s="59">
        <f t="shared" si="278"/>
        <v>0</v>
      </c>
      <c r="AT194" s="60">
        <f t="shared" si="279"/>
        <v>0</v>
      </c>
      <c r="AU194" s="421"/>
      <c r="AV194" s="59">
        <f t="shared" si="280"/>
        <v>0</v>
      </c>
      <c r="AW194" s="60">
        <f t="shared" si="281"/>
        <v>0</v>
      </c>
      <c r="AX194" s="421"/>
      <c r="AY194" s="59">
        <f t="shared" si="282"/>
        <v>0</v>
      </c>
      <c r="AZ194" s="60">
        <f t="shared" si="283"/>
        <v>0</v>
      </c>
      <c r="BA194" s="421"/>
      <c r="BB194" s="59">
        <f t="shared" si="284"/>
        <v>0</v>
      </c>
      <c r="BC194" s="60">
        <f t="shared" si="285"/>
        <v>0</v>
      </c>
      <c r="BD194" s="421"/>
      <c r="BE194" s="59">
        <f t="shared" si="286"/>
        <v>0</v>
      </c>
      <c r="BF194" s="60">
        <f t="shared" si="287"/>
        <v>0</v>
      </c>
      <c r="BG194" s="421"/>
      <c r="BH194" s="59">
        <f t="shared" si="288"/>
        <v>0</v>
      </c>
      <c r="BI194" s="60">
        <f t="shared" si="289"/>
        <v>0</v>
      </c>
      <c r="BJ194" s="421"/>
      <c r="BK194" s="59">
        <f t="shared" si="290"/>
        <v>0</v>
      </c>
      <c r="BL194" s="60">
        <f t="shared" si="291"/>
        <v>0</v>
      </c>
      <c r="BM194" s="421"/>
      <c r="BN194" s="59">
        <f t="shared" si="292"/>
        <v>0</v>
      </c>
      <c r="BO194" s="60">
        <f t="shared" si="293"/>
        <v>0</v>
      </c>
      <c r="BP194" s="421"/>
      <c r="BQ194" s="59">
        <f t="shared" si="294"/>
        <v>0</v>
      </c>
      <c r="BR194" s="60">
        <f t="shared" si="295"/>
        <v>0</v>
      </c>
      <c r="BS194" s="421"/>
      <c r="BT194" s="59">
        <f t="shared" si="296"/>
        <v>0</v>
      </c>
      <c r="BU194" s="60">
        <f t="shared" si="297"/>
        <v>0</v>
      </c>
      <c r="BV194" s="421"/>
      <c r="BW194" s="59">
        <f t="shared" si="298"/>
        <v>0</v>
      </c>
      <c r="BX194" s="60">
        <f t="shared" si="299"/>
        <v>0</v>
      </c>
      <c r="BY194" s="421"/>
      <c r="BZ194" s="59">
        <f t="shared" si="300"/>
        <v>0</v>
      </c>
      <c r="CA194" s="60">
        <f t="shared" si="301"/>
        <v>0</v>
      </c>
      <c r="CB194" s="421"/>
      <c r="CC194" s="59">
        <f t="shared" si="302"/>
        <v>0</v>
      </c>
      <c r="CD194" s="60">
        <f t="shared" si="303"/>
        <v>0</v>
      </c>
      <c r="CE194" s="421"/>
      <c r="CF194" s="59">
        <f t="shared" si="304"/>
        <v>0</v>
      </c>
      <c r="CG194" s="60">
        <f t="shared" si="305"/>
        <v>0</v>
      </c>
      <c r="CH194" s="421"/>
      <c r="CI194" s="59">
        <f t="shared" si="306"/>
        <v>0</v>
      </c>
      <c r="CJ194" s="60">
        <f t="shared" si="307"/>
        <v>0</v>
      </c>
      <c r="CK194" s="421"/>
      <c r="CL194" s="59">
        <f t="shared" si="308"/>
        <v>0</v>
      </c>
      <c r="CM194" s="60">
        <f t="shared" si="309"/>
        <v>0</v>
      </c>
      <c r="CN194" s="421"/>
      <c r="CO194" s="59">
        <f t="shared" si="310"/>
        <v>0</v>
      </c>
      <c r="CP194" s="60">
        <f t="shared" si="311"/>
        <v>0</v>
      </c>
      <c r="CQ194" s="421"/>
      <c r="CR194" s="59">
        <f t="shared" si="312"/>
        <v>0</v>
      </c>
      <c r="CS194" s="60">
        <f t="shared" si="313"/>
        <v>0</v>
      </c>
      <c r="CT194" s="421"/>
      <c r="CU194" s="59">
        <f t="shared" si="314"/>
        <v>0</v>
      </c>
      <c r="CV194" s="60">
        <f t="shared" si="315"/>
        <v>0</v>
      </c>
      <c r="CW194" s="421"/>
      <c r="CX194" s="59">
        <f t="shared" si="316"/>
        <v>0</v>
      </c>
      <c r="CY194" s="60">
        <f t="shared" si="317"/>
        <v>0</v>
      </c>
      <c r="CZ194" s="421"/>
      <c r="DA194" s="59">
        <f t="shared" si="318"/>
        <v>0</v>
      </c>
      <c r="DB194" s="60">
        <f t="shared" si="319"/>
        <v>0</v>
      </c>
      <c r="DC194" s="421"/>
      <c r="DD194" s="59">
        <f t="shared" si="320"/>
        <v>0</v>
      </c>
      <c r="DE194" s="60">
        <f t="shared" si="321"/>
        <v>0</v>
      </c>
      <c r="DF194" s="421"/>
      <c r="DG194" s="59">
        <f t="shared" si="322"/>
        <v>0</v>
      </c>
      <c r="DH194" s="60">
        <f t="shared" si="323"/>
        <v>0</v>
      </c>
      <c r="DI194" s="421"/>
      <c r="DJ194" s="59">
        <f t="shared" si="324"/>
        <v>0</v>
      </c>
      <c r="DK194" s="60">
        <f t="shared" si="325"/>
        <v>0</v>
      </c>
      <c r="DL194" s="421"/>
      <c r="DM194" s="59">
        <f t="shared" si="326"/>
        <v>0</v>
      </c>
      <c r="DN194" s="60">
        <f t="shared" si="327"/>
        <v>0</v>
      </c>
      <c r="DO194" s="421"/>
      <c r="DP194" s="59">
        <f t="shared" si="328"/>
        <v>0</v>
      </c>
      <c r="DQ194" s="60">
        <f t="shared" si="329"/>
        <v>0</v>
      </c>
      <c r="DR194" s="421"/>
      <c r="DS194" s="59">
        <f t="shared" si="330"/>
        <v>0</v>
      </c>
      <c r="DT194" s="60">
        <f t="shared" si="331"/>
        <v>0</v>
      </c>
      <c r="DU194" s="421"/>
      <c r="DV194" s="59">
        <f t="shared" si="332"/>
        <v>0</v>
      </c>
      <c r="DW194" s="60">
        <f t="shared" si="333"/>
        <v>0</v>
      </c>
      <c r="DX194" s="161"/>
    </row>
    <row r="195" spans="2:128" ht="23.25" customHeight="1" x14ac:dyDescent="0.2">
      <c r="B195" s="716"/>
      <c r="C195" s="717"/>
      <c r="D195" s="717"/>
      <c r="E195" s="314">
        <f t="shared" si="252"/>
        <v>10</v>
      </c>
      <c r="F195" s="750" t="str">
        <f t="shared" si="334"/>
        <v>Oleic Acid</v>
      </c>
      <c r="G195" s="751"/>
      <c r="H195" s="421">
        <v>0</v>
      </c>
      <c r="I195" s="59">
        <f t="shared" si="254"/>
        <v>0</v>
      </c>
      <c r="J195" s="62">
        <f t="shared" si="255"/>
        <v>0</v>
      </c>
      <c r="K195" s="421"/>
      <c r="L195" s="59">
        <f t="shared" si="256"/>
        <v>0</v>
      </c>
      <c r="M195" s="62">
        <f t="shared" si="257"/>
        <v>0</v>
      </c>
      <c r="N195" s="421"/>
      <c r="O195" s="59">
        <f t="shared" si="258"/>
        <v>0</v>
      </c>
      <c r="P195" s="62">
        <f t="shared" si="259"/>
        <v>0</v>
      </c>
      <c r="Q195" s="421"/>
      <c r="R195" s="59">
        <f t="shared" si="260"/>
        <v>0</v>
      </c>
      <c r="S195" s="60">
        <f t="shared" si="261"/>
        <v>0</v>
      </c>
      <c r="T195" s="421"/>
      <c r="U195" s="59">
        <f t="shared" si="262"/>
        <v>0</v>
      </c>
      <c r="V195" s="60">
        <f t="shared" si="263"/>
        <v>0</v>
      </c>
      <c r="W195" s="421"/>
      <c r="X195" s="59">
        <f t="shared" si="264"/>
        <v>0</v>
      </c>
      <c r="Y195" s="60">
        <f t="shared" si="265"/>
        <v>0</v>
      </c>
      <c r="Z195" s="421">
        <v>0</v>
      </c>
      <c r="AA195" s="59">
        <f t="shared" si="266"/>
        <v>0</v>
      </c>
      <c r="AB195" s="60">
        <f t="shared" si="267"/>
        <v>0</v>
      </c>
      <c r="AC195" s="421"/>
      <c r="AD195" s="59">
        <f t="shared" si="268"/>
        <v>0</v>
      </c>
      <c r="AE195" s="60">
        <f t="shared" si="269"/>
        <v>0</v>
      </c>
      <c r="AF195" s="421"/>
      <c r="AG195" s="59">
        <f t="shared" si="270"/>
        <v>0</v>
      </c>
      <c r="AH195" s="60">
        <f t="shared" si="271"/>
        <v>0</v>
      </c>
      <c r="AI195" s="421"/>
      <c r="AJ195" s="59">
        <f t="shared" si="272"/>
        <v>0</v>
      </c>
      <c r="AK195" s="60">
        <f t="shared" si="273"/>
        <v>0</v>
      </c>
      <c r="AL195" s="421"/>
      <c r="AM195" s="59">
        <f t="shared" si="274"/>
        <v>0</v>
      </c>
      <c r="AN195" s="60">
        <f t="shared" si="275"/>
        <v>0</v>
      </c>
      <c r="AO195" s="421"/>
      <c r="AP195" s="59">
        <f t="shared" si="276"/>
        <v>0</v>
      </c>
      <c r="AQ195" s="60">
        <f t="shared" si="277"/>
        <v>0</v>
      </c>
      <c r="AR195" s="421"/>
      <c r="AS195" s="59">
        <f t="shared" si="278"/>
        <v>0</v>
      </c>
      <c r="AT195" s="60">
        <f t="shared" si="279"/>
        <v>0</v>
      </c>
      <c r="AU195" s="421"/>
      <c r="AV195" s="59">
        <f t="shared" si="280"/>
        <v>0</v>
      </c>
      <c r="AW195" s="60">
        <f t="shared" si="281"/>
        <v>0</v>
      </c>
      <c r="AX195" s="421"/>
      <c r="AY195" s="59">
        <f t="shared" si="282"/>
        <v>0</v>
      </c>
      <c r="AZ195" s="60">
        <f t="shared" si="283"/>
        <v>0</v>
      </c>
      <c r="BA195" s="421"/>
      <c r="BB195" s="59">
        <f t="shared" si="284"/>
        <v>0</v>
      </c>
      <c r="BC195" s="60">
        <f t="shared" si="285"/>
        <v>0</v>
      </c>
      <c r="BD195" s="421"/>
      <c r="BE195" s="59">
        <f t="shared" si="286"/>
        <v>0</v>
      </c>
      <c r="BF195" s="60">
        <f t="shared" si="287"/>
        <v>0</v>
      </c>
      <c r="BG195" s="421"/>
      <c r="BH195" s="59">
        <f t="shared" si="288"/>
        <v>0</v>
      </c>
      <c r="BI195" s="60">
        <f t="shared" si="289"/>
        <v>0</v>
      </c>
      <c r="BJ195" s="421"/>
      <c r="BK195" s="59">
        <f t="shared" si="290"/>
        <v>0</v>
      </c>
      <c r="BL195" s="60">
        <f t="shared" si="291"/>
        <v>0</v>
      </c>
      <c r="BM195" s="421"/>
      <c r="BN195" s="59">
        <f t="shared" si="292"/>
        <v>0</v>
      </c>
      <c r="BO195" s="60">
        <f t="shared" si="293"/>
        <v>0</v>
      </c>
      <c r="BP195" s="421"/>
      <c r="BQ195" s="59">
        <f t="shared" si="294"/>
        <v>0</v>
      </c>
      <c r="BR195" s="60">
        <f t="shared" si="295"/>
        <v>0</v>
      </c>
      <c r="BS195" s="421"/>
      <c r="BT195" s="59">
        <f t="shared" si="296"/>
        <v>0</v>
      </c>
      <c r="BU195" s="60">
        <f t="shared" si="297"/>
        <v>0</v>
      </c>
      <c r="BV195" s="421"/>
      <c r="BW195" s="59">
        <f t="shared" si="298"/>
        <v>0</v>
      </c>
      <c r="BX195" s="60">
        <f t="shared" si="299"/>
        <v>0</v>
      </c>
      <c r="BY195" s="421"/>
      <c r="BZ195" s="59">
        <f t="shared" si="300"/>
        <v>0</v>
      </c>
      <c r="CA195" s="60">
        <f t="shared" si="301"/>
        <v>0</v>
      </c>
      <c r="CB195" s="421"/>
      <c r="CC195" s="59">
        <f t="shared" si="302"/>
        <v>0</v>
      </c>
      <c r="CD195" s="60">
        <f t="shared" si="303"/>
        <v>0</v>
      </c>
      <c r="CE195" s="421"/>
      <c r="CF195" s="59">
        <f t="shared" si="304"/>
        <v>0</v>
      </c>
      <c r="CG195" s="60">
        <f t="shared" si="305"/>
        <v>0</v>
      </c>
      <c r="CH195" s="421"/>
      <c r="CI195" s="59">
        <f t="shared" si="306"/>
        <v>0</v>
      </c>
      <c r="CJ195" s="60">
        <f t="shared" si="307"/>
        <v>0</v>
      </c>
      <c r="CK195" s="421"/>
      <c r="CL195" s="59">
        <f t="shared" si="308"/>
        <v>0</v>
      </c>
      <c r="CM195" s="60">
        <f t="shared" si="309"/>
        <v>0</v>
      </c>
      <c r="CN195" s="421"/>
      <c r="CO195" s="59">
        <f t="shared" si="310"/>
        <v>0</v>
      </c>
      <c r="CP195" s="60">
        <f t="shared" si="311"/>
        <v>0</v>
      </c>
      <c r="CQ195" s="421"/>
      <c r="CR195" s="59">
        <f t="shared" si="312"/>
        <v>0</v>
      </c>
      <c r="CS195" s="60">
        <f t="shared" si="313"/>
        <v>0</v>
      </c>
      <c r="CT195" s="421"/>
      <c r="CU195" s="59">
        <f t="shared" si="314"/>
        <v>0</v>
      </c>
      <c r="CV195" s="60">
        <f t="shared" si="315"/>
        <v>0</v>
      </c>
      <c r="CW195" s="421"/>
      <c r="CX195" s="59">
        <f t="shared" si="316"/>
        <v>0</v>
      </c>
      <c r="CY195" s="60">
        <f t="shared" si="317"/>
        <v>0</v>
      </c>
      <c r="CZ195" s="421"/>
      <c r="DA195" s="59">
        <f t="shared" si="318"/>
        <v>0</v>
      </c>
      <c r="DB195" s="60">
        <f t="shared" si="319"/>
        <v>0</v>
      </c>
      <c r="DC195" s="421"/>
      <c r="DD195" s="59">
        <f t="shared" si="320"/>
        <v>0</v>
      </c>
      <c r="DE195" s="60">
        <f t="shared" si="321"/>
        <v>0</v>
      </c>
      <c r="DF195" s="421"/>
      <c r="DG195" s="59">
        <f t="shared" si="322"/>
        <v>0</v>
      </c>
      <c r="DH195" s="60">
        <f t="shared" si="323"/>
        <v>0</v>
      </c>
      <c r="DI195" s="421"/>
      <c r="DJ195" s="59">
        <f t="shared" si="324"/>
        <v>0</v>
      </c>
      <c r="DK195" s="60">
        <f t="shared" si="325"/>
        <v>0</v>
      </c>
      <c r="DL195" s="421"/>
      <c r="DM195" s="59">
        <f t="shared" si="326"/>
        <v>0</v>
      </c>
      <c r="DN195" s="60">
        <f t="shared" si="327"/>
        <v>0</v>
      </c>
      <c r="DO195" s="421"/>
      <c r="DP195" s="59">
        <f t="shared" si="328"/>
        <v>0</v>
      </c>
      <c r="DQ195" s="60">
        <f t="shared" si="329"/>
        <v>0</v>
      </c>
      <c r="DR195" s="421"/>
      <c r="DS195" s="59">
        <f t="shared" si="330"/>
        <v>0</v>
      </c>
      <c r="DT195" s="60">
        <f t="shared" si="331"/>
        <v>0</v>
      </c>
      <c r="DU195" s="421"/>
      <c r="DV195" s="59">
        <f t="shared" si="332"/>
        <v>0</v>
      </c>
      <c r="DW195" s="60">
        <f t="shared" si="333"/>
        <v>0</v>
      </c>
      <c r="DX195" s="161"/>
    </row>
    <row r="196" spans="2:128" ht="23.25" customHeight="1" x14ac:dyDescent="0.2">
      <c r="B196" s="716"/>
      <c r="C196" s="717"/>
      <c r="D196" s="717"/>
      <c r="E196" s="314">
        <f t="shared" si="252"/>
        <v>11</v>
      </c>
      <c r="F196" s="750" t="str">
        <f t="shared" si="334"/>
        <v>Sodium Sulphate</v>
      </c>
      <c r="G196" s="751"/>
      <c r="H196" s="421">
        <v>0</v>
      </c>
      <c r="I196" s="59">
        <f t="shared" si="254"/>
        <v>0</v>
      </c>
      <c r="J196" s="62">
        <f t="shared" si="255"/>
        <v>0</v>
      </c>
      <c r="K196" s="421"/>
      <c r="L196" s="59">
        <f t="shared" si="256"/>
        <v>0</v>
      </c>
      <c r="M196" s="62">
        <f t="shared" si="257"/>
        <v>0</v>
      </c>
      <c r="N196" s="421"/>
      <c r="O196" s="59">
        <f t="shared" si="258"/>
        <v>0</v>
      </c>
      <c r="P196" s="62">
        <f t="shared" si="259"/>
        <v>0</v>
      </c>
      <c r="Q196" s="421"/>
      <c r="R196" s="59">
        <f t="shared" si="260"/>
        <v>0</v>
      </c>
      <c r="S196" s="60">
        <f t="shared" si="261"/>
        <v>0</v>
      </c>
      <c r="T196" s="421"/>
      <c r="U196" s="59">
        <f t="shared" si="262"/>
        <v>0</v>
      </c>
      <c r="V196" s="60">
        <f t="shared" si="263"/>
        <v>0</v>
      </c>
      <c r="W196" s="421"/>
      <c r="X196" s="59">
        <f t="shared" si="264"/>
        <v>0</v>
      </c>
      <c r="Y196" s="60">
        <f t="shared" si="265"/>
        <v>0</v>
      </c>
      <c r="Z196" s="421">
        <v>0</v>
      </c>
      <c r="AA196" s="59">
        <f t="shared" si="266"/>
        <v>0</v>
      </c>
      <c r="AB196" s="60">
        <f t="shared" si="267"/>
        <v>0</v>
      </c>
      <c r="AC196" s="421">
        <v>14.5</v>
      </c>
      <c r="AD196" s="59">
        <f t="shared" si="268"/>
        <v>0.10208392002252888</v>
      </c>
      <c r="AE196" s="60">
        <f t="shared" si="269"/>
        <v>1</v>
      </c>
      <c r="AF196" s="421"/>
      <c r="AG196" s="59">
        <f t="shared" si="270"/>
        <v>0</v>
      </c>
      <c r="AH196" s="60">
        <f t="shared" si="271"/>
        <v>0</v>
      </c>
      <c r="AI196" s="421"/>
      <c r="AJ196" s="59">
        <f t="shared" si="272"/>
        <v>0</v>
      </c>
      <c r="AK196" s="60">
        <f t="shared" si="273"/>
        <v>0</v>
      </c>
      <c r="AL196" s="421"/>
      <c r="AM196" s="59">
        <f t="shared" si="274"/>
        <v>0</v>
      </c>
      <c r="AN196" s="60">
        <f t="shared" si="275"/>
        <v>0</v>
      </c>
      <c r="AO196" s="421"/>
      <c r="AP196" s="59">
        <f t="shared" si="276"/>
        <v>0</v>
      </c>
      <c r="AQ196" s="60">
        <f t="shared" si="277"/>
        <v>0</v>
      </c>
      <c r="AR196" s="421"/>
      <c r="AS196" s="59">
        <f t="shared" si="278"/>
        <v>0</v>
      </c>
      <c r="AT196" s="60">
        <f t="shared" si="279"/>
        <v>0</v>
      </c>
      <c r="AU196" s="421"/>
      <c r="AV196" s="59">
        <f t="shared" si="280"/>
        <v>0</v>
      </c>
      <c r="AW196" s="60">
        <f t="shared" si="281"/>
        <v>0</v>
      </c>
      <c r="AX196" s="421"/>
      <c r="AY196" s="59">
        <f t="shared" si="282"/>
        <v>0</v>
      </c>
      <c r="AZ196" s="60">
        <f t="shared" si="283"/>
        <v>0</v>
      </c>
      <c r="BA196" s="421"/>
      <c r="BB196" s="59">
        <f t="shared" si="284"/>
        <v>0</v>
      </c>
      <c r="BC196" s="60">
        <f t="shared" si="285"/>
        <v>0</v>
      </c>
      <c r="BD196" s="421"/>
      <c r="BE196" s="59">
        <f t="shared" si="286"/>
        <v>0</v>
      </c>
      <c r="BF196" s="60">
        <f t="shared" si="287"/>
        <v>0</v>
      </c>
      <c r="BG196" s="421"/>
      <c r="BH196" s="59">
        <f t="shared" si="288"/>
        <v>0</v>
      </c>
      <c r="BI196" s="60">
        <f t="shared" si="289"/>
        <v>0</v>
      </c>
      <c r="BJ196" s="421"/>
      <c r="BK196" s="59">
        <f t="shared" si="290"/>
        <v>0</v>
      </c>
      <c r="BL196" s="60">
        <f t="shared" si="291"/>
        <v>0</v>
      </c>
      <c r="BM196" s="421"/>
      <c r="BN196" s="59">
        <f t="shared" si="292"/>
        <v>0</v>
      </c>
      <c r="BO196" s="60">
        <f t="shared" si="293"/>
        <v>0</v>
      </c>
      <c r="BP196" s="421"/>
      <c r="BQ196" s="59">
        <f t="shared" si="294"/>
        <v>0</v>
      </c>
      <c r="BR196" s="60">
        <f t="shared" si="295"/>
        <v>0</v>
      </c>
      <c r="BS196" s="421"/>
      <c r="BT196" s="59">
        <f t="shared" si="296"/>
        <v>0</v>
      </c>
      <c r="BU196" s="60">
        <f t="shared" si="297"/>
        <v>0</v>
      </c>
      <c r="BV196" s="421"/>
      <c r="BW196" s="59">
        <f t="shared" si="298"/>
        <v>0</v>
      </c>
      <c r="BX196" s="60">
        <f t="shared" si="299"/>
        <v>0</v>
      </c>
      <c r="BY196" s="421"/>
      <c r="BZ196" s="59">
        <f t="shared" si="300"/>
        <v>0</v>
      </c>
      <c r="CA196" s="60">
        <f t="shared" si="301"/>
        <v>0</v>
      </c>
      <c r="CB196" s="421"/>
      <c r="CC196" s="59">
        <f t="shared" si="302"/>
        <v>0</v>
      </c>
      <c r="CD196" s="60">
        <f t="shared" si="303"/>
        <v>0</v>
      </c>
      <c r="CE196" s="421"/>
      <c r="CF196" s="59">
        <f t="shared" si="304"/>
        <v>0</v>
      </c>
      <c r="CG196" s="60">
        <f t="shared" si="305"/>
        <v>0</v>
      </c>
      <c r="CH196" s="421"/>
      <c r="CI196" s="59">
        <f t="shared" si="306"/>
        <v>0</v>
      </c>
      <c r="CJ196" s="60">
        <f t="shared" si="307"/>
        <v>0</v>
      </c>
      <c r="CK196" s="421"/>
      <c r="CL196" s="59">
        <f t="shared" si="308"/>
        <v>0</v>
      </c>
      <c r="CM196" s="60">
        <f t="shared" si="309"/>
        <v>0</v>
      </c>
      <c r="CN196" s="421"/>
      <c r="CO196" s="59">
        <f t="shared" si="310"/>
        <v>0</v>
      </c>
      <c r="CP196" s="60">
        <f t="shared" si="311"/>
        <v>0</v>
      </c>
      <c r="CQ196" s="421"/>
      <c r="CR196" s="59">
        <f t="shared" si="312"/>
        <v>0</v>
      </c>
      <c r="CS196" s="60">
        <f t="shared" si="313"/>
        <v>0</v>
      </c>
      <c r="CT196" s="421"/>
      <c r="CU196" s="59">
        <f t="shared" si="314"/>
        <v>0</v>
      </c>
      <c r="CV196" s="60">
        <f t="shared" si="315"/>
        <v>0</v>
      </c>
      <c r="CW196" s="421"/>
      <c r="CX196" s="59">
        <f t="shared" si="316"/>
        <v>0</v>
      </c>
      <c r="CY196" s="60">
        <f t="shared" si="317"/>
        <v>0</v>
      </c>
      <c r="CZ196" s="421"/>
      <c r="DA196" s="59">
        <f t="shared" si="318"/>
        <v>0</v>
      </c>
      <c r="DB196" s="60">
        <f t="shared" si="319"/>
        <v>0</v>
      </c>
      <c r="DC196" s="421"/>
      <c r="DD196" s="59">
        <f t="shared" si="320"/>
        <v>0</v>
      </c>
      <c r="DE196" s="60">
        <f t="shared" si="321"/>
        <v>0</v>
      </c>
      <c r="DF196" s="421"/>
      <c r="DG196" s="59">
        <f t="shared" si="322"/>
        <v>0</v>
      </c>
      <c r="DH196" s="60">
        <f t="shared" si="323"/>
        <v>0</v>
      </c>
      <c r="DI196" s="421"/>
      <c r="DJ196" s="59">
        <f t="shared" si="324"/>
        <v>0</v>
      </c>
      <c r="DK196" s="60">
        <f t="shared" si="325"/>
        <v>0</v>
      </c>
      <c r="DL196" s="421"/>
      <c r="DM196" s="59">
        <f t="shared" si="326"/>
        <v>0</v>
      </c>
      <c r="DN196" s="60">
        <f t="shared" si="327"/>
        <v>0</v>
      </c>
      <c r="DO196" s="421"/>
      <c r="DP196" s="59">
        <f t="shared" si="328"/>
        <v>0</v>
      </c>
      <c r="DQ196" s="60">
        <f t="shared" si="329"/>
        <v>0</v>
      </c>
      <c r="DR196" s="421"/>
      <c r="DS196" s="59">
        <f t="shared" si="330"/>
        <v>0</v>
      </c>
      <c r="DT196" s="60">
        <f t="shared" si="331"/>
        <v>0</v>
      </c>
      <c r="DU196" s="421"/>
      <c r="DV196" s="59">
        <f t="shared" si="332"/>
        <v>0</v>
      </c>
      <c r="DW196" s="60">
        <f t="shared" si="333"/>
        <v>0</v>
      </c>
      <c r="DX196" s="161"/>
    </row>
    <row r="197" spans="2:128" ht="23.25" customHeight="1" x14ac:dyDescent="0.2">
      <c r="B197" s="716"/>
      <c r="C197" s="717"/>
      <c r="D197" s="717"/>
      <c r="E197" s="314">
        <f t="shared" si="252"/>
        <v>12</v>
      </c>
      <c r="F197" s="750" t="str">
        <f t="shared" si="334"/>
        <v/>
      </c>
      <c r="G197" s="751"/>
      <c r="H197" s="421"/>
      <c r="I197" s="59" t="str">
        <f t="shared" si="254"/>
        <v/>
      </c>
      <c r="J197" s="62" t="str">
        <f t="shared" si="255"/>
        <v/>
      </c>
      <c r="K197" s="421"/>
      <c r="L197" s="59" t="str">
        <f t="shared" si="256"/>
        <v/>
      </c>
      <c r="M197" s="62" t="str">
        <f t="shared" si="257"/>
        <v/>
      </c>
      <c r="N197" s="421"/>
      <c r="O197" s="59" t="str">
        <f t="shared" si="258"/>
        <v/>
      </c>
      <c r="P197" s="62" t="str">
        <f t="shared" si="259"/>
        <v/>
      </c>
      <c r="Q197" s="421"/>
      <c r="R197" s="59" t="str">
        <f t="shared" si="260"/>
        <v/>
      </c>
      <c r="S197" s="60" t="str">
        <f t="shared" si="261"/>
        <v/>
      </c>
      <c r="T197" s="421"/>
      <c r="U197" s="59" t="str">
        <f t="shared" si="262"/>
        <v/>
      </c>
      <c r="V197" s="60" t="str">
        <f t="shared" si="263"/>
        <v/>
      </c>
      <c r="W197" s="421"/>
      <c r="X197" s="59" t="str">
        <f t="shared" si="264"/>
        <v/>
      </c>
      <c r="Y197" s="60" t="str">
        <f t="shared" si="265"/>
        <v/>
      </c>
      <c r="Z197" s="421"/>
      <c r="AA197" s="59" t="str">
        <f t="shared" si="266"/>
        <v/>
      </c>
      <c r="AB197" s="60" t="str">
        <f t="shared" si="267"/>
        <v/>
      </c>
      <c r="AC197" s="421"/>
      <c r="AD197" s="59" t="str">
        <f t="shared" si="268"/>
        <v/>
      </c>
      <c r="AE197" s="60" t="str">
        <f t="shared" si="269"/>
        <v/>
      </c>
      <c r="AF197" s="421"/>
      <c r="AG197" s="59" t="str">
        <f t="shared" si="270"/>
        <v/>
      </c>
      <c r="AH197" s="60" t="str">
        <f t="shared" si="271"/>
        <v/>
      </c>
      <c r="AI197" s="421"/>
      <c r="AJ197" s="59" t="str">
        <f t="shared" si="272"/>
        <v/>
      </c>
      <c r="AK197" s="60" t="str">
        <f t="shared" si="273"/>
        <v/>
      </c>
      <c r="AL197" s="421"/>
      <c r="AM197" s="59" t="str">
        <f t="shared" si="274"/>
        <v/>
      </c>
      <c r="AN197" s="60" t="str">
        <f t="shared" si="275"/>
        <v/>
      </c>
      <c r="AO197" s="421"/>
      <c r="AP197" s="59" t="str">
        <f t="shared" si="276"/>
        <v/>
      </c>
      <c r="AQ197" s="60" t="str">
        <f t="shared" si="277"/>
        <v/>
      </c>
      <c r="AR197" s="421"/>
      <c r="AS197" s="59" t="str">
        <f t="shared" si="278"/>
        <v/>
      </c>
      <c r="AT197" s="60" t="str">
        <f t="shared" si="279"/>
        <v/>
      </c>
      <c r="AU197" s="421"/>
      <c r="AV197" s="59" t="str">
        <f t="shared" si="280"/>
        <v/>
      </c>
      <c r="AW197" s="60" t="str">
        <f t="shared" si="281"/>
        <v/>
      </c>
      <c r="AX197" s="421"/>
      <c r="AY197" s="59" t="str">
        <f t="shared" si="282"/>
        <v/>
      </c>
      <c r="AZ197" s="60" t="str">
        <f t="shared" si="283"/>
        <v/>
      </c>
      <c r="BA197" s="421"/>
      <c r="BB197" s="59" t="str">
        <f t="shared" si="284"/>
        <v/>
      </c>
      <c r="BC197" s="60" t="str">
        <f t="shared" si="285"/>
        <v/>
      </c>
      <c r="BD197" s="421"/>
      <c r="BE197" s="59" t="str">
        <f t="shared" si="286"/>
        <v/>
      </c>
      <c r="BF197" s="60" t="str">
        <f t="shared" si="287"/>
        <v/>
      </c>
      <c r="BG197" s="421"/>
      <c r="BH197" s="59" t="str">
        <f t="shared" si="288"/>
        <v/>
      </c>
      <c r="BI197" s="60" t="str">
        <f t="shared" si="289"/>
        <v/>
      </c>
      <c r="BJ197" s="421"/>
      <c r="BK197" s="59" t="str">
        <f t="shared" si="290"/>
        <v/>
      </c>
      <c r="BL197" s="60" t="str">
        <f t="shared" si="291"/>
        <v/>
      </c>
      <c r="BM197" s="421"/>
      <c r="BN197" s="59" t="str">
        <f t="shared" si="292"/>
        <v/>
      </c>
      <c r="BO197" s="60" t="str">
        <f t="shared" si="293"/>
        <v/>
      </c>
      <c r="BP197" s="421"/>
      <c r="BQ197" s="59" t="str">
        <f t="shared" si="294"/>
        <v/>
      </c>
      <c r="BR197" s="60" t="str">
        <f t="shared" si="295"/>
        <v/>
      </c>
      <c r="BS197" s="421"/>
      <c r="BT197" s="59" t="str">
        <f t="shared" si="296"/>
        <v/>
      </c>
      <c r="BU197" s="60" t="str">
        <f t="shared" si="297"/>
        <v/>
      </c>
      <c r="BV197" s="421"/>
      <c r="BW197" s="59" t="str">
        <f t="shared" si="298"/>
        <v/>
      </c>
      <c r="BX197" s="60" t="str">
        <f t="shared" si="299"/>
        <v/>
      </c>
      <c r="BY197" s="421"/>
      <c r="BZ197" s="59" t="str">
        <f t="shared" si="300"/>
        <v/>
      </c>
      <c r="CA197" s="60" t="str">
        <f t="shared" si="301"/>
        <v/>
      </c>
      <c r="CB197" s="421"/>
      <c r="CC197" s="59" t="str">
        <f t="shared" si="302"/>
        <v/>
      </c>
      <c r="CD197" s="60" t="str">
        <f t="shared" si="303"/>
        <v/>
      </c>
      <c r="CE197" s="421"/>
      <c r="CF197" s="59" t="str">
        <f t="shared" si="304"/>
        <v/>
      </c>
      <c r="CG197" s="60" t="str">
        <f t="shared" si="305"/>
        <v/>
      </c>
      <c r="CH197" s="421"/>
      <c r="CI197" s="59" t="str">
        <f t="shared" si="306"/>
        <v/>
      </c>
      <c r="CJ197" s="60" t="str">
        <f t="shared" si="307"/>
        <v/>
      </c>
      <c r="CK197" s="421"/>
      <c r="CL197" s="59" t="str">
        <f t="shared" si="308"/>
        <v/>
      </c>
      <c r="CM197" s="60" t="str">
        <f t="shared" si="309"/>
        <v/>
      </c>
      <c r="CN197" s="421"/>
      <c r="CO197" s="59" t="str">
        <f t="shared" si="310"/>
        <v/>
      </c>
      <c r="CP197" s="60" t="str">
        <f t="shared" si="311"/>
        <v/>
      </c>
      <c r="CQ197" s="421"/>
      <c r="CR197" s="59" t="str">
        <f t="shared" si="312"/>
        <v/>
      </c>
      <c r="CS197" s="60" t="str">
        <f t="shared" si="313"/>
        <v/>
      </c>
      <c r="CT197" s="421"/>
      <c r="CU197" s="59" t="str">
        <f t="shared" si="314"/>
        <v/>
      </c>
      <c r="CV197" s="60" t="str">
        <f t="shared" si="315"/>
        <v/>
      </c>
      <c r="CW197" s="421"/>
      <c r="CX197" s="59" t="str">
        <f t="shared" si="316"/>
        <v/>
      </c>
      <c r="CY197" s="60" t="str">
        <f t="shared" si="317"/>
        <v/>
      </c>
      <c r="CZ197" s="421"/>
      <c r="DA197" s="59" t="str">
        <f t="shared" si="318"/>
        <v/>
      </c>
      <c r="DB197" s="60" t="str">
        <f t="shared" si="319"/>
        <v/>
      </c>
      <c r="DC197" s="421"/>
      <c r="DD197" s="59" t="str">
        <f t="shared" si="320"/>
        <v/>
      </c>
      <c r="DE197" s="60" t="str">
        <f t="shared" si="321"/>
        <v/>
      </c>
      <c r="DF197" s="421"/>
      <c r="DG197" s="59" t="str">
        <f t="shared" si="322"/>
        <v/>
      </c>
      <c r="DH197" s="60" t="str">
        <f t="shared" si="323"/>
        <v/>
      </c>
      <c r="DI197" s="421"/>
      <c r="DJ197" s="59" t="str">
        <f t="shared" si="324"/>
        <v/>
      </c>
      <c r="DK197" s="60" t="str">
        <f t="shared" si="325"/>
        <v/>
      </c>
      <c r="DL197" s="421"/>
      <c r="DM197" s="59" t="str">
        <f t="shared" si="326"/>
        <v/>
      </c>
      <c r="DN197" s="60" t="str">
        <f t="shared" si="327"/>
        <v/>
      </c>
      <c r="DO197" s="421"/>
      <c r="DP197" s="59" t="str">
        <f t="shared" si="328"/>
        <v/>
      </c>
      <c r="DQ197" s="60" t="str">
        <f t="shared" si="329"/>
        <v/>
      </c>
      <c r="DR197" s="421"/>
      <c r="DS197" s="59" t="str">
        <f t="shared" si="330"/>
        <v/>
      </c>
      <c r="DT197" s="60" t="str">
        <f t="shared" si="331"/>
        <v/>
      </c>
      <c r="DU197" s="421"/>
      <c r="DV197" s="59" t="str">
        <f t="shared" si="332"/>
        <v/>
      </c>
      <c r="DW197" s="60" t="str">
        <f t="shared" si="333"/>
        <v/>
      </c>
      <c r="DX197" s="161"/>
    </row>
    <row r="198" spans="2:128" ht="23.25" customHeight="1" x14ac:dyDescent="0.2">
      <c r="B198" s="716"/>
      <c r="C198" s="717"/>
      <c r="D198" s="717"/>
      <c r="E198" s="314">
        <f t="shared" si="252"/>
        <v>13</v>
      </c>
      <c r="F198" s="750" t="str">
        <f t="shared" si="334"/>
        <v/>
      </c>
      <c r="G198" s="751"/>
      <c r="H198" s="421"/>
      <c r="I198" s="59" t="str">
        <f t="shared" si="254"/>
        <v/>
      </c>
      <c r="J198" s="62" t="str">
        <f t="shared" si="255"/>
        <v/>
      </c>
      <c r="K198" s="421"/>
      <c r="L198" s="59" t="str">
        <f t="shared" si="256"/>
        <v/>
      </c>
      <c r="M198" s="62" t="str">
        <f t="shared" si="257"/>
        <v/>
      </c>
      <c r="N198" s="421"/>
      <c r="O198" s="59" t="str">
        <f t="shared" si="258"/>
        <v/>
      </c>
      <c r="P198" s="62" t="str">
        <f t="shared" si="259"/>
        <v/>
      </c>
      <c r="Q198" s="421"/>
      <c r="R198" s="59" t="str">
        <f t="shared" si="260"/>
        <v/>
      </c>
      <c r="S198" s="60" t="str">
        <f t="shared" si="261"/>
        <v/>
      </c>
      <c r="T198" s="421"/>
      <c r="U198" s="59" t="str">
        <f t="shared" si="262"/>
        <v/>
      </c>
      <c r="V198" s="60" t="str">
        <f t="shared" si="263"/>
        <v/>
      </c>
      <c r="W198" s="421"/>
      <c r="X198" s="59" t="str">
        <f t="shared" si="264"/>
        <v/>
      </c>
      <c r="Y198" s="60" t="str">
        <f t="shared" si="265"/>
        <v/>
      </c>
      <c r="Z198" s="421"/>
      <c r="AA198" s="59" t="str">
        <f t="shared" si="266"/>
        <v/>
      </c>
      <c r="AB198" s="60" t="str">
        <f t="shared" si="267"/>
        <v/>
      </c>
      <c r="AC198" s="421"/>
      <c r="AD198" s="59" t="str">
        <f t="shared" si="268"/>
        <v/>
      </c>
      <c r="AE198" s="60" t="str">
        <f t="shared" si="269"/>
        <v/>
      </c>
      <c r="AF198" s="421"/>
      <c r="AG198" s="59" t="str">
        <f t="shared" si="270"/>
        <v/>
      </c>
      <c r="AH198" s="60" t="str">
        <f t="shared" si="271"/>
        <v/>
      </c>
      <c r="AI198" s="421"/>
      <c r="AJ198" s="59" t="str">
        <f t="shared" si="272"/>
        <v/>
      </c>
      <c r="AK198" s="60" t="str">
        <f t="shared" si="273"/>
        <v/>
      </c>
      <c r="AL198" s="421"/>
      <c r="AM198" s="59" t="str">
        <f t="shared" si="274"/>
        <v/>
      </c>
      <c r="AN198" s="60" t="str">
        <f t="shared" si="275"/>
        <v/>
      </c>
      <c r="AO198" s="421"/>
      <c r="AP198" s="59" t="str">
        <f t="shared" si="276"/>
        <v/>
      </c>
      <c r="AQ198" s="60" t="str">
        <f t="shared" si="277"/>
        <v/>
      </c>
      <c r="AR198" s="421"/>
      <c r="AS198" s="59" t="str">
        <f t="shared" si="278"/>
        <v/>
      </c>
      <c r="AT198" s="60" t="str">
        <f t="shared" si="279"/>
        <v/>
      </c>
      <c r="AU198" s="421"/>
      <c r="AV198" s="59" t="str">
        <f t="shared" si="280"/>
        <v/>
      </c>
      <c r="AW198" s="60" t="str">
        <f t="shared" si="281"/>
        <v/>
      </c>
      <c r="AX198" s="421"/>
      <c r="AY198" s="59" t="str">
        <f t="shared" si="282"/>
        <v/>
      </c>
      <c r="AZ198" s="60" t="str">
        <f t="shared" si="283"/>
        <v/>
      </c>
      <c r="BA198" s="421"/>
      <c r="BB198" s="59" t="str">
        <f t="shared" si="284"/>
        <v/>
      </c>
      <c r="BC198" s="60" t="str">
        <f t="shared" si="285"/>
        <v/>
      </c>
      <c r="BD198" s="421"/>
      <c r="BE198" s="59" t="str">
        <f t="shared" si="286"/>
        <v/>
      </c>
      <c r="BF198" s="60" t="str">
        <f t="shared" si="287"/>
        <v/>
      </c>
      <c r="BG198" s="421"/>
      <c r="BH198" s="59" t="str">
        <f t="shared" si="288"/>
        <v/>
      </c>
      <c r="BI198" s="60" t="str">
        <f t="shared" si="289"/>
        <v/>
      </c>
      <c r="BJ198" s="421"/>
      <c r="BK198" s="59" t="str">
        <f t="shared" si="290"/>
        <v/>
      </c>
      <c r="BL198" s="60" t="str">
        <f t="shared" si="291"/>
        <v/>
      </c>
      <c r="BM198" s="421"/>
      <c r="BN198" s="59" t="str">
        <f t="shared" si="292"/>
        <v/>
      </c>
      <c r="BO198" s="60" t="str">
        <f t="shared" si="293"/>
        <v/>
      </c>
      <c r="BP198" s="421"/>
      <c r="BQ198" s="59" t="str">
        <f t="shared" si="294"/>
        <v/>
      </c>
      <c r="BR198" s="60" t="str">
        <f t="shared" si="295"/>
        <v/>
      </c>
      <c r="BS198" s="421"/>
      <c r="BT198" s="59" t="str">
        <f t="shared" si="296"/>
        <v/>
      </c>
      <c r="BU198" s="60" t="str">
        <f t="shared" si="297"/>
        <v/>
      </c>
      <c r="BV198" s="421"/>
      <c r="BW198" s="59" t="str">
        <f t="shared" si="298"/>
        <v/>
      </c>
      <c r="BX198" s="60" t="str">
        <f t="shared" si="299"/>
        <v/>
      </c>
      <c r="BY198" s="421"/>
      <c r="BZ198" s="59" t="str">
        <f t="shared" si="300"/>
        <v/>
      </c>
      <c r="CA198" s="60" t="str">
        <f t="shared" si="301"/>
        <v/>
      </c>
      <c r="CB198" s="421"/>
      <c r="CC198" s="59" t="str">
        <f t="shared" si="302"/>
        <v/>
      </c>
      <c r="CD198" s="60" t="str">
        <f t="shared" si="303"/>
        <v/>
      </c>
      <c r="CE198" s="421"/>
      <c r="CF198" s="59" t="str">
        <f t="shared" si="304"/>
        <v/>
      </c>
      <c r="CG198" s="60" t="str">
        <f t="shared" si="305"/>
        <v/>
      </c>
      <c r="CH198" s="421"/>
      <c r="CI198" s="59" t="str">
        <f t="shared" si="306"/>
        <v/>
      </c>
      <c r="CJ198" s="60" t="str">
        <f t="shared" si="307"/>
        <v/>
      </c>
      <c r="CK198" s="421"/>
      <c r="CL198" s="59" t="str">
        <f t="shared" si="308"/>
        <v/>
      </c>
      <c r="CM198" s="60" t="str">
        <f t="shared" si="309"/>
        <v/>
      </c>
      <c r="CN198" s="421"/>
      <c r="CO198" s="59" t="str">
        <f t="shared" si="310"/>
        <v/>
      </c>
      <c r="CP198" s="60" t="str">
        <f t="shared" si="311"/>
        <v/>
      </c>
      <c r="CQ198" s="421"/>
      <c r="CR198" s="59" t="str">
        <f t="shared" si="312"/>
        <v/>
      </c>
      <c r="CS198" s="60" t="str">
        <f t="shared" si="313"/>
        <v/>
      </c>
      <c r="CT198" s="421"/>
      <c r="CU198" s="59" t="str">
        <f t="shared" si="314"/>
        <v/>
      </c>
      <c r="CV198" s="60" t="str">
        <f t="shared" si="315"/>
        <v/>
      </c>
      <c r="CW198" s="421"/>
      <c r="CX198" s="59" t="str">
        <f t="shared" si="316"/>
        <v/>
      </c>
      <c r="CY198" s="60" t="str">
        <f t="shared" si="317"/>
        <v/>
      </c>
      <c r="CZ198" s="421"/>
      <c r="DA198" s="59" t="str">
        <f t="shared" si="318"/>
        <v/>
      </c>
      <c r="DB198" s="60" t="str">
        <f t="shared" si="319"/>
        <v/>
      </c>
      <c r="DC198" s="421"/>
      <c r="DD198" s="59" t="str">
        <f t="shared" si="320"/>
        <v/>
      </c>
      <c r="DE198" s="60" t="str">
        <f t="shared" si="321"/>
        <v/>
      </c>
      <c r="DF198" s="421"/>
      <c r="DG198" s="59" t="str">
        <f t="shared" si="322"/>
        <v/>
      </c>
      <c r="DH198" s="60" t="str">
        <f t="shared" si="323"/>
        <v/>
      </c>
      <c r="DI198" s="421"/>
      <c r="DJ198" s="59" t="str">
        <f t="shared" si="324"/>
        <v/>
      </c>
      <c r="DK198" s="60" t="str">
        <f t="shared" si="325"/>
        <v/>
      </c>
      <c r="DL198" s="421"/>
      <c r="DM198" s="59" t="str">
        <f t="shared" si="326"/>
        <v/>
      </c>
      <c r="DN198" s="60" t="str">
        <f t="shared" si="327"/>
        <v/>
      </c>
      <c r="DO198" s="421"/>
      <c r="DP198" s="59" t="str">
        <f t="shared" si="328"/>
        <v/>
      </c>
      <c r="DQ198" s="60" t="str">
        <f t="shared" si="329"/>
        <v/>
      </c>
      <c r="DR198" s="421"/>
      <c r="DS198" s="59" t="str">
        <f t="shared" si="330"/>
        <v/>
      </c>
      <c r="DT198" s="60" t="str">
        <f t="shared" si="331"/>
        <v/>
      </c>
      <c r="DU198" s="421"/>
      <c r="DV198" s="59" t="str">
        <f t="shared" si="332"/>
        <v/>
      </c>
      <c r="DW198" s="60" t="str">
        <f t="shared" si="333"/>
        <v/>
      </c>
      <c r="DX198" s="161"/>
    </row>
    <row r="199" spans="2:128" ht="23.25" customHeight="1" x14ac:dyDescent="0.2">
      <c r="B199" s="716"/>
      <c r="C199" s="717"/>
      <c r="D199" s="717"/>
      <c r="E199" s="314">
        <f t="shared" si="252"/>
        <v>14</v>
      </c>
      <c r="F199" s="750" t="str">
        <f t="shared" si="334"/>
        <v/>
      </c>
      <c r="G199" s="751"/>
      <c r="H199" s="421"/>
      <c r="I199" s="59" t="str">
        <f t="shared" si="254"/>
        <v/>
      </c>
      <c r="J199" s="62" t="str">
        <f t="shared" si="255"/>
        <v/>
      </c>
      <c r="K199" s="421"/>
      <c r="L199" s="59" t="str">
        <f t="shared" si="256"/>
        <v/>
      </c>
      <c r="M199" s="62" t="str">
        <f t="shared" si="257"/>
        <v/>
      </c>
      <c r="N199" s="421"/>
      <c r="O199" s="59" t="str">
        <f t="shared" si="258"/>
        <v/>
      </c>
      <c r="P199" s="62" t="str">
        <f t="shared" si="259"/>
        <v/>
      </c>
      <c r="Q199" s="421"/>
      <c r="R199" s="59" t="str">
        <f t="shared" si="260"/>
        <v/>
      </c>
      <c r="S199" s="60" t="str">
        <f t="shared" si="261"/>
        <v/>
      </c>
      <c r="T199" s="421"/>
      <c r="U199" s="59" t="str">
        <f t="shared" si="262"/>
        <v/>
      </c>
      <c r="V199" s="60" t="str">
        <f t="shared" si="263"/>
        <v/>
      </c>
      <c r="W199" s="421"/>
      <c r="X199" s="59" t="str">
        <f t="shared" si="264"/>
        <v/>
      </c>
      <c r="Y199" s="60" t="str">
        <f t="shared" si="265"/>
        <v/>
      </c>
      <c r="Z199" s="421"/>
      <c r="AA199" s="59" t="str">
        <f t="shared" si="266"/>
        <v/>
      </c>
      <c r="AB199" s="60" t="str">
        <f t="shared" si="267"/>
        <v/>
      </c>
      <c r="AC199" s="421"/>
      <c r="AD199" s="59" t="str">
        <f t="shared" si="268"/>
        <v/>
      </c>
      <c r="AE199" s="60" t="str">
        <f t="shared" si="269"/>
        <v/>
      </c>
      <c r="AF199" s="421"/>
      <c r="AG199" s="59" t="str">
        <f t="shared" si="270"/>
        <v/>
      </c>
      <c r="AH199" s="60" t="str">
        <f t="shared" si="271"/>
        <v/>
      </c>
      <c r="AI199" s="421"/>
      <c r="AJ199" s="59" t="str">
        <f t="shared" si="272"/>
        <v/>
      </c>
      <c r="AK199" s="60" t="str">
        <f t="shared" si="273"/>
        <v/>
      </c>
      <c r="AL199" s="421"/>
      <c r="AM199" s="59" t="str">
        <f t="shared" si="274"/>
        <v/>
      </c>
      <c r="AN199" s="60" t="str">
        <f t="shared" si="275"/>
        <v/>
      </c>
      <c r="AO199" s="421"/>
      <c r="AP199" s="59" t="str">
        <f t="shared" si="276"/>
        <v/>
      </c>
      <c r="AQ199" s="60" t="str">
        <f t="shared" si="277"/>
        <v/>
      </c>
      <c r="AR199" s="421"/>
      <c r="AS199" s="59" t="str">
        <f t="shared" si="278"/>
        <v/>
      </c>
      <c r="AT199" s="60" t="str">
        <f t="shared" si="279"/>
        <v/>
      </c>
      <c r="AU199" s="421"/>
      <c r="AV199" s="59" t="str">
        <f t="shared" si="280"/>
        <v/>
      </c>
      <c r="AW199" s="60" t="str">
        <f t="shared" si="281"/>
        <v/>
      </c>
      <c r="AX199" s="421"/>
      <c r="AY199" s="59" t="str">
        <f t="shared" si="282"/>
        <v/>
      </c>
      <c r="AZ199" s="60" t="str">
        <f t="shared" si="283"/>
        <v/>
      </c>
      <c r="BA199" s="421"/>
      <c r="BB199" s="59" t="str">
        <f t="shared" si="284"/>
        <v/>
      </c>
      <c r="BC199" s="60" t="str">
        <f t="shared" si="285"/>
        <v/>
      </c>
      <c r="BD199" s="421"/>
      <c r="BE199" s="59" t="str">
        <f t="shared" si="286"/>
        <v/>
      </c>
      <c r="BF199" s="60" t="str">
        <f t="shared" si="287"/>
        <v/>
      </c>
      <c r="BG199" s="421"/>
      <c r="BH199" s="59" t="str">
        <f t="shared" si="288"/>
        <v/>
      </c>
      <c r="BI199" s="60" t="str">
        <f t="shared" si="289"/>
        <v/>
      </c>
      <c r="BJ199" s="421"/>
      <c r="BK199" s="59" t="str">
        <f t="shared" si="290"/>
        <v/>
      </c>
      <c r="BL199" s="60" t="str">
        <f t="shared" si="291"/>
        <v/>
      </c>
      <c r="BM199" s="421"/>
      <c r="BN199" s="59" t="str">
        <f t="shared" si="292"/>
        <v/>
      </c>
      <c r="BO199" s="60" t="str">
        <f t="shared" si="293"/>
        <v/>
      </c>
      <c r="BP199" s="421"/>
      <c r="BQ199" s="59" t="str">
        <f t="shared" si="294"/>
        <v/>
      </c>
      <c r="BR199" s="60" t="str">
        <f t="shared" si="295"/>
        <v/>
      </c>
      <c r="BS199" s="421"/>
      <c r="BT199" s="59" t="str">
        <f t="shared" si="296"/>
        <v/>
      </c>
      <c r="BU199" s="60" t="str">
        <f t="shared" si="297"/>
        <v/>
      </c>
      <c r="BV199" s="421"/>
      <c r="BW199" s="59" t="str">
        <f t="shared" si="298"/>
        <v/>
      </c>
      <c r="BX199" s="60" t="str">
        <f t="shared" si="299"/>
        <v/>
      </c>
      <c r="BY199" s="421"/>
      <c r="BZ199" s="59" t="str">
        <f t="shared" si="300"/>
        <v/>
      </c>
      <c r="CA199" s="60" t="str">
        <f t="shared" si="301"/>
        <v/>
      </c>
      <c r="CB199" s="421"/>
      <c r="CC199" s="59" t="str">
        <f t="shared" si="302"/>
        <v/>
      </c>
      <c r="CD199" s="60" t="str">
        <f t="shared" si="303"/>
        <v/>
      </c>
      <c r="CE199" s="421"/>
      <c r="CF199" s="59" t="str">
        <f t="shared" si="304"/>
        <v/>
      </c>
      <c r="CG199" s="60" t="str">
        <f t="shared" si="305"/>
        <v/>
      </c>
      <c r="CH199" s="421"/>
      <c r="CI199" s="59" t="str">
        <f t="shared" si="306"/>
        <v/>
      </c>
      <c r="CJ199" s="60" t="str">
        <f t="shared" si="307"/>
        <v/>
      </c>
      <c r="CK199" s="421"/>
      <c r="CL199" s="59" t="str">
        <f t="shared" si="308"/>
        <v/>
      </c>
      <c r="CM199" s="60" t="str">
        <f t="shared" si="309"/>
        <v/>
      </c>
      <c r="CN199" s="421"/>
      <c r="CO199" s="59" t="str">
        <f t="shared" si="310"/>
        <v/>
      </c>
      <c r="CP199" s="60" t="str">
        <f t="shared" si="311"/>
        <v/>
      </c>
      <c r="CQ199" s="421"/>
      <c r="CR199" s="59" t="str">
        <f t="shared" si="312"/>
        <v/>
      </c>
      <c r="CS199" s="60" t="str">
        <f t="shared" si="313"/>
        <v/>
      </c>
      <c r="CT199" s="421"/>
      <c r="CU199" s="59" t="str">
        <f t="shared" si="314"/>
        <v/>
      </c>
      <c r="CV199" s="60" t="str">
        <f t="shared" si="315"/>
        <v/>
      </c>
      <c r="CW199" s="421"/>
      <c r="CX199" s="59" t="str">
        <f t="shared" si="316"/>
        <v/>
      </c>
      <c r="CY199" s="60" t="str">
        <f t="shared" si="317"/>
        <v/>
      </c>
      <c r="CZ199" s="421"/>
      <c r="DA199" s="59" t="str">
        <f t="shared" si="318"/>
        <v/>
      </c>
      <c r="DB199" s="60" t="str">
        <f t="shared" si="319"/>
        <v/>
      </c>
      <c r="DC199" s="421"/>
      <c r="DD199" s="59" t="str">
        <f t="shared" si="320"/>
        <v/>
      </c>
      <c r="DE199" s="60" t="str">
        <f t="shared" si="321"/>
        <v/>
      </c>
      <c r="DF199" s="421"/>
      <c r="DG199" s="59" t="str">
        <f t="shared" si="322"/>
        <v/>
      </c>
      <c r="DH199" s="60" t="str">
        <f t="shared" si="323"/>
        <v/>
      </c>
      <c r="DI199" s="421"/>
      <c r="DJ199" s="59" t="str">
        <f t="shared" si="324"/>
        <v/>
      </c>
      <c r="DK199" s="60" t="str">
        <f t="shared" si="325"/>
        <v/>
      </c>
      <c r="DL199" s="421"/>
      <c r="DM199" s="59" t="str">
        <f t="shared" si="326"/>
        <v/>
      </c>
      <c r="DN199" s="60" t="str">
        <f t="shared" si="327"/>
        <v/>
      </c>
      <c r="DO199" s="421"/>
      <c r="DP199" s="59" t="str">
        <f t="shared" si="328"/>
        <v/>
      </c>
      <c r="DQ199" s="60" t="str">
        <f t="shared" si="329"/>
        <v/>
      </c>
      <c r="DR199" s="421"/>
      <c r="DS199" s="59" t="str">
        <f t="shared" si="330"/>
        <v/>
      </c>
      <c r="DT199" s="60" t="str">
        <f t="shared" si="331"/>
        <v/>
      </c>
      <c r="DU199" s="421"/>
      <c r="DV199" s="59" t="str">
        <f t="shared" si="332"/>
        <v/>
      </c>
      <c r="DW199" s="60" t="str">
        <f t="shared" si="333"/>
        <v/>
      </c>
      <c r="DX199" s="161"/>
    </row>
    <row r="200" spans="2:128" ht="23.25" customHeight="1" x14ac:dyDescent="0.2">
      <c r="B200" s="716"/>
      <c r="C200" s="717"/>
      <c r="D200" s="717"/>
      <c r="E200" s="314">
        <f t="shared" si="252"/>
        <v>15</v>
      </c>
      <c r="F200" s="750" t="str">
        <f t="shared" si="334"/>
        <v/>
      </c>
      <c r="G200" s="751"/>
      <c r="H200" s="421"/>
      <c r="I200" s="59" t="str">
        <f t="shared" si="254"/>
        <v/>
      </c>
      <c r="J200" s="62" t="str">
        <f t="shared" si="255"/>
        <v/>
      </c>
      <c r="K200" s="421"/>
      <c r="L200" s="59" t="str">
        <f t="shared" si="256"/>
        <v/>
      </c>
      <c r="M200" s="62" t="str">
        <f t="shared" si="257"/>
        <v/>
      </c>
      <c r="N200" s="421"/>
      <c r="O200" s="59" t="str">
        <f t="shared" si="258"/>
        <v/>
      </c>
      <c r="P200" s="62" t="str">
        <f t="shared" si="259"/>
        <v/>
      </c>
      <c r="Q200" s="421"/>
      <c r="R200" s="59" t="str">
        <f t="shared" si="260"/>
        <v/>
      </c>
      <c r="S200" s="60" t="str">
        <f t="shared" si="261"/>
        <v/>
      </c>
      <c r="T200" s="421"/>
      <c r="U200" s="59" t="str">
        <f t="shared" si="262"/>
        <v/>
      </c>
      <c r="V200" s="60" t="str">
        <f t="shared" si="263"/>
        <v/>
      </c>
      <c r="W200" s="421"/>
      <c r="X200" s="59" t="str">
        <f t="shared" si="264"/>
        <v/>
      </c>
      <c r="Y200" s="60" t="str">
        <f t="shared" si="265"/>
        <v/>
      </c>
      <c r="Z200" s="421"/>
      <c r="AA200" s="59" t="str">
        <f t="shared" si="266"/>
        <v/>
      </c>
      <c r="AB200" s="60" t="str">
        <f t="shared" si="267"/>
        <v/>
      </c>
      <c r="AC200" s="421"/>
      <c r="AD200" s="59" t="str">
        <f t="shared" si="268"/>
        <v/>
      </c>
      <c r="AE200" s="60" t="str">
        <f t="shared" si="269"/>
        <v/>
      </c>
      <c r="AF200" s="421"/>
      <c r="AG200" s="59" t="str">
        <f t="shared" si="270"/>
        <v/>
      </c>
      <c r="AH200" s="60" t="str">
        <f t="shared" si="271"/>
        <v/>
      </c>
      <c r="AI200" s="421"/>
      <c r="AJ200" s="59" t="str">
        <f t="shared" si="272"/>
        <v/>
      </c>
      <c r="AK200" s="60" t="str">
        <f t="shared" si="273"/>
        <v/>
      </c>
      <c r="AL200" s="421"/>
      <c r="AM200" s="59" t="str">
        <f t="shared" si="274"/>
        <v/>
      </c>
      <c r="AN200" s="60" t="str">
        <f t="shared" si="275"/>
        <v/>
      </c>
      <c r="AO200" s="421"/>
      <c r="AP200" s="59" t="str">
        <f t="shared" si="276"/>
        <v/>
      </c>
      <c r="AQ200" s="60" t="str">
        <f t="shared" si="277"/>
        <v/>
      </c>
      <c r="AR200" s="421"/>
      <c r="AS200" s="59" t="str">
        <f t="shared" si="278"/>
        <v/>
      </c>
      <c r="AT200" s="60" t="str">
        <f t="shared" si="279"/>
        <v/>
      </c>
      <c r="AU200" s="421"/>
      <c r="AV200" s="59" t="str">
        <f t="shared" si="280"/>
        <v/>
      </c>
      <c r="AW200" s="60" t="str">
        <f t="shared" si="281"/>
        <v/>
      </c>
      <c r="AX200" s="421"/>
      <c r="AY200" s="59" t="str">
        <f t="shared" si="282"/>
        <v/>
      </c>
      <c r="AZ200" s="60" t="str">
        <f t="shared" si="283"/>
        <v/>
      </c>
      <c r="BA200" s="421"/>
      <c r="BB200" s="59" t="str">
        <f t="shared" si="284"/>
        <v/>
      </c>
      <c r="BC200" s="60" t="str">
        <f t="shared" si="285"/>
        <v/>
      </c>
      <c r="BD200" s="421"/>
      <c r="BE200" s="59" t="str">
        <f t="shared" si="286"/>
        <v/>
      </c>
      <c r="BF200" s="60" t="str">
        <f t="shared" si="287"/>
        <v/>
      </c>
      <c r="BG200" s="421"/>
      <c r="BH200" s="59" t="str">
        <f t="shared" si="288"/>
        <v/>
      </c>
      <c r="BI200" s="60" t="str">
        <f t="shared" si="289"/>
        <v/>
      </c>
      <c r="BJ200" s="421"/>
      <c r="BK200" s="59" t="str">
        <f t="shared" si="290"/>
        <v/>
      </c>
      <c r="BL200" s="60" t="str">
        <f t="shared" si="291"/>
        <v/>
      </c>
      <c r="BM200" s="421"/>
      <c r="BN200" s="59" t="str">
        <f t="shared" si="292"/>
        <v/>
      </c>
      <c r="BO200" s="60" t="str">
        <f t="shared" si="293"/>
        <v/>
      </c>
      <c r="BP200" s="421"/>
      <c r="BQ200" s="59" t="str">
        <f t="shared" si="294"/>
        <v/>
      </c>
      <c r="BR200" s="60" t="str">
        <f t="shared" si="295"/>
        <v/>
      </c>
      <c r="BS200" s="421"/>
      <c r="BT200" s="59" t="str">
        <f t="shared" si="296"/>
        <v/>
      </c>
      <c r="BU200" s="60" t="str">
        <f t="shared" si="297"/>
        <v/>
      </c>
      <c r="BV200" s="421"/>
      <c r="BW200" s="59" t="str">
        <f t="shared" si="298"/>
        <v/>
      </c>
      <c r="BX200" s="60" t="str">
        <f t="shared" si="299"/>
        <v/>
      </c>
      <c r="BY200" s="421"/>
      <c r="BZ200" s="59" t="str">
        <f t="shared" si="300"/>
        <v/>
      </c>
      <c r="CA200" s="60" t="str">
        <f t="shared" si="301"/>
        <v/>
      </c>
      <c r="CB200" s="421"/>
      <c r="CC200" s="59" t="str">
        <f t="shared" si="302"/>
        <v/>
      </c>
      <c r="CD200" s="60" t="str">
        <f t="shared" si="303"/>
        <v/>
      </c>
      <c r="CE200" s="421"/>
      <c r="CF200" s="59" t="str">
        <f t="shared" si="304"/>
        <v/>
      </c>
      <c r="CG200" s="60" t="str">
        <f t="shared" si="305"/>
        <v/>
      </c>
      <c r="CH200" s="421"/>
      <c r="CI200" s="59" t="str">
        <f t="shared" si="306"/>
        <v/>
      </c>
      <c r="CJ200" s="60" t="str">
        <f t="shared" si="307"/>
        <v/>
      </c>
      <c r="CK200" s="421"/>
      <c r="CL200" s="59" t="str">
        <f t="shared" si="308"/>
        <v/>
      </c>
      <c r="CM200" s="60" t="str">
        <f t="shared" si="309"/>
        <v/>
      </c>
      <c r="CN200" s="421"/>
      <c r="CO200" s="59" t="str">
        <f t="shared" si="310"/>
        <v/>
      </c>
      <c r="CP200" s="60" t="str">
        <f t="shared" si="311"/>
        <v/>
      </c>
      <c r="CQ200" s="421"/>
      <c r="CR200" s="59" t="str">
        <f t="shared" si="312"/>
        <v/>
      </c>
      <c r="CS200" s="60" t="str">
        <f t="shared" si="313"/>
        <v/>
      </c>
      <c r="CT200" s="421"/>
      <c r="CU200" s="59" t="str">
        <f t="shared" si="314"/>
        <v/>
      </c>
      <c r="CV200" s="60" t="str">
        <f t="shared" si="315"/>
        <v/>
      </c>
      <c r="CW200" s="421"/>
      <c r="CX200" s="59" t="str">
        <f t="shared" si="316"/>
        <v/>
      </c>
      <c r="CY200" s="60" t="str">
        <f t="shared" si="317"/>
        <v/>
      </c>
      <c r="CZ200" s="421"/>
      <c r="DA200" s="59" t="str">
        <f t="shared" si="318"/>
        <v/>
      </c>
      <c r="DB200" s="60" t="str">
        <f t="shared" si="319"/>
        <v/>
      </c>
      <c r="DC200" s="421"/>
      <c r="DD200" s="59" t="str">
        <f t="shared" si="320"/>
        <v/>
      </c>
      <c r="DE200" s="60" t="str">
        <f t="shared" si="321"/>
        <v/>
      </c>
      <c r="DF200" s="421"/>
      <c r="DG200" s="59" t="str">
        <f t="shared" si="322"/>
        <v/>
      </c>
      <c r="DH200" s="60" t="str">
        <f t="shared" si="323"/>
        <v/>
      </c>
      <c r="DI200" s="421"/>
      <c r="DJ200" s="59" t="str">
        <f t="shared" si="324"/>
        <v/>
      </c>
      <c r="DK200" s="60" t="str">
        <f t="shared" si="325"/>
        <v/>
      </c>
      <c r="DL200" s="421"/>
      <c r="DM200" s="59" t="str">
        <f t="shared" si="326"/>
        <v/>
      </c>
      <c r="DN200" s="60" t="str">
        <f t="shared" si="327"/>
        <v/>
      </c>
      <c r="DO200" s="421"/>
      <c r="DP200" s="59" t="str">
        <f t="shared" si="328"/>
        <v/>
      </c>
      <c r="DQ200" s="60" t="str">
        <f t="shared" si="329"/>
        <v/>
      </c>
      <c r="DR200" s="421"/>
      <c r="DS200" s="59" t="str">
        <f t="shared" si="330"/>
        <v/>
      </c>
      <c r="DT200" s="60" t="str">
        <f t="shared" si="331"/>
        <v/>
      </c>
      <c r="DU200" s="421"/>
      <c r="DV200" s="59" t="str">
        <f t="shared" si="332"/>
        <v/>
      </c>
      <c r="DW200" s="60" t="str">
        <f t="shared" si="333"/>
        <v/>
      </c>
      <c r="DX200" s="161"/>
    </row>
    <row r="201" spans="2:128" ht="23.25" customHeight="1" x14ac:dyDescent="0.2">
      <c r="B201" s="716"/>
      <c r="C201" s="717"/>
      <c r="D201" s="717"/>
      <c r="E201" s="314">
        <f t="shared" si="252"/>
        <v>16</v>
      </c>
      <c r="F201" s="750" t="str">
        <f t="shared" si="334"/>
        <v/>
      </c>
      <c r="G201" s="751"/>
      <c r="H201" s="421"/>
      <c r="I201" s="59" t="str">
        <f t="shared" si="254"/>
        <v/>
      </c>
      <c r="J201" s="62" t="str">
        <f t="shared" si="255"/>
        <v/>
      </c>
      <c r="K201" s="421"/>
      <c r="L201" s="59" t="str">
        <f t="shared" si="256"/>
        <v/>
      </c>
      <c r="M201" s="62" t="str">
        <f t="shared" si="257"/>
        <v/>
      </c>
      <c r="N201" s="421"/>
      <c r="O201" s="59" t="str">
        <f t="shared" si="258"/>
        <v/>
      </c>
      <c r="P201" s="62" t="str">
        <f t="shared" si="259"/>
        <v/>
      </c>
      <c r="Q201" s="421"/>
      <c r="R201" s="59" t="str">
        <f t="shared" si="260"/>
        <v/>
      </c>
      <c r="S201" s="60" t="str">
        <f t="shared" si="261"/>
        <v/>
      </c>
      <c r="T201" s="421"/>
      <c r="U201" s="59" t="str">
        <f t="shared" si="262"/>
        <v/>
      </c>
      <c r="V201" s="60" t="str">
        <f t="shared" si="263"/>
        <v/>
      </c>
      <c r="W201" s="421"/>
      <c r="X201" s="59" t="str">
        <f t="shared" si="264"/>
        <v/>
      </c>
      <c r="Y201" s="60" t="str">
        <f t="shared" si="265"/>
        <v/>
      </c>
      <c r="Z201" s="421"/>
      <c r="AA201" s="59" t="str">
        <f t="shared" si="266"/>
        <v/>
      </c>
      <c r="AB201" s="60" t="str">
        <f t="shared" si="267"/>
        <v/>
      </c>
      <c r="AC201" s="421"/>
      <c r="AD201" s="59" t="str">
        <f t="shared" si="268"/>
        <v/>
      </c>
      <c r="AE201" s="60" t="str">
        <f t="shared" si="269"/>
        <v/>
      </c>
      <c r="AF201" s="421"/>
      <c r="AG201" s="59" t="str">
        <f t="shared" si="270"/>
        <v/>
      </c>
      <c r="AH201" s="60" t="str">
        <f t="shared" si="271"/>
        <v/>
      </c>
      <c r="AI201" s="421"/>
      <c r="AJ201" s="59" t="str">
        <f t="shared" si="272"/>
        <v/>
      </c>
      <c r="AK201" s="60" t="str">
        <f t="shared" si="273"/>
        <v/>
      </c>
      <c r="AL201" s="421"/>
      <c r="AM201" s="59" t="str">
        <f t="shared" si="274"/>
        <v/>
      </c>
      <c r="AN201" s="60" t="str">
        <f t="shared" si="275"/>
        <v/>
      </c>
      <c r="AO201" s="421"/>
      <c r="AP201" s="59" t="str">
        <f t="shared" si="276"/>
        <v/>
      </c>
      <c r="AQ201" s="60" t="str">
        <f t="shared" si="277"/>
        <v/>
      </c>
      <c r="AR201" s="421"/>
      <c r="AS201" s="59" t="str">
        <f t="shared" si="278"/>
        <v/>
      </c>
      <c r="AT201" s="60" t="str">
        <f t="shared" si="279"/>
        <v/>
      </c>
      <c r="AU201" s="421"/>
      <c r="AV201" s="59" t="str">
        <f t="shared" si="280"/>
        <v/>
      </c>
      <c r="AW201" s="60" t="str">
        <f t="shared" si="281"/>
        <v/>
      </c>
      <c r="AX201" s="421"/>
      <c r="AY201" s="59" t="str">
        <f t="shared" si="282"/>
        <v/>
      </c>
      <c r="AZ201" s="60" t="str">
        <f t="shared" si="283"/>
        <v/>
      </c>
      <c r="BA201" s="421"/>
      <c r="BB201" s="59" t="str">
        <f t="shared" si="284"/>
        <v/>
      </c>
      <c r="BC201" s="60" t="str">
        <f t="shared" si="285"/>
        <v/>
      </c>
      <c r="BD201" s="421"/>
      <c r="BE201" s="59" t="str">
        <f t="shared" si="286"/>
        <v/>
      </c>
      <c r="BF201" s="60" t="str">
        <f t="shared" si="287"/>
        <v/>
      </c>
      <c r="BG201" s="421"/>
      <c r="BH201" s="59" t="str">
        <f t="shared" si="288"/>
        <v/>
      </c>
      <c r="BI201" s="60" t="str">
        <f t="shared" si="289"/>
        <v/>
      </c>
      <c r="BJ201" s="421"/>
      <c r="BK201" s="59" t="str">
        <f t="shared" si="290"/>
        <v/>
      </c>
      <c r="BL201" s="60" t="str">
        <f t="shared" si="291"/>
        <v/>
      </c>
      <c r="BM201" s="421"/>
      <c r="BN201" s="59" t="str">
        <f t="shared" si="292"/>
        <v/>
      </c>
      <c r="BO201" s="60" t="str">
        <f t="shared" si="293"/>
        <v/>
      </c>
      <c r="BP201" s="421"/>
      <c r="BQ201" s="59" t="str">
        <f t="shared" si="294"/>
        <v/>
      </c>
      <c r="BR201" s="60" t="str">
        <f t="shared" si="295"/>
        <v/>
      </c>
      <c r="BS201" s="421"/>
      <c r="BT201" s="59" t="str">
        <f t="shared" si="296"/>
        <v/>
      </c>
      <c r="BU201" s="60" t="str">
        <f t="shared" si="297"/>
        <v/>
      </c>
      <c r="BV201" s="421"/>
      <c r="BW201" s="59" t="str">
        <f t="shared" si="298"/>
        <v/>
      </c>
      <c r="BX201" s="60" t="str">
        <f t="shared" si="299"/>
        <v/>
      </c>
      <c r="BY201" s="421"/>
      <c r="BZ201" s="59" t="str">
        <f t="shared" si="300"/>
        <v/>
      </c>
      <c r="CA201" s="60" t="str">
        <f t="shared" si="301"/>
        <v/>
      </c>
      <c r="CB201" s="421"/>
      <c r="CC201" s="59" t="str">
        <f t="shared" si="302"/>
        <v/>
      </c>
      <c r="CD201" s="60" t="str">
        <f t="shared" si="303"/>
        <v/>
      </c>
      <c r="CE201" s="421"/>
      <c r="CF201" s="59" t="str">
        <f t="shared" si="304"/>
        <v/>
      </c>
      <c r="CG201" s="60" t="str">
        <f t="shared" si="305"/>
        <v/>
      </c>
      <c r="CH201" s="421"/>
      <c r="CI201" s="59" t="str">
        <f t="shared" si="306"/>
        <v/>
      </c>
      <c r="CJ201" s="60" t="str">
        <f t="shared" si="307"/>
        <v/>
      </c>
      <c r="CK201" s="421"/>
      <c r="CL201" s="59" t="str">
        <f t="shared" si="308"/>
        <v/>
      </c>
      <c r="CM201" s="60" t="str">
        <f t="shared" si="309"/>
        <v/>
      </c>
      <c r="CN201" s="421"/>
      <c r="CO201" s="59" t="str">
        <f t="shared" si="310"/>
        <v/>
      </c>
      <c r="CP201" s="60" t="str">
        <f t="shared" si="311"/>
        <v/>
      </c>
      <c r="CQ201" s="421"/>
      <c r="CR201" s="59" t="str">
        <f t="shared" si="312"/>
        <v/>
      </c>
      <c r="CS201" s="60" t="str">
        <f t="shared" si="313"/>
        <v/>
      </c>
      <c r="CT201" s="421"/>
      <c r="CU201" s="59" t="str">
        <f t="shared" si="314"/>
        <v/>
      </c>
      <c r="CV201" s="60" t="str">
        <f t="shared" si="315"/>
        <v/>
      </c>
      <c r="CW201" s="421"/>
      <c r="CX201" s="59" t="str">
        <f t="shared" si="316"/>
        <v/>
      </c>
      <c r="CY201" s="60" t="str">
        <f t="shared" si="317"/>
        <v/>
      </c>
      <c r="CZ201" s="421"/>
      <c r="DA201" s="59" t="str">
        <f t="shared" si="318"/>
        <v/>
      </c>
      <c r="DB201" s="60" t="str">
        <f t="shared" si="319"/>
        <v/>
      </c>
      <c r="DC201" s="421"/>
      <c r="DD201" s="59" t="str">
        <f t="shared" si="320"/>
        <v/>
      </c>
      <c r="DE201" s="60" t="str">
        <f t="shared" si="321"/>
        <v/>
      </c>
      <c r="DF201" s="421"/>
      <c r="DG201" s="59" t="str">
        <f t="shared" si="322"/>
        <v/>
      </c>
      <c r="DH201" s="60" t="str">
        <f t="shared" si="323"/>
        <v/>
      </c>
      <c r="DI201" s="421"/>
      <c r="DJ201" s="59" t="str">
        <f t="shared" si="324"/>
        <v/>
      </c>
      <c r="DK201" s="60" t="str">
        <f t="shared" si="325"/>
        <v/>
      </c>
      <c r="DL201" s="421"/>
      <c r="DM201" s="59" t="str">
        <f t="shared" si="326"/>
        <v/>
      </c>
      <c r="DN201" s="60" t="str">
        <f t="shared" si="327"/>
        <v/>
      </c>
      <c r="DO201" s="421"/>
      <c r="DP201" s="59" t="str">
        <f t="shared" si="328"/>
        <v/>
      </c>
      <c r="DQ201" s="60" t="str">
        <f t="shared" si="329"/>
        <v/>
      </c>
      <c r="DR201" s="421"/>
      <c r="DS201" s="59" t="str">
        <f t="shared" si="330"/>
        <v/>
      </c>
      <c r="DT201" s="60" t="str">
        <f t="shared" si="331"/>
        <v/>
      </c>
      <c r="DU201" s="421"/>
      <c r="DV201" s="59" t="str">
        <f t="shared" si="332"/>
        <v/>
      </c>
      <c r="DW201" s="60" t="str">
        <f t="shared" si="333"/>
        <v/>
      </c>
      <c r="DX201" s="161"/>
    </row>
    <row r="202" spans="2:128" ht="23.25" customHeight="1" x14ac:dyDescent="0.2">
      <c r="B202" s="716"/>
      <c r="C202" s="717"/>
      <c r="D202" s="717"/>
      <c r="E202" s="314">
        <f t="shared" si="252"/>
        <v>17</v>
      </c>
      <c r="F202" s="750" t="str">
        <f t="shared" si="334"/>
        <v/>
      </c>
      <c r="G202" s="751"/>
      <c r="H202" s="421"/>
      <c r="I202" s="59" t="str">
        <f t="shared" si="254"/>
        <v/>
      </c>
      <c r="J202" s="62" t="str">
        <f t="shared" si="255"/>
        <v/>
      </c>
      <c r="K202" s="421"/>
      <c r="L202" s="59" t="str">
        <f t="shared" si="256"/>
        <v/>
      </c>
      <c r="M202" s="62" t="str">
        <f t="shared" si="257"/>
        <v/>
      </c>
      <c r="N202" s="421"/>
      <c r="O202" s="59" t="str">
        <f t="shared" si="258"/>
        <v/>
      </c>
      <c r="P202" s="62" t="str">
        <f t="shared" si="259"/>
        <v/>
      </c>
      <c r="Q202" s="421"/>
      <c r="R202" s="59" t="str">
        <f t="shared" si="260"/>
        <v/>
      </c>
      <c r="S202" s="60" t="str">
        <f t="shared" si="261"/>
        <v/>
      </c>
      <c r="T202" s="421"/>
      <c r="U202" s="59" t="str">
        <f t="shared" si="262"/>
        <v/>
      </c>
      <c r="V202" s="60" t="str">
        <f t="shared" si="263"/>
        <v/>
      </c>
      <c r="W202" s="421"/>
      <c r="X202" s="59" t="str">
        <f t="shared" si="264"/>
        <v/>
      </c>
      <c r="Y202" s="60" t="str">
        <f t="shared" si="265"/>
        <v/>
      </c>
      <c r="Z202" s="421"/>
      <c r="AA202" s="59" t="str">
        <f t="shared" si="266"/>
        <v/>
      </c>
      <c r="AB202" s="60" t="str">
        <f t="shared" si="267"/>
        <v/>
      </c>
      <c r="AC202" s="421"/>
      <c r="AD202" s="59" t="str">
        <f t="shared" si="268"/>
        <v/>
      </c>
      <c r="AE202" s="60" t="str">
        <f t="shared" si="269"/>
        <v/>
      </c>
      <c r="AF202" s="421"/>
      <c r="AG202" s="59" t="str">
        <f t="shared" si="270"/>
        <v/>
      </c>
      <c r="AH202" s="60" t="str">
        <f t="shared" si="271"/>
        <v/>
      </c>
      <c r="AI202" s="421"/>
      <c r="AJ202" s="59" t="str">
        <f t="shared" si="272"/>
        <v/>
      </c>
      <c r="AK202" s="60" t="str">
        <f t="shared" si="273"/>
        <v/>
      </c>
      <c r="AL202" s="421"/>
      <c r="AM202" s="59" t="str">
        <f t="shared" si="274"/>
        <v/>
      </c>
      <c r="AN202" s="60" t="str">
        <f t="shared" si="275"/>
        <v/>
      </c>
      <c r="AO202" s="421"/>
      <c r="AP202" s="59" t="str">
        <f t="shared" si="276"/>
        <v/>
      </c>
      <c r="AQ202" s="60" t="str">
        <f t="shared" si="277"/>
        <v/>
      </c>
      <c r="AR202" s="421"/>
      <c r="AS202" s="59" t="str">
        <f t="shared" si="278"/>
        <v/>
      </c>
      <c r="AT202" s="60" t="str">
        <f t="shared" si="279"/>
        <v/>
      </c>
      <c r="AU202" s="421"/>
      <c r="AV202" s="59" t="str">
        <f t="shared" si="280"/>
        <v/>
      </c>
      <c r="AW202" s="60" t="str">
        <f t="shared" si="281"/>
        <v/>
      </c>
      <c r="AX202" s="421"/>
      <c r="AY202" s="59" t="str">
        <f t="shared" si="282"/>
        <v/>
      </c>
      <c r="AZ202" s="60" t="str">
        <f t="shared" si="283"/>
        <v/>
      </c>
      <c r="BA202" s="421"/>
      <c r="BB202" s="59" t="str">
        <f t="shared" si="284"/>
        <v/>
      </c>
      <c r="BC202" s="60" t="str">
        <f t="shared" si="285"/>
        <v/>
      </c>
      <c r="BD202" s="421"/>
      <c r="BE202" s="59" t="str">
        <f t="shared" si="286"/>
        <v/>
      </c>
      <c r="BF202" s="60" t="str">
        <f t="shared" si="287"/>
        <v/>
      </c>
      <c r="BG202" s="421"/>
      <c r="BH202" s="59" t="str">
        <f t="shared" si="288"/>
        <v/>
      </c>
      <c r="BI202" s="60" t="str">
        <f t="shared" si="289"/>
        <v/>
      </c>
      <c r="BJ202" s="421"/>
      <c r="BK202" s="59" t="str">
        <f t="shared" si="290"/>
        <v/>
      </c>
      <c r="BL202" s="60" t="str">
        <f t="shared" si="291"/>
        <v/>
      </c>
      <c r="BM202" s="421"/>
      <c r="BN202" s="59" t="str">
        <f t="shared" si="292"/>
        <v/>
      </c>
      <c r="BO202" s="60" t="str">
        <f t="shared" si="293"/>
        <v/>
      </c>
      <c r="BP202" s="421"/>
      <c r="BQ202" s="59" t="str">
        <f t="shared" si="294"/>
        <v/>
      </c>
      <c r="BR202" s="60" t="str">
        <f t="shared" si="295"/>
        <v/>
      </c>
      <c r="BS202" s="421"/>
      <c r="BT202" s="59" t="str">
        <f t="shared" si="296"/>
        <v/>
      </c>
      <c r="BU202" s="60" t="str">
        <f t="shared" si="297"/>
        <v/>
      </c>
      <c r="BV202" s="421"/>
      <c r="BW202" s="59" t="str">
        <f t="shared" si="298"/>
        <v/>
      </c>
      <c r="BX202" s="60" t="str">
        <f t="shared" si="299"/>
        <v/>
      </c>
      <c r="BY202" s="421"/>
      <c r="BZ202" s="59" t="str">
        <f t="shared" si="300"/>
        <v/>
      </c>
      <c r="CA202" s="60" t="str">
        <f t="shared" si="301"/>
        <v/>
      </c>
      <c r="CB202" s="421"/>
      <c r="CC202" s="59" t="str">
        <f t="shared" si="302"/>
        <v/>
      </c>
      <c r="CD202" s="60" t="str">
        <f t="shared" si="303"/>
        <v/>
      </c>
      <c r="CE202" s="421"/>
      <c r="CF202" s="59" t="str">
        <f t="shared" si="304"/>
        <v/>
      </c>
      <c r="CG202" s="60" t="str">
        <f t="shared" si="305"/>
        <v/>
      </c>
      <c r="CH202" s="421"/>
      <c r="CI202" s="59" t="str">
        <f t="shared" si="306"/>
        <v/>
      </c>
      <c r="CJ202" s="60" t="str">
        <f t="shared" si="307"/>
        <v/>
      </c>
      <c r="CK202" s="421"/>
      <c r="CL202" s="59" t="str">
        <f t="shared" si="308"/>
        <v/>
      </c>
      <c r="CM202" s="60" t="str">
        <f t="shared" si="309"/>
        <v/>
      </c>
      <c r="CN202" s="421"/>
      <c r="CO202" s="59" t="str">
        <f t="shared" si="310"/>
        <v/>
      </c>
      <c r="CP202" s="60" t="str">
        <f t="shared" si="311"/>
        <v/>
      </c>
      <c r="CQ202" s="421"/>
      <c r="CR202" s="59" t="str">
        <f t="shared" si="312"/>
        <v/>
      </c>
      <c r="CS202" s="60" t="str">
        <f t="shared" si="313"/>
        <v/>
      </c>
      <c r="CT202" s="421"/>
      <c r="CU202" s="59" t="str">
        <f t="shared" si="314"/>
        <v/>
      </c>
      <c r="CV202" s="60" t="str">
        <f t="shared" si="315"/>
        <v/>
      </c>
      <c r="CW202" s="421"/>
      <c r="CX202" s="59" t="str">
        <f t="shared" si="316"/>
        <v/>
      </c>
      <c r="CY202" s="60" t="str">
        <f t="shared" si="317"/>
        <v/>
      </c>
      <c r="CZ202" s="421"/>
      <c r="DA202" s="59" t="str">
        <f t="shared" si="318"/>
        <v/>
      </c>
      <c r="DB202" s="60" t="str">
        <f t="shared" si="319"/>
        <v/>
      </c>
      <c r="DC202" s="421"/>
      <c r="DD202" s="59" t="str">
        <f t="shared" si="320"/>
        <v/>
      </c>
      <c r="DE202" s="60" t="str">
        <f t="shared" si="321"/>
        <v/>
      </c>
      <c r="DF202" s="421"/>
      <c r="DG202" s="59" t="str">
        <f t="shared" si="322"/>
        <v/>
      </c>
      <c r="DH202" s="60" t="str">
        <f t="shared" si="323"/>
        <v/>
      </c>
      <c r="DI202" s="421"/>
      <c r="DJ202" s="59" t="str">
        <f t="shared" si="324"/>
        <v/>
      </c>
      <c r="DK202" s="60" t="str">
        <f t="shared" si="325"/>
        <v/>
      </c>
      <c r="DL202" s="421"/>
      <c r="DM202" s="59" t="str">
        <f t="shared" si="326"/>
        <v/>
      </c>
      <c r="DN202" s="60" t="str">
        <f t="shared" si="327"/>
        <v/>
      </c>
      <c r="DO202" s="421"/>
      <c r="DP202" s="59" t="str">
        <f t="shared" si="328"/>
        <v/>
      </c>
      <c r="DQ202" s="60" t="str">
        <f t="shared" si="329"/>
        <v/>
      </c>
      <c r="DR202" s="421"/>
      <c r="DS202" s="59" t="str">
        <f t="shared" si="330"/>
        <v/>
      </c>
      <c r="DT202" s="60" t="str">
        <f t="shared" si="331"/>
        <v/>
      </c>
      <c r="DU202" s="421"/>
      <c r="DV202" s="59" t="str">
        <f t="shared" si="332"/>
        <v/>
      </c>
      <c r="DW202" s="60" t="str">
        <f t="shared" si="333"/>
        <v/>
      </c>
      <c r="DX202" s="161"/>
    </row>
    <row r="203" spans="2:128" ht="23.25" customHeight="1" x14ac:dyDescent="0.2">
      <c r="B203" s="716"/>
      <c r="C203" s="717"/>
      <c r="D203" s="717"/>
      <c r="E203" s="314">
        <f t="shared" si="252"/>
        <v>18</v>
      </c>
      <c r="F203" s="750" t="str">
        <f t="shared" si="334"/>
        <v/>
      </c>
      <c r="G203" s="751"/>
      <c r="H203" s="421"/>
      <c r="I203" s="59" t="str">
        <f t="shared" si="254"/>
        <v/>
      </c>
      <c r="J203" s="62" t="str">
        <f t="shared" si="255"/>
        <v/>
      </c>
      <c r="K203" s="421"/>
      <c r="L203" s="59" t="str">
        <f t="shared" si="256"/>
        <v/>
      </c>
      <c r="M203" s="62" t="str">
        <f t="shared" si="257"/>
        <v/>
      </c>
      <c r="N203" s="421"/>
      <c r="O203" s="59" t="str">
        <f t="shared" si="258"/>
        <v/>
      </c>
      <c r="P203" s="62" t="str">
        <f t="shared" si="259"/>
        <v/>
      </c>
      <c r="Q203" s="421"/>
      <c r="R203" s="59" t="str">
        <f t="shared" si="260"/>
        <v/>
      </c>
      <c r="S203" s="60" t="str">
        <f t="shared" si="261"/>
        <v/>
      </c>
      <c r="T203" s="421"/>
      <c r="U203" s="59" t="str">
        <f t="shared" si="262"/>
        <v/>
      </c>
      <c r="V203" s="60" t="str">
        <f t="shared" si="263"/>
        <v/>
      </c>
      <c r="W203" s="421"/>
      <c r="X203" s="59" t="str">
        <f t="shared" si="264"/>
        <v/>
      </c>
      <c r="Y203" s="60" t="str">
        <f t="shared" si="265"/>
        <v/>
      </c>
      <c r="Z203" s="421"/>
      <c r="AA203" s="59" t="str">
        <f t="shared" si="266"/>
        <v/>
      </c>
      <c r="AB203" s="60" t="str">
        <f t="shared" si="267"/>
        <v/>
      </c>
      <c r="AC203" s="421"/>
      <c r="AD203" s="59" t="str">
        <f t="shared" si="268"/>
        <v/>
      </c>
      <c r="AE203" s="60" t="str">
        <f t="shared" si="269"/>
        <v/>
      </c>
      <c r="AF203" s="421"/>
      <c r="AG203" s="59" t="str">
        <f t="shared" si="270"/>
        <v/>
      </c>
      <c r="AH203" s="60" t="str">
        <f t="shared" si="271"/>
        <v/>
      </c>
      <c r="AI203" s="421"/>
      <c r="AJ203" s="59" t="str">
        <f t="shared" si="272"/>
        <v/>
      </c>
      <c r="AK203" s="60" t="str">
        <f t="shared" si="273"/>
        <v/>
      </c>
      <c r="AL203" s="421"/>
      <c r="AM203" s="59" t="str">
        <f t="shared" si="274"/>
        <v/>
      </c>
      <c r="AN203" s="60" t="str">
        <f t="shared" si="275"/>
        <v/>
      </c>
      <c r="AO203" s="421"/>
      <c r="AP203" s="59" t="str">
        <f t="shared" si="276"/>
        <v/>
      </c>
      <c r="AQ203" s="60" t="str">
        <f t="shared" si="277"/>
        <v/>
      </c>
      <c r="AR203" s="421"/>
      <c r="AS203" s="59" t="str">
        <f t="shared" si="278"/>
        <v/>
      </c>
      <c r="AT203" s="60" t="str">
        <f t="shared" si="279"/>
        <v/>
      </c>
      <c r="AU203" s="421"/>
      <c r="AV203" s="59" t="str">
        <f t="shared" si="280"/>
        <v/>
      </c>
      <c r="AW203" s="60" t="str">
        <f t="shared" si="281"/>
        <v/>
      </c>
      <c r="AX203" s="421"/>
      <c r="AY203" s="59" t="str">
        <f t="shared" si="282"/>
        <v/>
      </c>
      <c r="AZ203" s="60" t="str">
        <f t="shared" si="283"/>
        <v/>
      </c>
      <c r="BA203" s="421"/>
      <c r="BB203" s="59" t="str">
        <f t="shared" si="284"/>
        <v/>
      </c>
      <c r="BC203" s="60" t="str">
        <f t="shared" si="285"/>
        <v/>
      </c>
      <c r="BD203" s="421"/>
      <c r="BE203" s="59" t="str">
        <f t="shared" si="286"/>
        <v/>
      </c>
      <c r="BF203" s="60" t="str">
        <f t="shared" si="287"/>
        <v/>
      </c>
      <c r="BG203" s="421"/>
      <c r="BH203" s="59" t="str">
        <f t="shared" si="288"/>
        <v/>
      </c>
      <c r="BI203" s="60" t="str">
        <f t="shared" si="289"/>
        <v/>
      </c>
      <c r="BJ203" s="421"/>
      <c r="BK203" s="59" t="str">
        <f t="shared" si="290"/>
        <v/>
      </c>
      <c r="BL203" s="60" t="str">
        <f t="shared" si="291"/>
        <v/>
      </c>
      <c r="BM203" s="421"/>
      <c r="BN203" s="59" t="str">
        <f t="shared" si="292"/>
        <v/>
      </c>
      <c r="BO203" s="60" t="str">
        <f t="shared" si="293"/>
        <v/>
      </c>
      <c r="BP203" s="421"/>
      <c r="BQ203" s="59" t="str">
        <f t="shared" si="294"/>
        <v/>
      </c>
      <c r="BR203" s="60" t="str">
        <f t="shared" si="295"/>
        <v/>
      </c>
      <c r="BS203" s="421"/>
      <c r="BT203" s="59" t="str">
        <f t="shared" si="296"/>
        <v/>
      </c>
      <c r="BU203" s="60" t="str">
        <f t="shared" si="297"/>
        <v/>
      </c>
      <c r="BV203" s="421"/>
      <c r="BW203" s="59" t="str">
        <f t="shared" si="298"/>
        <v/>
      </c>
      <c r="BX203" s="60" t="str">
        <f t="shared" si="299"/>
        <v/>
      </c>
      <c r="BY203" s="421"/>
      <c r="BZ203" s="59" t="str">
        <f t="shared" si="300"/>
        <v/>
      </c>
      <c r="CA203" s="60" t="str">
        <f t="shared" si="301"/>
        <v/>
      </c>
      <c r="CB203" s="421"/>
      <c r="CC203" s="59" t="str">
        <f t="shared" si="302"/>
        <v/>
      </c>
      <c r="CD203" s="60" t="str">
        <f t="shared" si="303"/>
        <v/>
      </c>
      <c r="CE203" s="421"/>
      <c r="CF203" s="59" t="str">
        <f t="shared" si="304"/>
        <v/>
      </c>
      <c r="CG203" s="60" t="str">
        <f t="shared" si="305"/>
        <v/>
      </c>
      <c r="CH203" s="421"/>
      <c r="CI203" s="59" t="str">
        <f t="shared" si="306"/>
        <v/>
      </c>
      <c r="CJ203" s="60" t="str">
        <f t="shared" si="307"/>
        <v/>
      </c>
      <c r="CK203" s="421"/>
      <c r="CL203" s="59" t="str">
        <f t="shared" si="308"/>
        <v/>
      </c>
      <c r="CM203" s="60" t="str">
        <f t="shared" si="309"/>
        <v/>
      </c>
      <c r="CN203" s="421"/>
      <c r="CO203" s="59" t="str">
        <f t="shared" si="310"/>
        <v/>
      </c>
      <c r="CP203" s="60" t="str">
        <f t="shared" si="311"/>
        <v/>
      </c>
      <c r="CQ203" s="421"/>
      <c r="CR203" s="59" t="str">
        <f t="shared" si="312"/>
        <v/>
      </c>
      <c r="CS203" s="60" t="str">
        <f t="shared" si="313"/>
        <v/>
      </c>
      <c r="CT203" s="421"/>
      <c r="CU203" s="59" t="str">
        <f t="shared" si="314"/>
        <v/>
      </c>
      <c r="CV203" s="60" t="str">
        <f t="shared" si="315"/>
        <v/>
      </c>
      <c r="CW203" s="421"/>
      <c r="CX203" s="59" t="str">
        <f t="shared" si="316"/>
        <v/>
      </c>
      <c r="CY203" s="60" t="str">
        <f t="shared" si="317"/>
        <v/>
      </c>
      <c r="CZ203" s="421"/>
      <c r="DA203" s="59" t="str">
        <f t="shared" si="318"/>
        <v/>
      </c>
      <c r="DB203" s="60" t="str">
        <f t="shared" si="319"/>
        <v/>
      </c>
      <c r="DC203" s="421"/>
      <c r="DD203" s="59" t="str">
        <f t="shared" si="320"/>
        <v/>
      </c>
      <c r="DE203" s="60" t="str">
        <f t="shared" si="321"/>
        <v/>
      </c>
      <c r="DF203" s="421"/>
      <c r="DG203" s="59" t="str">
        <f t="shared" si="322"/>
        <v/>
      </c>
      <c r="DH203" s="60" t="str">
        <f t="shared" si="323"/>
        <v/>
      </c>
      <c r="DI203" s="421"/>
      <c r="DJ203" s="59" t="str">
        <f t="shared" si="324"/>
        <v/>
      </c>
      <c r="DK203" s="60" t="str">
        <f t="shared" si="325"/>
        <v/>
      </c>
      <c r="DL203" s="421"/>
      <c r="DM203" s="59" t="str">
        <f t="shared" si="326"/>
        <v/>
      </c>
      <c r="DN203" s="60" t="str">
        <f t="shared" si="327"/>
        <v/>
      </c>
      <c r="DO203" s="421"/>
      <c r="DP203" s="59" t="str">
        <f t="shared" si="328"/>
        <v/>
      </c>
      <c r="DQ203" s="60" t="str">
        <f t="shared" si="329"/>
        <v/>
      </c>
      <c r="DR203" s="421"/>
      <c r="DS203" s="59" t="str">
        <f t="shared" si="330"/>
        <v/>
      </c>
      <c r="DT203" s="60" t="str">
        <f t="shared" si="331"/>
        <v/>
      </c>
      <c r="DU203" s="421"/>
      <c r="DV203" s="59" t="str">
        <f t="shared" si="332"/>
        <v/>
      </c>
      <c r="DW203" s="60" t="str">
        <f t="shared" si="333"/>
        <v/>
      </c>
      <c r="DX203" s="161"/>
    </row>
    <row r="204" spans="2:128" ht="23.25" customHeight="1" x14ac:dyDescent="0.2">
      <c r="B204" s="716"/>
      <c r="C204" s="717"/>
      <c r="D204" s="717"/>
      <c r="E204" s="314">
        <f t="shared" si="252"/>
        <v>19</v>
      </c>
      <c r="F204" s="750" t="str">
        <f t="shared" si="334"/>
        <v/>
      </c>
      <c r="G204" s="751"/>
      <c r="H204" s="421"/>
      <c r="I204" s="59" t="str">
        <f t="shared" si="254"/>
        <v/>
      </c>
      <c r="J204" s="62" t="str">
        <f t="shared" si="255"/>
        <v/>
      </c>
      <c r="K204" s="421"/>
      <c r="L204" s="59" t="str">
        <f t="shared" si="256"/>
        <v/>
      </c>
      <c r="M204" s="62" t="str">
        <f t="shared" si="257"/>
        <v/>
      </c>
      <c r="N204" s="421"/>
      <c r="O204" s="59" t="str">
        <f t="shared" si="258"/>
        <v/>
      </c>
      <c r="P204" s="62" t="str">
        <f t="shared" si="259"/>
        <v/>
      </c>
      <c r="Q204" s="421"/>
      <c r="R204" s="59" t="str">
        <f t="shared" si="260"/>
        <v/>
      </c>
      <c r="S204" s="60" t="str">
        <f t="shared" si="261"/>
        <v/>
      </c>
      <c r="T204" s="421"/>
      <c r="U204" s="59" t="str">
        <f t="shared" si="262"/>
        <v/>
      </c>
      <c r="V204" s="60" t="str">
        <f t="shared" si="263"/>
        <v/>
      </c>
      <c r="W204" s="421"/>
      <c r="X204" s="59" t="str">
        <f t="shared" si="264"/>
        <v/>
      </c>
      <c r="Y204" s="60" t="str">
        <f t="shared" si="265"/>
        <v/>
      </c>
      <c r="Z204" s="421"/>
      <c r="AA204" s="59" t="str">
        <f t="shared" si="266"/>
        <v/>
      </c>
      <c r="AB204" s="60" t="str">
        <f t="shared" si="267"/>
        <v/>
      </c>
      <c r="AC204" s="421"/>
      <c r="AD204" s="59" t="str">
        <f t="shared" si="268"/>
        <v/>
      </c>
      <c r="AE204" s="60" t="str">
        <f t="shared" si="269"/>
        <v/>
      </c>
      <c r="AF204" s="421"/>
      <c r="AG204" s="59" t="str">
        <f t="shared" si="270"/>
        <v/>
      </c>
      <c r="AH204" s="60" t="str">
        <f t="shared" si="271"/>
        <v/>
      </c>
      <c r="AI204" s="421"/>
      <c r="AJ204" s="59" t="str">
        <f t="shared" si="272"/>
        <v/>
      </c>
      <c r="AK204" s="60" t="str">
        <f t="shared" si="273"/>
        <v/>
      </c>
      <c r="AL204" s="421"/>
      <c r="AM204" s="59" t="str">
        <f t="shared" si="274"/>
        <v/>
      </c>
      <c r="AN204" s="60" t="str">
        <f t="shared" si="275"/>
        <v/>
      </c>
      <c r="AO204" s="421"/>
      <c r="AP204" s="59" t="str">
        <f t="shared" si="276"/>
        <v/>
      </c>
      <c r="AQ204" s="60" t="str">
        <f t="shared" si="277"/>
        <v/>
      </c>
      <c r="AR204" s="421"/>
      <c r="AS204" s="59" t="str">
        <f t="shared" si="278"/>
        <v/>
      </c>
      <c r="AT204" s="60" t="str">
        <f t="shared" si="279"/>
        <v/>
      </c>
      <c r="AU204" s="421"/>
      <c r="AV204" s="59" t="str">
        <f t="shared" si="280"/>
        <v/>
      </c>
      <c r="AW204" s="60" t="str">
        <f t="shared" si="281"/>
        <v/>
      </c>
      <c r="AX204" s="421"/>
      <c r="AY204" s="59" t="str">
        <f t="shared" si="282"/>
        <v/>
      </c>
      <c r="AZ204" s="60" t="str">
        <f t="shared" si="283"/>
        <v/>
      </c>
      <c r="BA204" s="421"/>
      <c r="BB204" s="59" t="str">
        <f t="shared" si="284"/>
        <v/>
      </c>
      <c r="BC204" s="60" t="str">
        <f t="shared" si="285"/>
        <v/>
      </c>
      <c r="BD204" s="421"/>
      <c r="BE204" s="59" t="str">
        <f t="shared" si="286"/>
        <v/>
      </c>
      <c r="BF204" s="60" t="str">
        <f t="shared" si="287"/>
        <v/>
      </c>
      <c r="BG204" s="421"/>
      <c r="BH204" s="59" t="str">
        <f t="shared" si="288"/>
        <v/>
      </c>
      <c r="BI204" s="60" t="str">
        <f t="shared" si="289"/>
        <v/>
      </c>
      <c r="BJ204" s="421"/>
      <c r="BK204" s="59" t="str">
        <f t="shared" si="290"/>
        <v/>
      </c>
      <c r="BL204" s="60" t="str">
        <f t="shared" si="291"/>
        <v/>
      </c>
      <c r="BM204" s="421"/>
      <c r="BN204" s="59" t="str">
        <f t="shared" si="292"/>
        <v/>
      </c>
      <c r="BO204" s="60" t="str">
        <f t="shared" si="293"/>
        <v/>
      </c>
      <c r="BP204" s="421"/>
      <c r="BQ204" s="59" t="str">
        <f t="shared" si="294"/>
        <v/>
      </c>
      <c r="BR204" s="60" t="str">
        <f t="shared" si="295"/>
        <v/>
      </c>
      <c r="BS204" s="421"/>
      <c r="BT204" s="59" t="str">
        <f t="shared" si="296"/>
        <v/>
      </c>
      <c r="BU204" s="60" t="str">
        <f t="shared" si="297"/>
        <v/>
      </c>
      <c r="BV204" s="421"/>
      <c r="BW204" s="59" t="str">
        <f t="shared" si="298"/>
        <v/>
      </c>
      <c r="BX204" s="60" t="str">
        <f t="shared" si="299"/>
        <v/>
      </c>
      <c r="BY204" s="421"/>
      <c r="BZ204" s="59" t="str">
        <f t="shared" si="300"/>
        <v/>
      </c>
      <c r="CA204" s="60" t="str">
        <f t="shared" si="301"/>
        <v/>
      </c>
      <c r="CB204" s="421"/>
      <c r="CC204" s="59" t="str">
        <f t="shared" si="302"/>
        <v/>
      </c>
      <c r="CD204" s="60" t="str">
        <f t="shared" si="303"/>
        <v/>
      </c>
      <c r="CE204" s="421"/>
      <c r="CF204" s="59" t="str">
        <f t="shared" si="304"/>
        <v/>
      </c>
      <c r="CG204" s="60" t="str">
        <f t="shared" si="305"/>
        <v/>
      </c>
      <c r="CH204" s="421"/>
      <c r="CI204" s="59" t="str">
        <f t="shared" si="306"/>
        <v/>
      </c>
      <c r="CJ204" s="60" t="str">
        <f t="shared" si="307"/>
        <v/>
      </c>
      <c r="CK204" s="421"/>
      <c r="CL204" s="59" t="str">
        <f t="shared" si="308"/>
        <v/>
      </c>
      <c r="CM204" s="60" t="str">
        <f t="shared" si="309"/>
        <v/>
      </c>
      <c r="CN204" s="421"/>
      <c r="CO204" s="59" t="str">
        <f t="shared" si="310"/>
        <v/>
      </c>
      <c r="CP204" s="60" t="str">
        <f t="shared" si="311"/>
        <v/>
      </c>
      <c r="CQ204" s="421"/>
      <c r="CR204" s="59" t="str">
        <f t="shared" si="312"/>
        <v/>
      </c>
      <c r="CS204" s="60" t="str">
        <f t="shared" si="313"/>
        <v/>
      </c>
      <c r="CT204" s="421"/>
      <c r="CU204" s="59" t="str">
        <f t="shared" si="314"/>
        <v/>
      </c>
      <c r="CV204" s="60" t="str">
        <f t="shared" si="315"/>
        <v/>
      </c>
      <c r="CW204" s="421"/>
      <c r="CX204" s="59" t="str">
        <f t="shared" si="316"/>
        <v/>
      </c>
      <c r="CY204" s="60" t="str">
        <f t="shared" si="317"/>
        <v/>
      </c>
      <c r="CZ204" s="421"/>
      <c r="DA204" s="59" t="str">
        <f t="shared" si="318"/>
        <v/>
      </c>
      <c r="DB204" s="60" t="str">
        <f t="shared" si="319"/>
        <v/>
      </c>
      <c r="DC204" s="421"/>
      <c r="DD204" s="59" t="str">
        <f t="shared" si="320"/>
        <v/>
      </c>
      <c r="DE204" s="60" t="str">
        <f t="shared" si="321"/>
        <v/>
      </c>
      <c r="DF204" s="421"/>
      <c r="DG204" s="59" t="str">
        <f t="shared" si="322"/>
        <v/>
      </c>
      <c r="DH204" s="60" t="str">
        <f t="shared" si="323"/>
        <v/>
      </c>
      <c r="DI204" s="421"/>
      <c r="DJ204" s="59" t="str">
        <f t="shared" si="324"/>
        <v/>
      </c>
      <c r="DK204" s="60" t="str">
        <f t="shared" si="325"/>
        <v/>
      </c>
      <c r="DL204" s="421"/>
      <c r="DM204" s="59" t="str">
        <f t="shared" si="326"/>
        <v/>
      </c>
      <c r="DN204" s="60" t="str">
        <f t="shared" si="327"/>
        <v/>
      </c>
      <c r="DO204" s="421"/>
      <c r="DP204" s="59" t="str">
        <f t="shared" si="328"/>
        <v/>
      </c>
      <c r="DQ204" s="60" t="str">
        <f t="shared" si="329"/>
        <v/>
      </c>
      <c r="DR204" s="421"/>
      <c r="DS204" s="59" t="str">
        <f t="shared" si="330"/>
        <v/>
      </c>
      <c r="DT204" s="60" t="str">
        <f t="shared" si="331"/>
        <v/>
      </c>
      <c r="DU204" s="421"/>
      <c r="DV204" s="59" t="str">
        <f t="shared" si="332"/>
        <v/>
      </c>
      <c r="DW204" s="60" t="str">
        <f t="shared" si="333"/>
        <v/>
      </c>
      <c r="DX204" s="161"/>
    </row>
    <row r="205" spans="2:128" ht="23.25" customHeight="1" x14ac:dyDescent="0.2">
      <c r="B205" s="716"/>
      <c r="C205" s="717"/>
      <c r="D205" s="717"/>
      <c r="E205" s="314">
        <f t="shared" si="252"/>
        <v>20</v>
      </c>
      <c r="F205" s="750" t="str">
        <f t="shared" si="334"/>
        <v/>
      </c>
      <c r="G205" s="751"/>
      <c r="H205" s="421"/>
      <c r="I205" s="59" t="str">
        <f t="shared" si="254"/>
        <v/>
      </c>
      <c r="J205" s="62" t="str">
        <f t="shared" si="255"/>
        <v/>
      </c>
      <c r="K205" s="421"/>
      <c r="L205" s="59" t="str">
        <f t="shared" si="256"/>
        <v/>
      </c>
      <c r="M205" s="62" t="str">
        <f t="shared" si="257"/>
        <v/>
      </c>
      <c r="N205" s="421"/>
      <c r="O205" s="59" t="str">
        <f t="shared" si="258"/>
        <v/>
      </c>
      <c r="P205" s="62" t="str">
        <f t="shared" si="259"/>
        <v/>
      </c>
      <c r="Q205" s="421"/>
      <c r="R205" s="59" t="str">
        <f t="shared" si="260"/>
        <v/>
      </c>
      <c r="S205" s="60" t="str">
        <f t="shared" si="261"/>
        <v/>
      </c>
      <c r="T205" s="421"/>
      <c r="U205" s="59" t="str">
        <f t="shared" si="262"/>
        <v/>
      </c>
      <c r="V205" s="60" t="str">
        <f t="shared" si="263"/>
        <v/>
      </c>
      <c r="W205" s="421"/>
      <c r="X205" s="59" t="str">
        <f t="shared" si="264"/>
        <v/>
      </c>
      <c r="Y205" s="60" t="str">
        <f t="shared" si="265"/>
        <v/>
      </c>
      <c r="Z205" s="421"/>
      <c r="AA205" s="59" t="str">
        <f t="shared" si="266"/>
        <v/>
      </c>
      <c r="AB205" s="60" t="str">
        <f t="shared" si="267"/>
        <v/>
      </c>
      <c r="AC205" s="421"/>
      <c r="AD205" s="59" t="str">
        <f t="shared" si="268"/>
        <v/>
      </c>
      <c r="AE205" s="60" t="str">
        <f t="shared" si="269"/>
        <v/>
      </c>
      <c r="AF205" s="421"/>
      <c r="AG205" s="59" t="str">
        <f t="shared" si="270"/>
        <v/>
      </c>
      <c r="AH205" s="60" t="str">
        <f t="shared" si="271"/>
        <v/>
      </c>
      <c r="AI205" s="421"/>
      <c r="AJ205" s="59" t="str">
        <f t="shared" si="272"/>
        <v/>
      </c>
      <c r="AK205" s="60" t="str">
        <f t="shared" si="273"/>
        <v/>
      </c>
      <c r="AL205" s="421"/>
      <c r="AM205" s="59" t="str">
        <f t="shared" si="274"/>
        <v/>
      </c>
      <c r="AN205" s="60" t="str">
        <f t="shared" si="275"/>
        <v/>
      </c>
      <c r="AO205" s="421"/>
      <c r="AP205" s="59" t="str">
        <f t="shared" si="276"/>
        <v/>
      </c>
      <c r="AQ205" s="60" t="str">
        <f t="shared" si="277"/>
        <v/>
      </c>
      <c r="AR205" s="421"/>
      <c r="AS205" s="59" t="str">
        <f t="shared" si="278"/>
        <v/>
      </c>
      <c r="AT205" s="60" t="str">
        <f t="shared" si="279"/>
        <v/>
      </c>
      <c r="AU205" s="421"/>
      <c r="AV205" s="59" t="str">
        <f t="shared" si="280"/>
        <v/>
      </c>
      <c r="AW205" s="60" t="str">
        <f t="shared" si="281"/>
        <v/>
      </c>
      <c r="AX205" s="421"/>
      <c r="AY205" s="59" t="str">
        <f t="shared" si="282"/>
        <v/>
      </c>
      <c r="AZ205" s="60" t="str">
        <f t="shared" si="283"/>
        <v/>
      </c>
      <c r="BA205" s="421"/>
      <c r="BB205" s="59" t="str">
        <f t="shared" si="284"/>
        <v/>
      </c>
      <c r="BC205" s="60" t="str">
        <f t="shared" si="285"/>
        <v/>
      </c>
      <c r="BD205" s="421"/>
      <c r="BE205" s="59" t="str">
        <f t="shared" si="286"/>
        <v/>
      </c>
      <c r="BF205" s="60" t="str">
        <f t="shared" si="287"/>
        <v/>
      </c>
      <c r="BG205" s="421"/>
      <c r="BH205" s="59" t="str">
        <f t="shared" si="288"/>
        <v/>
      </c>
      <c r="BI205" s="60" t="str">
        <f t="shared" si="289"/>
        <v/>
      </c>
      <c r="BJ205" s="421"/>
      <c r="BK205" s="59" t="str">
        <f t="shared" si="290"/>
        <v/>
      </c>
      <c r="BL205" s="60" t="str">
        <f t="shared" si="291"/>
        <v/>
      </c>
      <c r="BM205" s="421"/>
      <c r="BN205" s="59" t="str">
        <f t="shared" si="292"/>
        <v/>
      </c>
      <c r="BO205" s="60" t="str">
        <f t="shared" si="293"/>
        <v/>
      </c>
      <c r="BP205" s="421"/>
      <c r="BQ205" s="59" t="str">
        <f t="shared" si="294"/>
        <v/>
      </c>
      <c r="BR205" s="60" t="str">
        <f t="shared" si="295"/>
        <v/>
      </c>
      <c r="BS205" s="421"/>
      <c r="BT205" s="59" t="str">
        <f t="shared" si="296"/>
        <v/>
      </c>
      <c r="BU205" s="60" t="str">
        <f t="shared" si="297"/>
        <v/>
      </c>
      <c r="BV205" s="421"/>
      <c r="BW205" s="59" t="str">
        <f t="shared" si="298"/>
        <v/>
      </c>
      <c r="BX205" s="60" t="str">
        <f t="shared" si="299"/>
        <v/>
      </c>
      <c r="BY205" s="421"/>
      <c r="BZ205" s="59" t="str">
        <f t="shared" si="300"/>
        <v/>
      </c>
      <c r="CA205" s="60" t="str">
        <f t="shared" si="301"/>
        <v/>
      </c>
      <c r="CB205" s="421"/>
      <c r="CC205" s="59" t="str">
        <f t="shared" si="302"/>
        <v/>
      </c>
      <c r="CD205" s="60" t="str">
        <f t="shared" si="303"/>
        <v/>
      </c>
      <c r="CE205" s="421"/>
      <c r="CF205" s="59" t="str">
        <f t="shared" si="304"/>
        <v/>
      </c>
      <c r="CG205" s="60" t="str">
        <f t="shared" si="305"/>
        <v/>
      </c>
      <c r="CH205" s="421"/>
      <c r="CI205" s="59" t="str">
        <f t="shared" si="306"/>
        <v/>
      </c>
      <c r="CJ205" s="60" t="str">
        <f t="shared" si="307"/>
        <v/>
      </c>
      <c r="CK205" s="421"/>
      <c r="CL205" s="59" t="str">
        <f t="shared" si="308"/>
        <v/>
      </c>
      <c r="CM205" s="60" t="str">
        <f t="shared" si="309"/>
        <v/>
      </c>
      <c r="CN205" s="421"/>
      <c r="CO205" s="59" t="str">
        <f t="shared" si="310"/>
        <v/>
      </c>
      <c r="CP205" s="60" t="str">
        <f t="shared" si="311"/>
        <v/>
      </c>
      <c r="CQ205" s="421"/>
      <c r="CR205" s="59" t="str">
        <f t="shared" si="312"/>
        <v/>
      </c>
      <c r="CS205" s="60" t="str">
        <f t="shared" si="313"/>
        <v/>
      </c>
      <c r="CT205" s="421"/>
      <c r="CU205" s="59" t="str">
        <f t="shared" si="314"/>
        <v/>
      </c>
      <c r="CV205" s="60" t="str">
        <f t="shared" si="315"/>
        <v/>
      </c>
      <c r="CW205" s="421"/>
      <c r="CX205" s="59" t="str">
        <f t="shared" si="316"/>
        <v/>
      </c>
      <c r="CY205" s="60" t="str">
        <f t="shared" si="317"/>
        <v/>
      </c>
      <c r="CZ205" s="421"/>
      <c r="DA205" s="59" t="str">
        <f t="shared" si="318"/>
        <v/>
      </c>
      <c r="DB205" s="60" t="str">
        <f t="shared" si="319"/>
        <v/>
      </c>
      <c r="DC205" s="421"/>
      <c r="DD205" s="59" t="str">
        <f t="shared" si="320"/>
        <v/>
      </c>
      <c r="DE205" s="60" t="str">
        <f t="shared" si="321"/>
        <v/>
      </c>
      <c r="DF205" s="421"/>
      <c r="DG205" s="59" t="str">
        <f t="shared" si="322"/>
        <v/>
      </c>
      <c r="DH205" s="60" t="str">
        <f t="shared" si="323"/>
        <v/>
      </c>
      <c r="DI205" s="421"/>
      <c r="DJ205" s="59" t="str">
        <f t="shared" si="324"/>
        <v/>
      </c>
      <c r="DK205" s="60" t="str">
        <f t="shared" si="325"/>
        <v/>
      </c>
      <c r="DL205" s="421"/>
      <c r="DM205" s="59" t="str">
        <f t="shared" si="326"/>
        <v/>
      </c>
      <c r="DN205" s="60" t="str">
        <f t="shared" si="327"/>
        <v/>
      </c>
      <c r="DO205" s="421"/>
      <c r="DP205" s="59" t="str">
        <f t="shared" si="328"/>
        <v/>
      </c>
      <c r="DQ205" s="60" t="str">
        <f t="shared" si="329"/>
        <v/>
      </c>
      <c r="DR205" s="421"/>
      <c r="DS205" s="59" t="str">
        <f t="shared" si="330"/>
        <v/>
      </c>
      <c r="DT205" s="60" t="str">
        <f t="shared" si="331"/>
        <v/>
      </c>
      <c r="DU205" s="421"/>
      <c r="DV205" s="59" t="str">
        <f t="shared" si="332"/>
        <v/>
      </c>
      <c r="DW205" s="60" t="str">
        <f t="shared" si="333"/>
        <v/>
      </c>
      <c r="DX205" s="161"/>
    </row>
    <row r="206" spans="2:128" ht="23.25" customHeight="1" x14ac:dyDescent="0.2">
      <c r="B206" s="716"/>
      <c r="C206" s="717"/>
      <c r="D206" s="717"/>
      <c r="E206" s="314">
        <f t="shared" si="252"/>
        <v>21</v>
      </c>
      <c r="F206" s="750" t="str">
        <f t="shared" ref="F206:F235" si="335">IF(D52&lt;&gt;"",D52,"")</f>
        <v/>
      </c>
      <c r="G206" s="751"/>
      <c r="H206" s="421"/>
      <c r="I206" s="59" t="str">
        <f t="shared" ref="I206:I235" si="336">IF($F52&gt;0,H206/$F52,"")</f>
        <v/>
      </c>
      <c r="J206" s="62" t="str">
        <f t="shared" ref="J206:J235" si="337">IF(I206="","",IF(I$236=0,0,I206/I$236))</f>
        <v/>
      </c>
      <c r="K206" s="421"/>
      <c r="L206" s="59" t="str">
        <f t="shared" ref="L206:L235" si="338">IF($F52&gt;0,K206/$F52,"")</f>
        <v/>
      </c>
      <c r="M206" s="62" t="str">
        <f t="shared" ref="M206:M235" si="339">IF(L206="","",IF(L$236=0,0,L206/L$236))</f>
        <v/>
      </c>
      <c r="N206" s="421"/>
      <c r="O206" s="59" t="str">
        <f t="shared" ref="O206:O235" si="340">IF($F52&gt;0,N206/$F52,"")</f>
        <v/>
      </c>
      <c r="P206" s="62" t="str">
        <f t="shared" ref="P206:P235" si="341">IF(O206="","",IF(O$236=0,0,O206/O$236))</f>
        <v/>
      </c>
      <c r="Q206" s="421"/>
      <c r="R206" s="59" t="str">
        <f t="shared" ref="R206:R235" si="342">IF($F52&gt;0,Q206/$F52,"")</f>
        <v/>
      </c>
      <c r="S206" s="60" t="str">
        <f t="shared" ref="S206:S235" si="343">IF(R206="","",IF(R$236=0,0,R206/R$236))</f>
        <v/>
      </c>
      <c r="T206" s="421"/>
      <c r="U206" s="59" t="str">
        <f t="shared" ref="U206:U235" si="344">IF($F52&gt;0,T206/$F52,"")</f>
        <v/>
      </c>
      <c r="V206" s="60" t="str">
        <f t="shared" ref="V206:V235" si="345">IF(U206="","",IF(U$236=0,0,U206/U$236))</f>
        <v/>
      </c>
      <c r="W206" s="421"/>
      <c r="X206" s="59" t="str">
        <f t="shared" ref="X206:X235" si="346">IF($F52&gt;0,W206/$F52,"")</f>
        <v/>
      </c>
      <c r="Y206" s="60" t="str">
        <f t="shared" ref="Y206:Y235" si="347">IF(X206="","",IF(X$236=0,0,X206/X$236))</f>
        <v/>
      </c>
      <c r="Z206" s="421"/>
      <c r="AA206" s="59" t="str">
        <f t="shared" ref="AA206:AA235" si="348">IF($F52&gt;0,Z206/$F52,"")</f>
        <v/>
      </c>
      <c r="AB206" s="60" t="str">
        <f t="shared" ref="AB206:AB235" si="349">IF(AA206="","",IF(AA$236=0,0,AA206/AA$236))</f>
        <v/>
      </c>
      <c r="AC206" s="421"/>
      <c r="AD206" s="59" t="str">
        <f t="shared" ref="AD206:AD235" si="350">IF($F52&gt;0,AC206/$F52,"")</f>
        <v/>
      </c>
      <c r="AE206" s="60" t="str">
        <f t="shared" ref="AE206:AE235" si="351">IF(AD206="","",IF(AD$236=0,0,AD206/AD$236))</f>
        <v/>
      </c>
      <c r="AF206" s="421"/>
      <c r="AG206" s="59" t="str">
        <f t="shared" ref="AG206:AG235" si="352">IF($F52&gt;0,AF206/$F52,"")</f>
        <v/>
      </c>
      <c r="AH206" s="60" t="str">
        <f t="shared" ref="AH206:AH235" si="353">IF(AG206="","",IF(AG$236=0,0,AG206/AG$236))</f>
        <v/>
      </c>
      <c r="AI206" s="421"/>
      <c r="AJ206" s="59" t="str">
        <f t="shared" ref="AJ206:AJ235" si="354">IF($F52&gt;0,AI206/$F52,"")</f>
        <v/>
      </c>
      <c r="AK206" s="60" t="str">
        <f t="shared" ref="AK206:AK235" si="355">IF(AJ206="","",IF(AJ$236=0,0,AJ206/AJ$236))</f>
        <v/>
      </c>
      <c r="AL206" s="421"/>
      <c r="AM206" s="59" t="str">
        <f t="shared" ref="AM206:AM235" si="356">IF($F52&gt;0,AL206/$F52,"")</f>
        <v/>
      </c>
      <c r="AN206" s="60" t="str">
        <f t="shared" ref="AN206:AN235" si="357">IF(AM206="","",IF(AM$236=0,0,AM206/AM$236))</f>
        <v/>
      </c>
      <c r="AO206" s="421"/>
      <c r="AP206" s="59" t="str">
        <f t="shared" ref="AP206:AP235" si="358">IF($F52&gt;0,AO206/$F52,"")</f>
        <v/>
      </c>
      <c r="AQ206" s="60" t="str">
        <f t="shared" ref="AQ206:AQ235" si="359">IF(AP206="","",IF(AP$236=0,0,AP206/AP$236))</f>
        <v/>
      </c>
      <c r="AR206" s="421"/>
      <c r="AS206" s="59" t="str">
        <f t="shared" ref="AS206:AS235" si="360">IF($F52&gt;0,AR206/$F52,"")</f>
        <v/>
      </c>
      <c r="AT206" s="60" t="str">
        <f t="shared" ref="AT206:AT235" si="361">IF(AS206="","",IF(AS$236=0,0,AS206/AS$236))</f>
        <v/>
      </c>
      <c r="AU206" s="421"/>
      <c r="AV206" s="59" t="str">
        <f t="shared" ref="AV206:AV235" si="362">IF($F52&gt;0,AU206/$F52,"")</f>
        <v/>
      </c>
      <c r="AW206" s="60" t="str">
        <f t="shared" ref="AW206:AW235" si="363">IF(AV206="","",IF(AV$236=0,0,AV206/AV$236))</f>
        <v/>
      </c>
      <c r="AX206" s="421"/>
      <c r="AY206" s="59" t="str">
        <f t="shared" ref="AY206:AY235" si="364">IF($F52&gt;0,AX206/$F52,"")</f>
        <v/>
      </c>
      <c r="AZ206" s="60" t="str">
        <f t="shared" ref="AZ206:AZ235" si="365">IF(AY206="","",IF(AY$236=0,0,AY206/AY$236))</f>
        <v/>
      </c>
      <c r="BA206" s="421"/>
      <c r="BB206" s="59" t="str">
        <f t="shared" ref="BB206:BB235" si="366">IF($F52&gt;0,BA206/$F52,"")</f>
        <v/>
      </c>
      <c r="BC206" s="60" t="str">
        <f t="shared" ref="BC206:BC235" si="367">IF(BB206="","",IF(BB$236=0,0,BB206/BB$236))</f>
        <v/>
      </c>
      <c r="BD206" s="421"/>
      <c r="BE206" s="59" t="str">
        <f t="shared" ref="BE206:BE235" si="368">IF($F52&gt;0,BD206/$F52,"")</f>
        <v/>
      </c>
      <c r="BF206" s="60" t="str">
        <f t="shared" ref="BF206:BF235" si="369">IF(BE206="","",IF(BE$236=0,0,BE206/BE$236))</f>
        <v/>
      </c>
      <c r="BG206" s="421"/>
      <c r="BH206" s="59" t="str">
        <f t="shared" ref="BH206:BH235" si="370">IF($F52&gt;0,BG206/$F52,"")</f>
        <v/>
      </c>
      <c r="BI206" s="60" t="str">
        <f t="shared" ref="BI206:BI235" si="371">IF(BH206="","",IF(BH$236=0,0,BH206/BH$236))</f>
        <v/>
      </c>
      <c r="BJ206" s="421"/>
      <c r="BK206" s="59" t="str">
        <f t="shared" ref="BK206:BK235" si="372">IF($F52&gt;0,BJ206/$F52,"")</f>
        <v/>
      </c>
      <c r="BL206" s="60" t="str">
        <f t="shared" ref="BL206:BL235" si="373">IF(BK206="","",IF(BK$236=0,0,BK206/BK$236))</f>
        <v/>
      </c>
      <c r="BM206" s="421"/>
      <c r="BN206" s="59" t="str">
        <f t="shared" ref="BN206:BN235" si="374">IF($F52&gt;0,BM206/$F52,"")</f>
        <v/>
      </c>
      <c r="BO206" s="60" t="str">
        <f t="shared" ref="BO206:BO235" si="375">IF(BN206="","",IF(BN$236=0,0,BN206/BN$236))</f>
        <v/>
      </c>
      <c r="BP206" s="421"/>
      <c r="BQ206" s="59" t="str">
        <f t="shared" ref="BQ206:BQ235" si="376">IF($F52&gt;0,BP206/$F52,"")</f>
        <v/>
      </c>
      <c r="BR206" s="60" t="str">
        <f t="shared" ref="BR206:BR235" si="377">IF(BQ206="","",IF(BQ$236=0,0,BQ206/BQ$236))</f>
        <v/>
      </c>
      <c r="BS206" s="421"/>
      <c r="BT206" s="59" t="str">
        <f t="shared" ref="BT206:BT235" si="378">IF($F52&gt;0,BS206/$F52,"")</f>
        <v/>
      </c>
      <c r="BU206" s="60" t="str">
        <f t="shared" ref="BU206:BU235" si="379">IF(BT206="","",IF(BT$236=0,0,BT206/BT$236))</f>
        <v/>
      </c>
      <c r="BV206" s="421"/>
      <c r="BW206" s="59" t="str">
        <f t="shared" ref="BW206:BW235" si="380">IF($F52&gt;0,BV206/$F52,"")</f>
        <v/>
      </c>
      <c r="BX206" s="60" t="str">
        <f t="shared" ref="BX206:BX235" si="381">IF(BW206="","",IF(BW$236=0,0,BW206/BW$236))</f>
        <v/>
      </c>
      <c r="BY206" s="421"/>
      <c r="BZ206" s="59" t="str">
        <f t="shared" ref="BZ206:BZ235" si="382">IF($F52&gt;0,BY206/$F52,"")</f>
        <v/>
      </c>
      <c r="CA206" s="60" t="str">
        <f t="shared" ref="CA206:CA235" si="383">IF(BZ206="","",IF(BZ$236=0,0,BZ206/BZ$236))</f>
        <v/>
      </c>
      <c r="CB206" s="421"/>
      <c r="CC206" s="59" t="str">
        <f t="shared" ref="CC206:CC235" si="384">IF($F52&gt;0,CB206/$F52,"")</f>
        <v/>
      </c>
      <c r="CD206" s="60" t="str">
        <f t="shared" ref="CD206:CD235" si="385">IF(CC206="","",IF(CC$236=0,0,CC206/CC$236))</f>
        <v/>
      </c>
      <c r="CE206" s="421"/>
      <c r="CF206" s="59" t="str">
        <f t="shared" ref="CF206:CF235" si="386">IF($F52&gt;0,CE206/$F52,"")</f>
        <v/>
      </c>
      <c r="CG206" s="60" t="str">
        <f t="shared" ref="CG206:CG235" si="387">IF(CF206="","",IF(CF$236=0,0,CF206/CF$236))</f>
        <v/>
      </c>
      <c r="CH206" s="421"/>
      <c r="CI206" s="59" t="str">
        <f t="shared" ref="CI206:CI235" si="388">IF($F52&gt;0,CH206/$F52,"")</f>
        <v/>
      </c>
      <c r="CJ206" s="60" t="str">
        <f t="shared" ref="CJ206:CJ235" si="389">IF(CI206="","",IF(CI$236=0,0,CI206/CI$236))</f>
        <v/>
      </c>
      <c r="CK206" s="421"/>
      <c r="CL206" s="59" t="str">
        <f t="shared" ref="CL206:CL235" si="390">IF($F52&gt;0,CK206/$F52,"")</f>
        <v/>
      </c>
      <c r="CM206" s="60" t="str">
        <f t="shared" ref="CM206:CM235" si="391">IF(CL206="","",IF(CL$236=0,0,CL206/CL$236))</f>
        <v/>
      </c>
      <c r="CN206" s="421"/>
      <c r="CO206" s="59" t="str">
        <f t="shared" ref="CO206:CO235" si="392">IF($F52&gt;0,CN206/$F52,"")</f>
        <v/>
      </c>
      <c r="CP206" s="60" t="str">
        <f t="shared" ref="CP206:CP235" si="393">IF(CO206="","",IF(CO$236=0,0,CO206/CO$236))</f>
        <v/>
      </c>
      <c r="CQ206" s="421"/>
      <c r="CR206" s="59" t="str">
        <f t="shared" ref="CR206:CR235" si="394">IF($F52&gt;0,CQ206/$F52,"")</f>
        <v/>
      </c>
      <c r="CS206" s="60" t="str">
        <f t="shared" ref="CS206:CS235" si="395">IF(CR206="","",IF(CR$236=0,0,CR206/CR$236))</f>
        <v/>
      </c>
      <c r="CT206" s="421"/>
      <c r="CU206" s="59" t="str">
        <f t="shared" ref="CU206:CU235" si="396">IF($F52&gt;0,CT206/$F52,"")</f>
        <v/>
      </c>
      <c r="CV206" s="60" t="str">
        <f t="shared" ref="CV206:CV235" si="397">IF(CU206="","",IF(CU$236=0,0,CU206/CU$236))</f>
        <v/>
      </c>
      <c r="CW206" s="421"/>
      <c r="CX206" s="59" t="str">
        <f t="shared" ref="CX206:CX235" si="398">IF($F52&gt;0,CW206/$F52,"")</f>
        <v/>
      </c>
      <c r="CY206" s="60" t="str">
        <f t="shared" ref="CY206:CY235" si="399">IF(CX206="","",IF(CX$236=0,0,CX206/CX$236))</f>
        <v/>
      </c>
      <c r="CZ206" s="421"/>
      <c r="DA206" s="59" t="str">
        <f t="shared" ref="DA206:DA235" si="400">IF($F52&gt;0,CZ206/$F52,"")</f>
        <v/>
      </c>
      <c r="DB206" s="60" t="str">
        <f t="shared" ref="DB206:DB235" si="401">IF(DA206="","",IF(DA$236=0,0,DA206/DA$236))</f>
        <v/>
      </c>
      <c r="DC206" s="421"/>
      <c r="DD206" s="59" t="str">
        <f t="shared" ref="DD206:DD235" si="402">IF($F52&gt;0,DC206/$F52,"")</f>
        <v/>
      </c>
      <c r="DE206" s="60" t="str">
        <f t="shared" ref="DE206:DE235" si="403">IF(DD206="","",IF(DD$236=0,0,DD206/DD$236))</f>
        <v/>
      </c>
      <c r="DF206" s="421"/>
      <c r="DG206" s="59" t="str">
        <f t="shared" ref="DG206:DG235" si="404">IF($F52&gt;0,DF206/$F52,"")</f>
        <v/>
      </c>
      <c r="DH206" s="60" t="str">
        <f t="shared" ref="DH206:DH235" si="405">IF(DG206="","",IF(DG$236=0,0,DG206/DG$236))</f>
        <v/>
      </c>
      <c r="DI206" s="421"/>
      <c r="DJ206" s="59" t="str">
        <f t="shared" ref="DJ206:DJ235" si="406">IF($F52&gt;0,DI206/$F52,"")</f>
        <v/>
      </c>
      <c r="DK206" s="60" t="str">
        <f t="shared" ref="DK206:DK235" si="407">IF(DJ206="","",IF(DJ$236=0,0,DJ206/DJ$236))</f>
        <v/>
      </c>
      <c r="DL206" s="421"/>
      <c r="DM206" s="59" t="str">
        <f t="shared" ref="DM206:DM235" si="408">IF($F52&gt;0,DL206/$F52,"")</f>
        <v/>
      </c>
      <c r="DN206" s="60" t="str">
        <f t="shared" ref="DN206:DN235" si="409">IF(DM206="","",IF(DM$236=0,0,DM206/DM$236))</f>
        <v/>
      </c>
      <c r="DO206" s="421"/>
      <c r="DP206" s="59" t="str">
        <f t="shared" ref="DP206:DP235" si="410">IF($F52&gt;0,DO206/$F52,"")</f>
        <v/>
      </c>
      <c r="DQ206" s="60" t="str">
        <f t="shared" ref="DQ206:DQ235" si="411">IF(DP206="","",IF(DP$236=0,0,DP206/DP$236))</f>
        <v/>
      </c>
      <c r="DR206" s="421"/>
      <c r="DS206" s="59" t="str">
        <f t="shared" ref="DS206:DS235" si="412">IF($F52&gt;0,DR206/$F52,"")</f>
        <v/>
      </c>
      <c r="DT206" s="60" t="str">
        <f t="shared" ref="DT206:DT235" si="413">IF(DS206="","",IF(DS$236=0,0,DS206/DS$236))</f>
        <v/>
      </c>
      <c r="DU206" s="421"/>
      <c r="DV206" s="59" t="str">
        <f t="shared" ref="DV206:DV235" si="414">IF($F52&gt;0,DU206/$F52,"")</f>
        <v/>
      </c>
      <c r="DW206" s="60" t="str">
        <f t="shared" ref="DW206:DW235" si="415">IF(DV206="","",IF(DV$236=0,0,DV206/DV$236))</f>
        <v/>
      </c>
      <c r="DX206" s="161"/>
    </row>
    <row r="207" spans="2:128" ht="23.25" customHeight="1" x14ac:dyDescent="0.2">
      <c r="B207" s="716"/>
      <c r="C207" s="717"/>
      <c r="D207" s="717"/>
      <c r="E207" s="314">
        <f t="shared" si="252"/>
        <v>22</v>
      </c>
      <c r="F207" s="750" t="str">
        <f t="shared" si="335"/>
        <v/>
      </c>
      <c r="G207" s="751"/>
      <c r="H207" s="421"/>
      <c r="I207" s="59" t="str">
        <f t="shared" si="336"/>
        <v/>
      </c>
      <c r="J207" s="62" t="str">
        <f t="shared" si="337"/>
        <v/>
      </c>
      <c r="K207" s="421"/>
      <c r="L207" s="59" t="str">
        <f t="shared" si="338"/>
        <v/>
      </c>
      <c r="M207" s="62" t="str">
        <f t="shared" si="339"/>
        <v/>
      </c>
      <c r="N207" s="421"/>
      <c r="O207" s="59" t="str">
        <f t="shared" si="340"/>
        <v/>
      </c>
      <c r="P207" s="62" t="str">
        <f t="shared" si="341"/>
        <v/>
      </c>
      <c r="Q207" s="421"/>
      <c r="R207" s="59" t="str">
        <f t="shared" si="342"/>
        <v/>
      </c>
      <c r="S207" s="60" t="str">
        <f t="shared" si="343"/>
        <v/>
      </c>
      <c r="T207" s="421"/>
      <c r="U207" s="59" t="str">
        <f t="shared" si="344"/>
        <v/>
      </c>
      <c r="V207" s="60" t="str">
        <f t="shared" si="345"/>
        <v/>
      </c>
      <c r="W207" s="421"/>
      <c r="X207" s="59" t="str">
        <f t="shared" si="346"/>
        <v/>
      </c>
      <c r="Y207" s="60" t="str">
        <f t="shared" si="347"/>
        <v/>
      </c>
      <c r="Z207" s="421"/>
      <c r="AA207" s="59" t="str">
        <f t="shared" si="348"/>
        <v/>
      </c>
      <c r="AB207" s="60" t="str">
        <f t="shared" si="349"/>
        <v/>
      </c>
      <c r="AC207" s="421"/>
      <c r="AD207" s="59" t="str">
        <f t="shared" si="350"/>
        <v/>
      </c>
      <c r="AE207" s="60" t="str">
        <f t="shared" si="351"/>
        <v/>
      </c>
      <c r="AF207" s="421"/>
      <c r="AG207" s="59" t="str">
        <f t="shared" si="352"/>
        <v/>
      </c>
      <c r="AH207" s="60" t="str">
        <f t="shared" si="353"/>
        <v/>
      </c>
      <c r="AI207" s="421"/>
      <c r="AJ207" s="59" t="str">
        <f t="shared" si="354"/>
        <v/>
      </c>
      <c r="AK207" s="60" t="str">
        <f t="shared" si="355"/>
        <v/>
      </c>
      <c r="AL207" s="421"/>
      <c r="AM207" s="59" t="str">
        <f t="shared" si="356"/>
        <v/>
      </c>
      <c r="AN207" s="60" t="str">
        <f t="shared" si="357"/>
        <v/>
      </c>
      <c r="AO207" s="421"/>
      <c r="AP207" s="59" t="str">
        <f t="shared" si="358"/>
        <v/>
      </c>
      <c r="AQ207" s="60" t="str">
        <f t="shared" si="359"/>
        <v/>
      </c>
      <c r="AR207" s="421"/>
      <c r="AS207" s="59" t="str">
        <f t="shared" si="360"/>
        <v/>
      </c>
      <c r="AT207" s="60" t="str">
        <f t="shared" si="361"/>
        <v/>
      </c>
      <c r="AU207" s="421"/>
      <c r="AV207" s="59" t="str">
        <f t="shared" si="362"/>
        <v/>
      </c>
      <c r="AW207" s="60" t="str">
        <f t="shared" si="363"/>
        <v/>
      </c>
      <c r="AX207" s="421"/>
      <c r="AY207" s="59" t="str">
        <f t="shared" si="364"/>
        <v/>
      </c>
      <c r="AZ207" s="60" t="str">
        <f t="shared" si="365"/>
        <v/>
      </c>
      <c r="BA207" s="421"/>
      <c r="BB207" s="59" t="str">
        <f t="shared" si="366"/>
        <v/>
      </c>
      <c r="BC207" s="60" t="str">
        <f t="shared" si="367"/>
        <v/>
      </c>
      <c r="BD207" s="421"/>
      <c r="BE207" s="59" t="str">
        <f t="shared" si="368"/>
        <v/>
      </c>
      <c r="BF207" s="60" t="str">
        <f t="shared" si="369"/>
        <v/>
      </c>
      <c r="BG207" s="421"/>
      <c r="BH207" s="59" t="str">
        <f t="shared" si="370"/>
        <v/>
      </c>
      <c r="BI207" s="60" t="str">
        <f t="shared" si="371"/>
        <v/>
      </c>
      <c r="BJ207" s="421"/>
      <c r="BK207" s="59" t="str">
        <f t="shared" si="372"/>
        <v/>
      </c>
      <c r="BL207" s="60" t="str">
        <f t="shared" si="373"/>
        <v/>
      </c>
      <c r="BM207" s="421"/>
      <c r="BN207" s="59" t="str">
        <f t="shared" si="374"/>
        <v/>
      </c>
      <c r="BO207" s="60" t="str">
        <f t="shared" si="375"/>
        <v/>
      </c>
      <c r="BP207" s="421"/>
      <c r="BQ207" s="59" t="str">
        <f t="shared" si="376"/>
        <v/>
      </c>
      <c r="BR207" s="60" t="str">
        <f t="shared" si="377"/>
        <v/>
      </c>
      <c r="BS207" s="421"/>
      <c r="BT207" s="59" t="str">
        <f t="shared" si="378"/>
        <v/>
      </c>
      <c r="BU207" s="60" t="str">
        <f t="shared" si="379"/>
        <v/>
      </c>
      <c r="BV207" s="421"/>
      <c r="BW207" s="59" t="str">
        <f t="shared" si="380"/>
        <v/>
      </c>
      <c r="BX207" s="60" t="str">
        <f t="shared" si="381"/>
        <v/>
      </c>
      <c r="BY207" s="421"/>
      <c r="BZ207" s="59" t="str">
        <f t="shared" si="382"/>
        <v/>
      </c>
      <c r="CA207" s="60" t="str">
        <f t="shared" si="383"/>
        <v/>
      </c>
      <c r="CB207" s="421"/>
      <c r="CC207" s="59" t="str">
        <f t="shared" si="384"/>
        <v/>
      </c>
      <c r="CD207" s="60" t="str">
        <f t="shared" si="385"/>
        <v/>
      </c>
      <c r="CE207" s="421"/>
      <c r="CF207" s="59" t="str">
        <f t="shared" si="386"/>
        <v/>
      </c>
      <c r="CG207" s="60" t="str">
        <f t="shared" si="387"/>
        <v/>
      </c>
      <c r="CH207" s="421"/>
      <c r="CI207" s="59" t="str">
        <f t="shared" si="388"/>
        <v/>
      </c>
      <c r="CJ207" s="60" t="str">
        <f t="shared" si="389"/>
        <v/>
      </c>
      <c r="CK207" s="421"/>
      <c r="CL207" s="59" t="str">
        <f t="shared" si="390"/>
        <v/>
      </c>
      <c r="CM207" s="60" t="str">
        <f t="shared" si="391"/>
        <v/>
      </c>
      <c r="CN207" s="421"/>
      <c r="CO207" s="59" t="str">
        <f t="shared" si="392"/>
        <v/>
      </c>
      <c r="CP207" s="60" t="str">
        <f t="shared" si="393"/>
        <v/>
      </c>
      <c r="CQ207" s="421"/>
      <c r="CR207" s="59" t="str">
        <f t="shared" si="394"/>
        <v/>
      </c>
      <c r="CS207" s="60" t="str">
        <f t="shared" si="395"/>
        <v/>
      </c>
      <c r="CT207" s="421"/>
      <c r="CU207" s="59" t="str">
        <f t="shared" si="396"/>
        <v/>
      </c>
      <c r="CV207" s="60" t="str">
        <f t="shared" si="397"/>
        <v/>
      </c>
      <c r="CW207" s="421"/>
      <c r="CX207" s="59" t="str">
        <f t="shared" si="398"/>
        <v/>
      </c>
      <c r="CY207" s="60" t="str">
        <f t="shared" si="399"/>
        <v/>
      </c>
      <c r="CZ207" s="421"/>
      <c r="DA207" s="59" t="str">
        <f t="shared" si="400"/>
        <v/>
      </c>
      <c r="DB207" s="60" t="str">
        <f t="shared" si="401"/>
        <v/>
      </c>
      <c r="DC207" s="421"/>
      <c r="DD207" s="59" t="str">
        <f t="shared" si="402"/>
        <v/>
      </c>
      <c r="DE207" s="60" t="str">
        <f t="shared" si="403"/>
        <v/>
      </c>
      <c r="DF207" s="421"/>
      <c r="DG207" s="59" t="str">
        <f t="shared" si="404"/>
        <v/>
      </c>
      <c r="DH207" s="60" t="str">
        <f t="shared" si="405"/>
        <v/>
      </c>
      <c r="DI207" s="421"/>
      <c r="DJ207" s="59" t="str">
        <f t="shared" si="406"/>
        <v/>
      </c>
      <c r="DK207" s="60" t="str">
        <f t="shared" si="407"/>
        <v/>
      </c>
      <c r="DL207" s="421"/>
      <c r="DM207" s="59" t="str">
        <f t="shared" si="408"/>
        <v/>
      </c>
      <c r="DN207" s="60" t="str">
        <f t="shared" si="409"/>
        <v/>
      </c>
      <c r="DO207" s="421"/>
      <c r="DP207" s="59" t="str">
        <f t="shared" si="410"/>
        <v/>
      </c>
      <c r="DQ207" s="60" t="str">
        <f t="shared" si="411"/>
        <v/>
      </c>
      <c r="DR207" s="421"/>
      <c r="DS207" s="59" t="str">
        <f t="shared" si="412"/>
        <v/>
      </c>
      <c r="DT207" s="60" t="str">
        <f t="shared" si="413"/>
        <v/>
      </c>
      <c r="DU207" s="421"/>
      <c r="DV207" s="59" t="str">
        <f t="shared" si="414"/>
        <v/>
      </c>
      <c r="DW207" s="60" t="str">
        <f t="shared" si="415"/>
        <v/>
      </c>
      <c r="DX207" s="161"/>
    </row>
    <row r="208" spans="2:128" ht="23.25" customHeight="1" x14ac:dyDescent="0.2">
      <c r="B208" s="716"/>
      <c r="C208" s="717"/>
      <c r="D208" s="717"/>
      <c r="E208" s="314">
        <f t="shared" si="252"/>
        <v>23</v>
      </c>
      <c r="F208" s="750" t="str">
        <f t="shared" si="335"/>
        <v/>
      </c>
      <c r="G208" s="751"/>
      <c r="H208" s="421"/>
      <c r="I208" s="59" t="str">
        <f t="shared" si="336"/>
        <v/>
      </c>
      <c r="J208" s="62" t="str">
        <f t="shared" si="337"/>
        <v/>
      </c>
      <c r="K208" s="421"/>
      <c r="L208" s="59" t="str">
        <f t="shared" si="338"/>
        <v/>
      </c>
      <c r="M208" s="62" t="str">
        <f t="shared" si="339"/>
        <v/>
      </c>
      <c r="N208" s="421"/>
      <c r="O208" s="59" t="str">
        <f t="shared" si="340"/>
        <v/>
      </c>
      <c r="P208" s="62" t="str">
        <f t="shared" si="341"/>
        <v/>
      </c>
      <c r="Q208" s="421"/>
      <c r="R208" s="59" t="str">
        <f t="shared" si="342"/>
        <v/>
      </c>
      <c r="S208" s="60" t="str">
        <f t="shared" si="343"/>
        <v/>
      </c>
      <c r="T208" s="421"/>
      <c r="U208" s="59" t="str">
        <f t="shared" si="344"/>
        <v/>
      </c>
      <c r="V208" s="60" t="str">
        <f t="shared" si="345"/>
        <v/>
      </c>
      <c r="W208" s="421"/>
      <c r="X208" s="59" t="str">
        <f t="shared" si="346"/>
        <v/>
      </c>
      <c r="Y208" s="60" t="str">
        <f t="shared" si="347"/>
        <v/>
      </c>
      <c r="Z208" s="421"/>
      <c r="AA208" s="59" t="str">
        <f t="shared" si="348"/>
        <v/>
      </c>
      <c r="AB208" s="60" t="str">
        <f t="shared" si="349"/>
        <v/>
      </c>
      <c r="AC208" s="421"/>
      <c r="AD208" s="59" t="str">
        <f t="shared" si="350"/>
        <v/>
      </c>
      <c r="AE208" s="60" t="str">
        <f t="shared" si="351"/>
        <v/>
      </c>
      <c r="AF208" s="421"/>
      <c r="AG208" s="59" t="str">
        <f t="shared" si="352"/>
        <v/>
      </c>
      <c r="AH208" s="60" t="str">
        <f t="shared" si="353"/>
        <v/>
      </c>
      <c r="AI208" s="421"/>
      <c r="AJ208" s="59" t="str">
        <f t="shared" si="354"/>
        <v/>
      </c>
      <c r="AK208" s="60" t="str">
        <f t="shared" si="355"/>
        <v/>
      </c>
      <c r="AL208" s="421"/>
      <c r="AM208" s="59" t="str">
        <f t="shared" si="356"/>
        <v/>
      </c>
      <c r="AN208" s="60" t="str">
        <f t="shared" si="357"/>
        <v/>
      </c>
      <c r="AO208" s="421"/>
      <c r="AP208" s="59" t="str">
        <f t="shared" si="358"/>
        <v/>
      </c>
      <c r="AQ208" s="60" t="str">
        <f t="shared" si="359"/>
        <v/>
      </c>
      <c r="AR208" s="421"/>
      <c r="AS208" s="59" t="str">
        <f t="shared" si="360"/>
        <v/>
      </c>
      <c r="AT208" s="60" t="str">
        <f t="shared" si="361"/>
        <v/>
      </c>
      <c r="AU208" s="421"/>
      <c r="AV208" s="59" t="str">
        <f t="shared" si="362"/>
        <v/>
      </c>
      <c r="AW208" s="60" t="str">
        <f t="shared" si="363"/>
        <v/>
      </c>
      <c r="AX208" s="421"/>
      <c r="AY208" s="59" t="str">
        <f t="shared" si="364"/>
        <v/>
      </c>
      <c r="AZ208" s="60" t="str">
        <f t="shared" si="365"/>
        <v/>
      </c>
      <c r="BA208" s="421"/>
      <c r="BB208" s="59" t="str">
        <f t="shared" si="366"/>
        <v/>
      </c>
      <c r="BC208" s="60" t="str">
        <f t="shared" si="367"/>
        <v/>
      </c>
      <c r="BD208" s="421"/>
      <c r="BE208" s="59" t="str">
        <f t="shared" si="368"/>
        <v/>
      </c>
      <c r="BF208" s="60" t="str">
        <f t="shared" si="369"/>
        <v/>
      </c>
      <c r="BG208" s="421"/>
      <c r="BH208" s="59" t="str">
        <f t="shared" si="370"/>
        <v/>
      </c>
      <c r="BI208" s="60" t="str">
        <f t="shared" si="371"/>
        <v/>
      </c>
      <c r="BJ208" s="421"/>
      <c r="BK208" s="59" t="str">
        <f t="shared" si="372"/>
        <v/>
      </c>
      <c r="BL208" s="60" t="str">
        <f t="shared" si="373"/>
        <v/>
      </c>
      <c r="BM208" s="421"/>
      <c r="BN208" s="59" t="str">
        <f t="shared" si="374"/>
        <v/>
      </c>
      <c r="BO208" s="60" t="str">
        <f t="shared" si="375"/>
        <v/>
      </c>
      <c r="BP208" s="421"/>
      <c r="BQ208" s="59" t="str">
        <f t="shared" si="376"/>
        <v/>
      </c>
      <c r="BR208" s="60" t="str">
        <f t="shared" si="377"/>
        <v/>
      </c>
      <c r="BS208" s="421"/>
      <c r="BT208" s="59" t="str">
        <f t="shared" si="378"/>
        <v/>
      </c>
      <c r="BU208" s="60" t="str">
        <f t="shared" si="379"/>
        <v/>
      </c>
      <c r="BV208" s="421"/>
      <c r="BW208" s="59" t="str">
        <f t="shared" si="380"/>
        <v/>
      </c>
      <c r="BX208" s="60" t="str">
        <f t="shared" si="381"/>
        <v/>
      </c>
      <c r="BY208" s="421"/>
      <c r="BZ208" s="59" t="str">
        <f t="shared" si="382"/>
        <v/>
      </c>
      <c r="CA208" s="60" t="str">
        <f t="shared" si="383"/>
        <v/>
      </c>
      <c r="CB208" s="421"/>
      <c r="CC208" s="59" t="str">
        <f t="shared" si="384"/>
        <v/>
      </c>
      <c r="CD208" s="60" t="str">
        <f t="shared" si="385"/>
        <v/>
      </c>
      <c r="CE208" s="421"/>
      <c r="CF208" s="59" t="str">
        <f t="shared" si="386"/>
        <v/>
      </c>
      <c r="CG208" s="60" t="str">
        <f t="shared" si="387"/>
        <v/>
      </c>
      <c r="CH208" s="421"/>
      <c r="CI208" s="59" t="str">
        <f t="shared" si="388"/>
        <v/>
      </c>
      <c r="CJ208" s="60" t="str">
        <f t="shared" si="389"/>
        <v/>
      </c>
      <c r="CK208" s="421"/>
      <c r="CL208" s="59" t="str">
        <f t="shared" si="390"/>
        <v/>
      </c>
      <c r="CM208" s="60" t="str">
        <f t="shared" si="391"/>
        <v/>
      </c>
      <c r="CN208" s="421"/>
      <c r="CO208" s="59" t="str">
        <f t="shared" si="392"/>
        <v/>
      </c>
      <c r="CP208" s="60" t="str">
        <f t="shared" si="393"/>
        <v/>
      </c>
      <c r="CQ208" s="421"/>
      <c r="CR208" s="59" t="str">
        <f t="shared" si="394"/>
        <v/>
      </c>
      <c r="CS208" s="60" t="str">
        <f t="shared" si="395"/>
        <v/>
      </c>
      <c r="CT208" s="421"/>
      <c r="CU208" s="59" t="str">
        <f t="shared" si="396"/>
        <v/>
      </c>
      <c r="CV208" s="60" t="str">
        <f t="shared" si="397"/>
        <v/>
      </c>
      <c r="CW208" s="421"/>
      <c r="CX208" s="59" t="str">
        <f t="shared" si="398"/>
        <v/>
      </c>
      <c r="CY208" s="60" t="str">
        <f t="shared" si="399"/>
        <v/>
      </c>
      <c r="CZ208" s="421"/>
      <c r="DA208" s="59" t="str">
        <f t="shared" si="400"/>
        <v/>
      </c>
      <c r="DB208" s="60" t="str">
        <f t="shared" si="401"/>
        <v/>
      </c>
      <c r="DC208" s="421"/>
      <c r="DD208" s="59" t="str">
        <f t="shared" si="402"/>
        <v/>
      </c>
      <c r="DE208" s="60" t="str">
        <f t="shared" si="403"/>
        <v/>
      </c>
      <c r="DF208" s="421"/>
      <c r="DG208" s="59" t="str">
        <f t="shared" si="404"/>
        <v/>
      </c>
      <c r="DH208" s="60" t="str">
        <f t="shared" si="405"/>
        <v/>
      </c>
      <c r="DI208" s="421"/>
      <c r="DJ208" s="59" t="str">
        <f t="shared" si="406"/>
        <v/>
      </c>
      <c r="DK208" s="60" t="str">
        <f t="shared" si="407"/>
        <v/>
      </c>
      <c r="DL208" s="421"/>
      <c r="DM208" s="59" t="str">
        <f t="shared" si="408"/>
        <v/>
      </c>
      <c r="DN208" s="60" t="str">
        <f t="shared" si="409"/>
        <v/>
      </c>
      <c r="DO208" s="421"/>
      <c r="DP208" s="59" t="str">
        <f t="shared" si="410"/>
        <v/>
      </c>
      <c r="DQ208" s="60" t="str">
        <f t="shared" si="411"/>
        <v/>
      </c>
      <c r="DR208" s="421"/>
      <c r="DS208" s="59" t="str">
        <f t="shared" si="412"/>
        <v/>
      </c>
      <c r="DT208" s="60" t="str">
        <f t="shared" si="413"/>
        <v/>
      </c>
      <c r="DU208" s="421"/>
      <c r="DV208" s="59" t="str">
        <f t="shared" si="414"/>
        <v/>
      </c>
      <c r="DW208" s="60" t="str">
        <f t="shared" si="415"/>
        <v/>
      </c>
      <c r="DX208" s="161"/>
    </row>
    <row r="209" spans="2:128" ht="23.25" customHeight="1" x14ac:dyDescent="0.2">
      <c r="B209" s="716"/>
      <c r="C209" s="717"/>
      <c r="D209" s="717"/>
      <c r="E209" s="314">
        <f t="shared" si="252"/>
        <v>24</v>
      </c>
      <c r="F209" s="750" t="str">
        <f t="shared" si="335"/>
        <v/>
      </c>
      <c r="G209" s="751"/>
      <c r="H209" s="421"/>
      <c r="I209" s="59" t="str">
        <f t="shared" si="336"/>
        <v/>
      </c>
      <c r="J209" s="62" t="str">
        <f t="shared" si="337"/>
        <v/>
      </c>
      <c r="K209" s="421"/>
      <c r="L209" s="59" t="str">
        <f t="shared" si="338"/>
        <v/>
      </c>
      <c r="M209" s="62" t="str">
        <f t="shared" si="339"/>
        <v/>
      </c>
      <c r="N209" s="421"/>
      <c r="O209" s="59" t="str">
        <f t="shared" si="340"/>
        <v/>
      </c>
      <c r="P209" s="62" t="str">
        <f t="shared" si="341"/>
        <v/>
      </c>
      <c r="Q209" s="421"/>
      <c r="R209" s="59" t="str">
        <f t="shared" si="342"/>
        <v/>
      </c>
      <c r="S209" s="60" t="str">
        <f t="shared" si="343"/>
        <v/>
      </c>
      <c r="T209" s="421"/>
      <c r="U209" s="59" t="str">
        <f t="shared" si="344"/>
        <v/>
      </c>
      <c r="V209" s="60" t="str">
        <f t="shared" si="345"/>
        <v/>
      </c>
      <c r="W209" s="421"/>
      <c r="X209" s="59" t="str">
        <f t="shared" si="346"/>
        <v/>
      </c>
      <c r="Y209" s="60" t="str">
        <f t="shared" si="347"/>
        <v/>
      </c>
      <c r="Z209" s="421"/>
      <c r="AA209" s="59" t="str">
        <f t="shared" si="348"/>
        <v/>
      </c>
      <c r="AB209" s="60" t="str">
        <f t="shared" si="349"/>
        <v/>
      </c>
      <c r="AC209" s="421"/>
      <c r="AD209" s="59" t="str">
        <f t="shared" si="350"/>
        <v/>
      </c>
      <c r="AE209" s="60" t="str">
        <f t="shared" si="351"/>
        <v/>
      </c>
      <c r="AF209" s="421"/>
      <c r="AG209" s="59" t="str">
        <f t="shared" si="352"/>
        <v/>
      </c>
      <c r="AH209" s="60" t="str">
        <f t="shared" si="353"/>
        <v/>
      </c>
      <c r="AI209" s="421"/>
      <c r="AJ209" s="59" t="str">
        <f t="shared" si="354"/>
        <v/>
      </c>
      <c r="AK209" s="60" t="str">
        <f t="shared" si="355"/>
        <v/>
      </c>
      <c r="AL209" s="421"/>
      <c r="AM209" s="59" t="str">
        <f t="shared" si="356"/>
        <v/>
      </c>
      <c r="AN209" s="60" t="str">
        <f t="shared" si="357"/>
        <v/>
      </c>
      <c r="AO209" s="421"/>
      <c r="AP209" s="59" t="str">
        <f t="shared" si="358"/>
        <v/>
      </c>
      <c r="AQ209" s="60" t="str">
        <f t="shared" si="359"/>
        <v/>
      </c>
      <c r="AR209" s="421"/>
      <c r="AS209" s="59" t="str">
        <f t="shared" si="360"/>
        <v/>
      </c>
      <c r="AT209" s="60" t="str">
        <f t="shared" si="361"/>
        <v/>
      </c>
      <c r="AU209" s="421"/>
      <c r="AV209" s="59" t="str">
        <f t="shared" si="362"/>
        <v/>
      </c>
      <c r="AW209" s="60" t="str">
        <f t="shared" si="363"/>
        <v/>
      </c>
      <c r="AX209" s="421"/>
      <c r="AY209" s="59" t="str">
        <f t="shared" si="364"/>
        <v/>
      </c>
      <c r="AZ209" s="60" t="str">
        <f t="shared" si="365"/>
        <v/>
      </c>
      <c r="BA209" s="421"/>
      <c r="BB209" s="59" t="str">
        <f t="shared" si="366"/>
        <v/>
      </c>
      <c r="BC209" s="60" t="str">
        <f t="shared" si="367"/>
        <v/>
      </c>
      <c r="BD209" s="421"/>
      <c r="BE209" s="59" t="str">
        <f t="shared" si="368"/>
        <v/>
      </c>
      <c r="BF209" s="60" t="str">
        <f t="shared" si="369"/>
        <v/>
      </c>
      <c r="BG209" s="421"/>
      <c r="BH209" s="59" t="str">
        <f t="shared" si="370"/>
        <v/>
      </c>
      <c r="BI209" s="60" t="str">
        <f t="shared" si="371"/>
        <v/>
      </c>
      <c r="BJ209" s="421"/>
      <c r="BK209" s="59" t="str">
        <f t="shared" si="372"/>
        <v/>
      </c>
      <c r="BL209" s="60" t="str">
        <f t="shared" si="373"/>
        <v/>
      </c>
      <c r="BM209" s="421"/>
      <c r="BN209" s="59" t="str">
        <f t="shared" si="374"/>
        <v/>
      </c>
      <c r="BO209" s="60" t="str">
        <f t="shared" si="375"/>
        <v/>
      </c>
      <c r="BP209" s="421"/>
      <c r="BQ209" s="59" t="str">
        <f t="shared" si="376"/>
        <v/>
      </c>
      <c r="BR209" s="60" t="str">
        <f t="shared" si="377"/>
        <v/>
      </c>
      <c r="BS209" s="421"/>
      <c r="BT209" s="59" t="str">
        <f t="shared" si="378"/>
        <v/>
      </c>
      <c r="BU209" s="60" t="str">
        <f t="shared" si="379"/>
        <v/>
      </c>
      <c r="BV209" s="421"/>
      <c r="BW209" s="59" t="str">
        <f t="shared" si="380"/>
        <v/>
      </c>
      <c r="BX209" s="60" t="str">
        <f t="shared" si="381"/>
        <v/>
      </c>
      <c r="BY209" s="421"/>
      <c r="BZ209" s="59" t="str">
        <f t="shared" si="382"/>
        <v/>
      </c>
      <c r="CA209" s="60" t="str">
        <f t="shared" si="383"/>
        <v/>
      </c>
      <c r="CB209" s="421"/>
      <c r="CC209" s="59" t="str">
        <f t="shared" si="384"/>
        <v/>
      </c>
      <c r="CD209" s="60" t="str">
        <f t="shared" si="385"/>
        <v/>
      </c>
      <c r="CE209" s="421"/>
      <c r="CF209" s="59" t="str">
        <f t="shared" si="386"/>
        <v/>
      </c>
      <c r="CG209" s="60" t="str">
        <f t="shared" si="387"/>
        <v/>
      </c>
      <c r="CH209" s="421"/>
      <c r="CI209" s="59" t="str">
        <f t="shared" si="388"/>
        <v/>
      </c>
      <c r="CJ209" s="60" t="str">
        <f t="shared" si="389"/>
        <v/>
      </c>
      <c r="CK209" s="421"/>
      <c r="CL209" s="59" t="str">
        <f t="shared" si="390"/>
        <v/>
      </c>
      <c r="CM209" s="60" t="str">
        <f t="shared" si="391"/>
        <v/>
      </c>
      <c r="CN209" s="421"/>
      <c r="CO209" s="59" t="str">
        <f t="shared" si="392"/>
        <v/>
      </c>
      <c r="CP209" s="60" t="str">
        <f t="shared" si="393"/>
        <v/>
      </c>
      <c r="CQ209" s="421"/>
      <c r="CR209" s="59" t="str">
        <f t="shared" si="394"/>
        <v/>
      </c>
      <c r="CS209" s="60" t="str">
        <f t="shared" si="395"/>
        <v/>
      </c>
      <c r="CT209" s="421"/>
      <c r="CU209" s="59" t="str">
        <f t="shared" si="396"/>
        <v/>
      </c>
      <c r="CV209" s="60" t="str">
        <f t="shared" si="397"/>
        <v/>
      </c>
      <c r="CW209" s="421"/>
      <c r="CX209" s="59" t="str">
        <f t="shared" si="398"/>
        <v/>
      </c>
      <c r="CY209" s="60" t="str">
        <f t="shared" si="399"/>
        <v/>
      </c>
      <c r="CZ209" s="421"/>
      <c r="DA209" s="59" t="str">
        <f t="shared" si="400"/>
        <v/>
      </c>
      <c r="DB209" s="60" t="str">
        <f t="shared" si="401"/>
        <v/>
      </c>
      <c r="DC209" s="421"/>
      <c r="DD209" s="59" t="str">
        <f t="shared" si="402"/>
        <v/>
      </c>
      <c r="DE209" s="60" t="str">
        <f t="shared" si="403"/>
        <v/>
      </c>
      <c r="DF209" s="421"/>
      <c r="DG209" s="59" t="str">
        <f t="shared" si="404"/>
        <v/>
      </c>
      <c r="DH209" s="60" t="str">
        <f t="shared" si="405"/>
        <v/>
      </c>
      <c r="DI209" s="421"/>
      <c r="DJ209" s="59" t="str">
        <f t="shared" si="406"/>
        <v/>
      </c>
      <c r="DK209" s="60" t="str">
        <f t="shared" si="407"/>
        <v/>
      </c>
      <c r="DL209" s="421"/>
      <c r="DM209" s="59" t="str">
        <f t="shared" si="408"/>
        <v/>
      </c>
      <c r="DN209" s="60" t="str">
        <f t="shared" si="409"/>
        <v/>
      </c>
      <c r="DO209" s="421"/>
      <c r="DP209" s="59" t="str">
        <f t="shared" si="410"/>
        <v/>
      </c>
      <c r="DQ209" s="60" t="str">
        <f t="shared" si="411"/>
        <v/>
      </c>
      <c r="DR209" s="421"/>
      <c r="DS209" s="59" t="str">
        <f t="shared" si="412"/>
        <v/>
      </c>
      <c r="DT209" s="60" t="str">
        <f t="shared" si="413"/>
        <v/>
      </c>
      <c r="DU209" s="421"/>
      <c r="DV209" s="59" t="str">
        <f t="shared" si="414"/>
        <v/>
      </c>
      <c r="DW209" s="60" t="str">
        <f t="shared" si="415"/>
        <v/>
      </c>
      <c r="DX209" s="161"/>
    </row>
    <row r="210" spans="2:128" ht="23.25" customHeight="1" x14ac:dyDescent="0.2">
      <c r="B210" s="716"/>
      <c r="C210" s="717"/>
      <c r="D210" s="717"/>
      <c r="E210" s="314">
        <f t="shared" si="252"/>
        <v>25</v>
      </c>
      <c r="F210" s="750" t="str">
        <f t="shared" si="335"/>
        <v/>
      </c>
      <c r="G210" s="751"/>
      <c r="H210" s="421"/>
      <c r="I210" s="59" t="str">
        <f t="shared" si="336"/>
        <v/>
      </c>
      <c r="J210" s="62" t="str">
        <f t="shared" si="337"/>
        <v/>
      </c>
      <c r="K210" s="421"/>
      <c r="L210" s="59" t="str">
        <f t="shared" si="338"/>
        <v/>
      </c>
      <c r="M210" s="62" t="str">
        <f t="shared" si="339"/>
        <v/>
      </c>
      <c r="N210" s="421"/>
      <c r="O210" s="59" t="str">
        <f t="shared" si="340"/>
        <v/>
      </c>
      <c r="P210" s="62" t="str">
        <f t="shared" si="341"/>
        <v/>
      </c>
      <c r="Q210" s="421"/>
      <c r="R210" s="59" t="str">
        <f t="shared" si="342"/>
        <v/>
      </c>
      <c r="S210" s="60" t="str">
        <f t="shared" si="343"/>
        <v/>
      </c>
      <c r="T210" s="421"/>
      <c r="U210" s="59" t="str">
        <f t="shared" si="344"/>
        <v/>
      </c>
      <c r="V210" s="60" t="str">
        <f t="shared" si="345"/>
        <v/>
      </c>
      <c r="W210" s="421"/>
      <c r="X210" s="59" t="str">
        <f t="shared" si="346"/>
        <v/>
      </c>
      <c r="Y210" s="60" t="str">
        <f t="shared" si="347"/>
        <v/>
      </c>
      <c r="Z210" s="421"/>
      <c r="AA210" s="59" t="str">
        <f t="shared" si="348"/>
        <v/>
      </c>
      <c r="AB210" s="60" t="str">
        <f t="shared" si="349"/>
        <v/>
      </c>
      <c r="AC210" s="421"/>
      <c r="AD210" s="59" t="str">
        <f t="shared" si="350"/>
        <v/>
      </c>
      <c r="AE210" s="60" t="str">
        <f t="shared" si="351"/>
        <v/>
      </c>
      <c r="AF210" s="421"/>
      <c r="AG210" s="59" t="str">
        <f t="shared" si="352"/>
        <v/>
      </c>
      <c r="AH210" s="60" t="str">
        <f t="shared" si="353"/>
        <v/>
      </c>
      <c r="AI210" s="421"/>
      <c r="AJ210" s="59" t="str">
        <f t="shared" si="354"/>
        <v/>
      </c>
      <c r="AK210" s="60" t="str">
        <f t="shared" si="355"/>
        <v/>
      </c>
      <c r="AL210" s="421"/>
      <c r="AM210" s="59" t="str">
        <f t="shared" si="356"/>
        <v/>
      </c>
      <c r="AN210" s="60" t="str">
        <f t="shared" si="357"/>
        <v/>
      </c>
      <c r="AO210" s="421"/>
      <c r="AP210" s="59" t="str">
        <f t="shared" si="358"/>
        <v/>
      </c>
      <c r="AQ210" s="60" t="str">
        <f t="shared" si="359"/>
        <v/>
      </c>
      <c r="AR210" s="421"/>
      <c r="AS210" s="59" t="str">
        <f t="shared" si="360"/>
        <v/>
      </c>
      <c r="AT210" s="60" t="str">
        <f t="shared" si="361"/>
        <v/>
      </c>
      <c r="AU210" s="421"/>
      <c r="AV210" s="59" t="str">
        <f t="shared" si="362"/>
        <v/>
      </c>
      <c r="AW210" s="60" t="str">
        <f t="shared" si="363"/>
        <v/>
      </c>
      <c r="AX210" s="421"/>
      <c r="AY210" s="59" t="str">
        <f t="shared" si="364"/>
        <v/>
      </c>
      <c r="AZ210" s="60" t="str">
        <f t="shared" si="365"/>
        <v/>
      </c>
      <c r="BA210" s="421"/>
      <c r="BB210" s="59" t="str">
        <f t="shared" si="366"/>
        <v/>
      </c>
      <c r="BC210" s="60" t="str">
        <f t="shared" si="367"/>
        <v/>
      </c>
      <c r="BD210" s="421"/>
      <c r="BE210" s="59" t="str">
        <f t="shared" si="368"/>
        <v/>
      </c>
      <c r="BF210" s="60" t="str">
        <f t="shared" si="369"/>
        <v/>
      </c>
      <c r="BG210" s="421"/>
      <c r="BH210" s="59" t="str">
        <f t="shared" si="370"/>
        <v/>
      </c>
      <c r="BI210" s="60" t="str">
        <f t="shared" si="371"/>
        <v/>
      </c>
      <c r="BJ210" s="421"/>
      <c r="BK210" s="59" t="str">
        <f t="shared" si="372"/>
        <v/>
      </c>
      <c r="BL210" s="60" t="str">
        <f t="shared" si="373"/>
        <v/>
      </c>
      <c r="BM210" s="421"/>
      <c r="BN210" s="59" t="str">
        <f t="shared" si="374"/>
        <v/>
      </c>
      <c r="BO210" s="60" t="str">
        <f t="shared" si="375"/>
        <v/>
      </c>
      <c r="BP210" s="421"/>
      <c r="BQ210" s="59" t="str">
        <f t="shared" si="376"/>
        <v/>
      </c>
      <c r="BR210" s="60" t="str">
        <f t="shared" si="377"/>
        <v/>
      </c>
      <c r="BS210" s="421"/>
      <c r="BT210" s="59" t="str">
        <f t="shared" si="378"/>
        <v/>
      </c>
      <c r="BU210" s="60" t="str">
        <f t="shared" si="379"/>
        <v/>
      </c>
      <c r="BV210" s="421"/>
      <c r="BW210" s="59" t="str">
        <f t="shared" si="380"/>
        <v/>
      </c>
      <c r="BX210" s="60" t="str">
        <f t="shared" si="381"/>
        <v/>
      </c>
      <c r="BY210" s="421"/>
      <c r="BZ210" s="59" t="str">
        <f t="shared" si="382"/>
        <v/>
      </c>
      <c r="CA210" s="60" t="str">
        <f t="shared" si="383"/>
        <v/>
      </c>
      <c r="CB210" s="421"/>
      <c r="CC210" s="59" t="str">
        <f t="shared" si="384"/>
        <v/>
      </c>
      <c r="CD210" s="60" t="str">
        <f t="shared" si="385"/>
        <v/>
      </c>
      <c r="CE210" s="421"/>
      <c r="CF210" s="59" t="str">
        <f t="shared" si="386"/>
        <v/>
      </c>
      <c r="CG210" s="60" t="str">
        <f t="shared" si="387"/>
        <v/>
      </c>
      <c r="CH210" s="421"/>
      <c r="CI210" s="59" t="str">
        <f t="shared" si="388"/>
        <v/>
      </c>
      <c r="CJ210" s="60" t="str">
        <f t="shared" si="389"/>
        <v/>
      </c>
      <c r="CK210" s="421"/>
      <c r="CL210" s="59" t="str">
        <f t="shared" si="390"/>
        <v/>
      </c>
      <c r="CM210" s="60" t="str">
        <f t="shared" si="391"/>
        <v/>
      </c>
      <c r="CN210" s="421"/>
      <c r="CO210" s="59" t="str">
        <f t="shared" si="392"/>
        <v/>
      </c>
      <c r="CP210" s="60" t="str">
        <f t="shared" si="393"/>
        <v/>
      </c>
      <c r="CQ210" s="421"/>
      <c r="CR210" s="59" t="str">
        <f t="shared" si="394"/>
        <v/>
      </c>
      <c r="CS210" s="60" t="str">
        <f t="shared" si="395"/>
        <v/>
      </c>
      <c r="CT210" s="421"/>
      <c r="CU210" s="59" t="str">
        <f t="shared" si="396"/>
        <v/>
      </c>
      <c r="CV210" s="60" t="str">
        <f t="shared" si="397"/>
        <v/>
      </c>
      <c r="CW210" s="421"/>
      <c r="CX210" s="59" t="str">
        <f t="shared" si="398"/>
        <v/>
      </c>
      <c r="CY210" s="60" t="str">
        <f t="shared" si="399"/>
        <v/>
      </c>
      <c r="CZ210" s="421"/>
      <c r="DA210" s="59" t="str">
        <f t="shared" si="400"/>
        <v/>
      </c>
      <c r="DB210" s="60" t="str">
        <f t="shared" si="401"/>
        <v/>
      </c>
      <c r="DC210" s="421"/>
      <c r="DD210" s="59" t="str">
        <f t="shared" si="402"/>
        <v/>
      </c>
      <c r="DE210" s="60" t="str">
        <f t="shared" si="403"/>
        <v/>
      </c>
      <c r="DF210" s="421"/>
      <c r="DG210" s="59" t="str">
        <f t="shared" si="404"/>
        <v/>
      </c>
      <c r="DH210" s="60" t="str">
        <f t="shared" si="405"/>
        <v/>
      </c>
      <c r="DI210" s="421"/>
      <c r="DJ210" s="59" t="str">
        <f t="shared" si="406"/>
        <v/>
      </c>
      <c r="DK210" s="60" t="str">
        <f t="shared" si="407"/>
        <v/>
      </c>
      <c r="DL210" s="421"/>
      <c r="DM210" s="59" t="str">
        <f t="shared" si="408"/>
        <v/>
      </c>
      <c r="DN210" s="60" t="str">
        <f t="shared" si="409"/>
        <v/>
      </c>
      <c r="DO210" s="421"/>
      <c r="DP210" s="59" t="str">
        <f t="shared" si="410"/>
        <v/>
      </c>
      <c r="DQ210" s="60" t="str">
        <f t="shared" si="411"/>
        <v/>
      </c>
      <c r="DR210" s="421"/>
      <c r="DS210" s="59" t="str">
        <f t="shared" si="412"/>
        <v/>
      </c>
      <c r="DT210" s="60" t="str">
        <f t="shared" si="413"/>
        <v/>
      </c>
      <c r="DU210" s="421"/>
      <c r="DV210" s="59" t="str">
        <f t="shared" si="414"/>
        <v/>
      </c>
      <c r="DW210" s="60" t="str">
        <f t="shared" si="415"/>
        <v/>
      </c>
      <c r="DX210" s="161"/>
    </row>
    <row r="211" spans="2:128" ht="23.25" customHeight="1" x14ac:dyDescent="0.2">
      <c r="B211" s="716"/>
      <c r="C211" s="717"/>
      <c r="D211" s="717"/>
      <c r="E211" s="314">
        <f t="shared" si="252"/>
        <v>26</v>
      </c>
      <c r="F211" s="750" t="str">
        <f t="shared" si="335"/>
        <v/>
      </c>
      <c r="G211" s="751"/>
      <c r="H211" s="421"/>
      <c r="I211" s="59" t="str">
        <f t="shared" si="336"/>
        <v/>
      </c>
      <c r="J211" s="62" t="str">
        <f t="shared" si="337"/>
        <v/>
      </c>
      <c r="K211" s="421"/>
      <c r="L211" s="59" t="str">
        <f t="shared" si="338"/>
        <v/>
      </c>
      <c r="M211" s="62" t="str">
        <f t="shared" si="339"/>
        <v/>
      </c>
      <c r="N211" s="421"/>
      <c r="O211" s="59" t="str">
        <f t="shared" si="340"/>
        <v/>
      </c>
      <c r="P211" s="62" t="str">
        <f t="shared" si="341"/>
        <v/>
      </c>
      <c r="Q211" s="421"/>
      <c r="R211" s="59" t="str">
        <f t="shared" si="342"/>
        <v/>
      </c>
      <c r="S211" s="60" t="str">
        <f t="shared" si="343"/>
        <v/>
      </c>
      <c r="T211" s="421"/>
      <c r="U211" s="59" t="str">
        <f t="shared" si="344"/>
        <v/>
      </c>
      <c r="V211" s="60" t="str">
        <f t="shared" si="345"/>
        <v/>
      </c>
      <c r="W211" s="421"/>
      <c r="X211" s="59" t="str">
        <f t="shared" si="346"/>
        <v/>
      </c>
      <c r="Y211" s="60" t="str">
        <f t="shared" si="347"/>
        <v/>
      </c>
      <c r="Z211" s="421"/>
      <c r="AA211" s="59" t="str">
        <f t="shared" si="348"/>
        <v/>
      </c>
      <c r="AB211" s="60" t="str">
        <f t="shared" si="349"/>
        <v/>
      </c>
      <c r="AC211" s="421"/>
      <c r="AD211" s="59" t="str">
        <f t="shared" si="350"/>
        <v/>
      </c>
      <c r="AE211" s="60" t="str">
        <f t="shared" si="351"/>
        <v/>
      </c>
      <c r="AF211" s="421"/>
      <c r="AG211" s="59" t="str">
        <f t="shared" si="352"/>
        <v/>
      </c>
      <c r="AH211" s="60" t="str">
        <f t="shared" si="353"/>
        <v/>
      </c>
      <c r="AI211" s="421"/>
      <c r="AJ211" s="59" t="str">
        <f t="shared" si="354"/>
        <v/>
      </c>
      <c r="AK211" s="60" t="str">
        <f t="shared" si="355"/>
        <v/>
      </c>
      <c r="AL211" s="421"/>
      <c r="AM211" s="59" t="str">
        <f t="shared" si="356"/>
        <v/>
      </c>
      <c r="AN211" s="60" t="str">
        <f t="shared" si="357"/>
        <v/>
      </c>
      <c r="AO211" s="421"/>
      <c r="AP211" s="59" t="str">
        <f t="shared" si="358"/>
        <v/>
      </c>
      <c r="AQ211" s="60" t="str">
        <f t="shared" si="359"/>
        <v/>
      </c>
      <c r="AR211" s="421"/>
      <c r="AS211" s="59" t="str">
        <f t="shared" si="360"/>
        <v/>
      </c>
      <c r="AT211" s="60" t="str">
        <f t="shared" si="361"/>
        <v/>
      </c>
      <c r="AU211" s="421"/>
      <c r="AV211" s="59" t="str">
        <f t="shared" si="362"/>
        <v/>
      </c>
      <c r="AW211" s="60" t="str">
        <f t="shared" si="363"/>
        <v/>
      </c>
      <c r="AX211" s="421"/>
      <c r="AY211" s="59" t="str">
        <f t="shared" si="364"/>
        <v/>
      </c>
      <c r="AZ211" s="60" t="str">
        <f t="shared" si="365"/>
        <v/>
      </c>
      <c r="BA211" s="421"/>
      <c r="BB211" s="59" t="str">
        <f t="shared" si="366"/>
        <v/>
      </c>
      <c r="BC211" s="60" t="str">
        <f t="shared" si="367"/>
        <v/>
      </c>
      <c r="BD211" s="421"/>
      <c r="BE211" s="59" t="str">
        <f t="shared" si="368"/>
        <v/>
      </c>
      <c r="BF211" s="60" t="str">
        <f t="shared" si="369"/>
        <v/>
      </c>
      <c r="BG211" s="421"/>
      <c r="BH211" s="59" t="str">
        <f t="shared" si="370"/>
        <v/>
      </c>
      <c r="BI211" s="60" t="str">
        <f t="shared" si="371"/>
        <v/>
      </c>
      <c r="BJ211" s="421"/>
      <c r="BK211" s="59" t="str">
        <f t="shared" si="372"/>
        <v/>
      </c>
      <c r="BL211" s="60" t="str">
        <f t="shared" si="373"/>
        <v/>
      </c>
      <c r="BM211" s="421"/>
      <c r="BN211" s="59" t="str">
        <f t="shared" si="374"/>
        <v/>
      </c>
      <c r="BO211" s="60" t="str">
        <f t="shared" si="375"/>
        <v/>
      </c>
      <c r="BP211" s="421"/>
      <c r="BQ211" s="59" t="str">
        <f t="shared" si="376"/>
        <v/>
      </c>
      <c r="BR211" s="60" t="str">
        <f t="shared" si="377"/>
        <v/>
      </c>
      <c r="BS211" s="421"/>
      <c r="BT211" s="59" t="str">
        <f t="shared" si="378"/>
        <v/>
      </c>
      <c r="BU211" s="60" t="str">
        <f t="shared" si="379"/>
        <v/>
      </c>
      <c r="BV211" s="421"/>
      <c r="BW211" s="59" t="str">
        <f t="shared" si="380"/>
        <v/>
      </c>
      <c r="BX211" s="60" t="str">
        <f t="shared" si="381"/>
        <v/>
      </c>
      <c r="BY211" s="421"/>
      <c r="BZ211" s="59" t="str">
        <f t="shared" si="382"/>
        <v/>
      </c>
      <c r="CA211" s="60" t="str">
        <f t="shared" si="383"/>
        <v/>
      </c>
      <c r="CB211" s="421"/>
      <c r="CC211" s="59" t="str">
        <f t="shared" si="384"/>
        <v/>
      </c>
      <c r="CD211" s="60" t="str">
        <f t="shared" si="385"/>
        <v/>
      </c>
      <c r="CE211" s="421"/>
      <c r="CF211" s="59" t="str">
        <f t="shared" si="386"/>
        <v/>
      </c>
      <c r="CG211" s="60" t="str">
        <f t="shared" si="387"/>
        <v/>
      </c>
      <c r="CH211" s="421"/>
      <c r="CI211" s="59" t="str">
        <f t="shared" si="388"/>
        <v/>
      </c>
      <c r="CJ211" s="60" t="str">
        <f t="shared" si="389"/>
        <v/>
      </c>
      <c r="CK211" s="421"/>
      <c r="CL211" s="59" t="str">
        <f t="shared" si="390"/>
        <v/>
      </c>
      <c r="CM211" s="60" t="str">
        <f t="shared" si="391"/>
        <v/>
      </c>
      <c r="CN211" s="421"/>
      <c r="CO211" s="59" t="str">
        <f t="shared" si="392"/>
        <v/>
      </c>
      <c r="CP211" s="60" t="str">
        <f t="shared" si="393"/>
        <v/>
      </c>
      <c r="CQ211" s="421"/>
      <c r="CR211" s="59" t="str">
        <f t="shared" si="394"/>
        <v/>
      </c>
      <c r="CS211" s="60" t="str">
        <f t="shared" si="395"/>
        <v/>
      </c>
      <c r="CT211" s="421"/>
      <c r="CU211" s="59" t="str">
        <f t="shared" si="396"/>
        <v/>
      </c>
      <c r="CV211" s="60" t="str">
        <f t="shared" si="397"/>
        <v/>
      </c>
      <c r="CW211" s="421"/>
      <c r="CX211" s="59" t="str">
        <f t="shared" si="398"/>
        <v/>
      </c>
      <c r="CY211" s="60" t="str">
        <f t="shared" si="399"/>
        <v/>
      </c>
      <c r="CZ211" s="421"/>
      <c r="DA211" s="59" t="str">
        <f t="shared" si="400"/>
        <v/>
      </c>
      <c r="DB211" s="60" t="str">
        <f t="shared" si="401"/>
        <v/>
      </c>
      <c r="DC211" s="421"/>
      <c r="DD211" s="59" t="str">
        <f t="shared" si="402"/>
        <v/>
      </c>
      <c r="DE211" s="60" t="str">
        <f t="shared" si="403"/>
        <v/>
      </c>
      <c r="DF211" s="421"/>
      <c r="DG211" s="59" t="str">
        <f t="shared" si="404"/>
        <v/>
      </c>
      <c r="DH211" s="60" t="str">
        <f t="shared" si="405"/>
        <v/>
      </c>
      <c r="DI211" s="421"/>
      <c r="DJ211" s="59" t="str">
        <f t="shared" si="406"/>
        <v/>
      </c>
      <c r="DK211" s="60" t="str">
        <f t="shared" si="407"/>
        <v/>
      </c>
      <c r="DL211" s="421"/>
      <c r="DM211" s="59" t="str">
        <f t="shared" si="408"/>
        <v/>
      </c>
      <c r="DN211" s="60" t="str">
        <f t="shared" si="409"/>
        <v/>
      </c>
      <c r="DO211" s="421"/>
      <c r="DP211" s="59" t="str">
        <f t="shared" si="410"/>
        <v/>
      </c>
      <c r="DQ211" s="60" t="str">
        <f t="shared" si="411"/>
        <v/>
      </c>
      <c r="DR211" s="421"/>
      <c r="DS211" s="59" t="str">
        <f t="shared" si="412"/>
        <v/>
      </c>
      <c r="DT211" s="60" t="str">
        <f t="shared" si="413"/>
        <v/>
      </c>
      <c r="DU211" s="421"/>
      <c r="DV211" s="59" t="str">
        <f t="shared" si="414"/>
        <v/>
      </c>
      <c r="DW211" s="60" t="str">
        <f t="shared" si="415"/>
        <v/>
      </c>
      <c r="DX211" s="161"/>
    </row>
    <row r="212" spans="2:128" ht="23.25" customHeight="1" x14ac:dyDescent="0.2">
      <c r="B212" s="716"/>
      <c r="C212" s="717"/>
      <c r="D212" s="717"/>
      <c r="E212" s="314">
        <f t="shared" si="252"/>
        <v>27</v>
      </c>
      <c r="F212" s="750" t="str">
        <f t="shared" si="335"/>
        <v/>
      </c>
      <c r="G212" s="751"/>
      <c r="H212" s="421"/>
      <c r="I212" s="59" t="str">
        <f t="shared" si="336"/>
        <v/>
      </c>
      <c r="J212" s="62" t="str">
        <f t="shared" si="337"/>
        <v/>
      </c>
      <c r="K212" s="421"/>
      <c r="L212" s="59" t="str">
        <f t="shared" si="338"/>
        <v/>
      </c>
      <c r="M212" s="62" t="str">
        <f t="shared" si="339"/>
        <v/>
      </c>
      <c r="N212" s="421"/>
      <c r="O212" s="59" t="str">
        <f t="shared" si="340"/>
        <v/>
      </c>
      <c r="P212" s="62" t="str">
        <f t="shared" si="341"/>
        <v/>
      </c>
      <c r="Q212" s="421"/>
      <c r="R212" s="59" t="str">
        <f t="shared" si="342"/>
        <v/>
      </c>
      <c r="S212" s="60" t="str">
        <f t="shared" si="343"/>
        <v/>
      </c>
      <c r="T212" s="421"/>
      <c r="U212" s="59" t="str">
        <f t="shared" si="344"/>
        <v/>
      </c>
      <c r="V212" s="60" t="str">
        <f t="shared" si="345"/>
        <v/>
      </c>
      <c r="W212" s="421"/>
      <c r="X212" s="59" t="str">
        <f t="shared" si="346"/>
        <v/>
      </c>
      <c r="Y212" s="60" t="str">
        <f t="shared" si="347"/>
        <v/>
      </c>
      <c r="Z212" s="421"/>
      <c r="AA212" s="59" t="str">
        <f t="shared" si="348"/>
        <v/>
      </c>
      <c r="AB212" s="60" t="str">
        <f t="shared" si="349"/>
        <v/>
      </c>
      <c r="AC212" s="421"/>
      <c r="AD212" s="59" t="str">
        <f t="shared" si="350"/>
        <v/>
      </c>
      <c r="AE212" s="60" t="str">
        <f t="shared" si="351"/>
        <v/>
      </c>
      <c r="AF212" s="421"/>
      <c r="AG212" s="59" t="str">
        <f t="shared" si="352"/>
        <v/>
      </c>
      <c r="AH212" s="60" t="str">
        <f t="shared" si="353"/>
        <v/>
      </c>
      <c r="AI212" s="421"/>
      <c r="AJ212" s="59" t="str">
        <f t="shared" si="354"/>
        <v/>
      </c>
      <c r="AK212" s="60" t="str">
        <f t="shared" si="355"/>
        <v/>
      </c>
      <c r="AL212" s="421"/>
      <c r="AM212" s="59" t="str">
        <f t="shared" si="356"/>
        <v/>
      </c>
      <c r="AN212" s="60" t="str">
        <f t="shared" si="357"/>
        <v/>
      </c>
      <c r="AO212" s="421"/>
      <c r="AP212" s="59" t="str">
        <f t="shared" si="358"/>
        <v/>
      </c>
      <c r="AQ212" s="60" t="str">
        <f t="shared" si="359"/>
        <v/>
      </c>
      <c r="AR212" s="421"/>
      <c r="AS212" s="59" t="str">
        <f t="shared" si="360"/>
        <v/>
      </c>
      <c r="AT212" s="60" t="str">
        <f t="shared" si="361"/>
        <v/>
      </c>
      <c r="AU212" s="421"/>
      <c r="AV212" s="59" t="str">
        <f t="shared" si="362"/>
        <v/>
      </c>
      <c r="AW212" s="60" t="str">
        <f t="shared" si="363"/>
        <v/>
      </c>
      <c r="AX212" s="421"/>
      <c r="AY212" s="59" t="str">
        <f t="shared" si="364"/>
        <v/>
      </c>
      <c r="AZ212" s="60" t="str">
        <f t="shared" si="365"/>
        <v/>
      </c>
      <c r="BA212" s="421"/>
      <c r="BB212" s="59" t="str">
        <f t="shared" si="366"/>
        <v/>
      </c>
      <c r="BC212" s="60" t="str">
        <f t="shared" si="367"/>
        <v/>
      </c>
      <c r="BD212" s="421"/>
      <c r="BE212" s="59" t="str">
        <f t="shared" si="368"/>
        <v/>
      </c>
      <c r="BF212" s="60" t="str">
        <f t="shared" si="369"/>
        <v/>
      </c>
      <c r="BG212" s="421"/>
      <c r="BH212" s="59" t="str">
        <f t="shared" si="370"/>
        <v/>
      </c>
      <c r="BI212" s="60" t="str">
        <f t="shared" si="371"/>
        <v/>
      </c>
      <c r="BJ212" s="421"/>
      <c r="BK212" s="59" t="str">
        <f t="shared" si="372"/>
        <v/>
      </c>
      <c r="BL212" s="60" t="str">
        <f t="shared" si="373"/>
        <v/>
      </c>
      <c r="BM212" s="421"/>
      <c r="BN212" s="59" t="str">
        <f t="shared" si="374"/>
        <v/>
      </c>
      <c r="BO212" s="60" t="str">
        <f t="shared" si="375"/>
        <v/>
      </c>
      <c r="BP212" s="421"/>
      <c r="BQ212" s="59" t="str">
        <f t="shared" si="376"/>
        <v/>
      </c>
      <c r="BR212" s="60" t="str">
        <f t="shared" si="377"/>
        <v/>
      </c>
      <c r="BS212" s="421"/>
      <c r="BT212" s="59" t="str">
        <f t="shared" si="378"/>
        <v/>
      </c>
      <c r="BU212" s="60" t="str">
        <f t="shared" si="379"/>
        <v/>
      </c>
      <c r="BV212" s="421"/>
      <c r="BW212" s="59" t="str">
        <f t="shared" si="380"/>
        <v/>
      </c>
      <c r="BX212" s="60" t="str">
        <f t="shared" si="381"/>
        <v/>
      </c>
      <c r="BY212" s="421"/>
      <c r="BZ212" s="59" t="str">
        <f t="shared" si="382"/>
        <v/>
      </c>
      <c r="CA212" s="60" t="str">
        <f t="shared" si="383"/>
        <v/>
      </c>
      <c r="CB212" s="421"/>
      <c r="CC212" s="59" t="str">
        <f t="shared" si="384"/>
        <v/>
      </c>
      <c r="CD212" s="60" t="str">
        <f t="shared" si="385"/>
        <v/>
      </c>
      <c r="CE212" s="421"/>
      <c r="CF212" s="59" t="str">
        <f t="shared" si="386"/>
        <v/>
      </c>
      <c r="CG212" s="60" t="str">
        <f t="shared" si="387"/>
        <v/>
      </c>
      <c r="CH212" s="421"/>
      <c r="CI212" s="59" t="str">
        <f t="shared" si="388"/>
        <v/>
      </c>
      <c r="CJ212" s="60" t="str">
        <f t="shared" si="389"/>
        <v/>
      </c>
      <c r="CK212" s="421"/>
      <c r="CL212" s="59" t="str">
        <f t="shared" si="390"/>
        <v/>
      </c>
      <c r="CM212" s="60" t="str">
        <f t="shared" si="391"/>
        <v/>
      </c>
      <c r="CN212" s="421"/>
      <c r="CO212" s="59" t="str">
        <f t="shared" si="392"/>
        <v/>
      </c>
      <c r="CP212" s="60" t="str">
        <f t="shared" si="393"/>
        <v/>
      </c>
      <c r="CQ212" s="421"/>
      <c r="CR212" s="59" t="str">
        <f t="shared" si="394"/>
        <v/>
      </c>
      <c r="CS212" s="60" t="str">
        <f t="shared" si="395"/>
        <v/>
      </c>
      <c r="CT212" s="421"/>
      <c r="CU212" s="59" t="str">
        <f t="shared" si="396"/>
        <v/>
      </c>
      <c r="CV212" s="60" t="str">
        <f t="shared" si="397"/>
        <v/>
      </c>
      <c r="CW212" s="421"/>
      <c r="CX212" s="59" t="str">
        <f t="shared" si="398"/>
        <v/>
      </c>
      <c r="CY212" s="60" t="str">
        <f t="shared" si="399"/>
        <v/>
      </c>
      <c r="CZ212" s="421"/>
      <c r="DA212" s="59" t="str">
        <f t="shared" si="400"/>
        <v/>
      </c>
      <c r="DB212" s="60" t="str">
        <f t="shared" si="401"/>
        <v/>
      </c>
      <c r="DC212" s="421"/>
      <c r="DD212" s="59" t="str">
        <f t="shared" si="402"/>
        <v/>
      </c>
      <c r="DE212" s="60" t="str">
        <f t="shared" si="403"/>
        <v/>
      </c>
      <c r="DF212" s="421"/>
      <c r="DG212" s="59" t="str">
        <f t="shared" si="404"/>
        <v/>
      </c>
      <c r="DH212" s="60" t="str">
        <f t="shared" si="405"/>
        <v/>
      </c>
      <c r="DI212" s="421"/>
      <c r="DJ212" s="59" t="str">
        <f t="shared" si="406"/>
        <v/>
      </c>
      <c r="DK212" s="60" t="str">
        <f t="shared" si="407"/>
        <v/>
      </c>
      <c r="DL212" s="421"/>
      <c r="DM212" s="59" t="str">
        <f t="shared" si="408"/>
        <v/>
      </c>
      <c r="DN212" s="60" t="str">
        <f t="shared" si="409"/>
        <v/>
      </c>
      <c r="DO212" s="421"/>
      <c r="DP212" s="59" t="str">
        <f t="shared" si="410"/>
        <v/>
      </c>
      <c r="DQ212" s="60" t="str">
        <f t="shared" si="411"/>
        <v/>
      </c>
      <c r="DR212" s="421"/>
      <c r="DS212" s="59" t="str">
        <f t="shared" si="412"/>
        <v/>
      </c>
      <c r="DT212" s="60" t="str">
        <f t="shared" si="413"/>
        <v/>
      </c>
      <c r="DU212" s="421"/>
      <c r="DV212" s="59" t="str">
        <f t="shared" si="414"/>
        <v/>
      </c>
      <c r="DW212" s="60" t="str">
        <f t="shared" si="415"/>
        <v/>
      </c>
      <c r="DX212" s="161"/>
    </row>
    <row r="213" spans="2:128" ht="23.25" customHeight="1" x14ac:dyDescent="0.2">
      <c r="B213" s="716"/>
      <c r="C213" s="717"/>
      <c r="D213" s="717"/>
      <c r="E213" s="314">
        <f t="shared" si="252"/>
        <v>28</v>
      </c>
      <c r="F213" s="750" t="str">
        <f t="shared" si="335"/>
        <v/>
      </c>
      <c r="G213" s="751"/>
      <c r="H213" s="421"/>
      <c r="I213" s="59" t="str">
        <f t="shared" si="336"/>
        <v/>
      </c>
      <c r="J213" s="62" t="str">
        <f t="shared" si="337"/>
        <v/>
      </c>
      <c r="K213" s="421"/>
      <c r="L213" s="59" t="str">
        <f t="shared" si="338"/>
        <v/>
      </c>
      <c r="M213" s="62" t="str">
        <f t="shared" si="339"/>
        <v/>
      </c>
      <c r="N213" s="421"/>
      <c r="O213" s="59" t="str">
        <f t="shared" si="340"/>
        <v/>
      </c>
      <c r="P213" s="62" t="str">
        <f t="shared" si="341"/>
        <v/>
      </c>
      <c r="Q213" s="421"/>
      <c r="R213" s="59" t="str">
        <f t="shared" si="342"/>
        <v/>
      </c>
      <c r="S213" s="60" t="str">
        <f t="shared" si="343"/>
        <v/>
      </c>
      <c r="T213" s="421"/>
      <c r="U213" s="59" t="str">
        <f t="shared" si="344"/>
        <v/>
      </c>
      <c r="V213" s="60" t="str">
        <f t="shared" si="345"/>
        <v/>
      </c>
      <c r="W213" s="421"/>
      <c r="X213" s="59" t="str">
        <f t="shared" si="346"/>
        <v/>
      </c>
      <c r="Y213" s="60" t="str">
        <f t="shared" si="347"/>
        <v/>
      </c>
      <c r="Z213" s="421"/>
      <c r="AA213" s="59" t="str">
        <f t="shared" si="348"/>
        <v/>
      </c>
      <c r="AB213" s="60" t="str">
        <f t="shared" si="349"/>
        <v/>
      </c>
      <c r="AC213" s="421"/>
      <c r="AD213" s="59" t="str">
        <f t="shared" si="350"/>
        <v/>
      </c>
      <c r="AE213" s="60" t="str">
        <f t="shared" si="351"/>
        <v/>
      </c>
      <c r="AF213" s="421"/>
      <c r="AG213" s="59" t="str">
        <f t="shared" si="352"/>
        <v/>
      </c>
      <c r="AH213" s="60" t="str">
        <f t="shared" si="353"/>
        <v/>
      </c>
      <c r="AI213" s="421"/>
      <c r="AJ213" s="59" t="str">
        <f t="shared" si="354"/>
        <v/>
      </c>
      <c r="AK213" s="60" t="str">
        <f t="shared" si="355"/>
        <v/>
      </c>
      <c r="AL213" s="421"/>
      <c r="AM213" s="59" t="str">
        <f t="shared" si="356"/>
        <v/>
      </c>
      <c r="AN213" s="60" t="str">
        <f t="shared" si="357"/>
        <v/>
      </c>
      <c r="AO213" s="421"/>
      <c r="AP213" s="59" t="str">
        <f t="shared" si="358"/>
        <v/>
      </c>
      <c r="AQ213" s="60" t="str">
        <f t="shared" si="359"/>
        <v/>
      </c>
      <c r="AR213" s="421"/>
      <c r="AS213" s="59" t="str">
        <f t="shared" si="360"/>
        <v/>
      </c>
      <c r="AT213" s="60" t="str">
        <f t="shared" si="361"/>
        <v/>
      </c>
      <c r="AU213" s="421"/>
      <c r="AV213" s="59" t="str">
        <f t="shared" si="362"/>
        <v/>
      </c>
      <c r="AW213" s="60" t="str">
        <f t="shared" si="363"/>
        <v/>
      </c>
      <c r="AX213" s="421"/>
      <c r="AY213" s="59" t="str">
        <f t="shared" si="364"/>
        <v/>
      </c>
      <c r="AZ213" s="60" t="str">
        <f t="shared" si="365"/>
        <v/>
      </c>
      <c r="BA213" s="421"/>
      <c r="BB213" s="59" t="str">
        <f t="shared" si="366"/>
        <v/>
      </c>
      <c r="BC213" s="60" t="str">
        <f t="shared" si="367"/>
        <v/>
      </c>
      <c r="BD213" s="421"/>
      <c r="BE213" s="59" t="str">
        <f t="shared" si="368"/>
        <v/>
      </c>
      <c r="BF213" s="60" t="str">
        <f t="shared" si="369"/>
        <v/>
      </c>
      <c r="BG213" s="421"/>
      <c r="BH213" s="59" t="str">
        <f t="shared" si="370"/>
        <v/>
      </c>
      <c r="BI213" s="60" t="str">
        <f t="shared" si="371"/>
        <v/>
      </c>
      <c r="BJ213" s="421"/>
      <c r="BK213" s="59" t="str">
        <f t="shared" si="372"/>
        <v/>
      </c>
      <c r="BL213" s="60" t="str">
        <f t="shared" si="373"/>
        <v/>
      </c>
      <c r="BM213" s="421"/>
      <c r="BN213" s="59" t="str">
        <f t="shared" si="374"/>
        <v/>
      </c>
      <c r="BO213" s="60" t="str">
        <f t="shared" si="375"/>
        <v/>
      </c>
      <c r="BP213" s="421"/>
      <c r="BQ213" s="59" t="str">
        <f t="shared" si="376"/>
        <v/>
      </c>
      <c r="BR213" s="60" t="str">
        <f t="shared" si="377"/>
        <v/>
      </c>
      <c r="BS213" s="421"/>
      <c r="BT213" s="59" t="str">
        <f t="shared" si="378"/>
        <v/>
      </c>
      <c r="BU213" s="60" t="str">
        <f t="shared" si="379"/>
        <v/>
      </c>
      <c r="BV213" s="421"/>
      <c r="BW213" s="59" t="str">
        <f t="shared" si="380"/>
        <v/>
      </c>
      <c r="BX213" s="60" t="str">
        <f t="shared" si="381"/>
        <v/>
      </c>
      <c r="BY213" s="421"/>
      <c r="BZ213" s="59" t="str">
        <f t="shared" si="382"/>
        <v/>
      </c>
      <c r="CA213" s="60" t="str">
        <f t="shared" si="383"/>
        <v/>
      </c>
      <c r="CB213" s="421"/>
      <c r="CC213" s="59" t="str">
        <f t="shared" si="384"/>
        <v/>
      </c>
      <c r="CD213" s="60" t="str">
        <f t="shared" si="385"/>
        <v/>
      </c>
      <c r="CE213" s="421"/>
      <c r="CF213" s="59" t="str">
        <f t="shared" si="386"/>
        <v/>
      </c>
      <c r="CG213" s="60" t="str">
        <f t="shared" si="387"/>
        <v/>
      </c>
      <c r="CH213" s="421"/>
      <c r="CI213" s="59" t="str">
        <f t="shared" si="388"/>
        <v/>
      </c>
      <c r="CJ213" s="60" t="str">
        <f t="shared" si="389"/>
        <v/>
      </c>
      <c r="CK213" s="421"/>
      <c r="CL213" s="59" t="str">
        <f t="shared" si="390"/>
        <v/>
      </c>
      <c r="CM213" s="60" t="str">
        <f t="shared" si="391"/>
        <v/>
      </c>
      <c r="CN213" s="421"/>
      <c r="CO213" s="59" t="str">
        <f t="shared" si="392"/>
        <v/>
      </c>
      <c r="CP213" s="60" t="str">
        <f t="shared" si="393"/>
        <v/>
      </c>
      <c r="CQ213" s="421"/>
      <c r="CR213" s="59" t="str">
        <f t="shared" si="394"/>
        <v/>
      </c>
      <c r="CS213" s="60" t="str">
        <f t="shared" si="395"/>
        <v/>
      </c>
      <c r="CT213" s="421"/>
      <c r="CU213" s="59" t="str">
        <f t="shared" si="396"/>
        <v/>
      </c>
      <c r="CV213" s="60" t="str">
        <f t="shared" si="397"/>
        <v/>
      </c>
      <c r="CW213" s="421"/>
      <c r="CX213" s="59" t="str">
        <f t="shared" si="398"/>
        <v/>
      </c>
      <c r="CY213" s="60" t="str">
        <f t="shared" si="399"/>
        <v/>
      </c>
      <c r="CZ213" s="421"/>
      <c r="DA213" s="59" t="str">
        <f t="shared" si="400"/>
        <v/>
      </c>
      <c r="DB213" s="60" t="str">
        <f t="shared" si="401"/>
        <v/>
      </c>
      <c r="DC213" s="421"/>
      <c r="DD213" s="59" t="str">
        <f t="shared" si="402"/>
        <v/>
      </c>
      <c r="DE213" s="60" t="str">
        <f t="shared" si="403"/>
        <v/>
      </c>
      <c r="DF213" s="421"/>
      <c r="DG213" s="59" t="str">
        <f t="shared" si="404"/>
        <v/>
      </c>
      <c r="DH213" s="60" t="str">
        <f t="shared" si="405"/>
        <v/>
      </c>
      <c r="DI213" s="421"/>
      <c r="DJ213" s="59" t="str">
        <f t="shared" si="406"/>
        <v/>
      </c>
      <c r="DK213" s="60" t="str">
        <f t="shared" si="407"/>
        <v/>
      </c>
      <c r="DL213" s="421"/>
      <c r="DM213" s="59" t="str">
        <f t="shared" si="408"/>
        <v/>
      </c>
      <c r="DN213" s="60" t="str">
        <f t="shared" si="409"/>
        <v/>
      </c>
      <c r="DO213" s="421"/>
      <c r="DP213" s="59" t="str">
        <f t="shared" si="410"/>
        <v/>
      </c>
      <c r="DQ213" s="60" t="str">
        <f t="shared" si="411"/>
        <v/>
      </c>
      <c r="DR213" s="421"/>
      <c r="DS213" s="59" t="str">
        <f t="shared" si="412"/>
        <v/>
      </c>
      <c r="DT213" s="60" t="str">
        <f t="shared" si="413"/>
        <v/>
      </c>
      <c r="DU213" s="421"/>
      <c r="DV213" s="59" t="str">
        <f t="shared" si="414"/>
        <v/>
      </c>
      <c r="DW213" s="60" t="str">
        <f t="shared" si="415"/>
        <v/>
      </c>
      <c r="DX213" s="161"/>
    </row>
    <row r="214" spans="2:128" ht="23.25" customHeight="1" x14ac:dyDescent="0.2">
      <c r="B214" s="716"/>
      <c r="C214" s="717"/>
      <c r="D214" s="717"/>
      <c r="E214" s="314">
        <f t="shared" si="252"/>
        <v>29</v>
      </c>
      <c r="F214" s="750" t="str">
        <f t="shared" si="335"/>
        <v/>
      </c>
      <c r="G214" s="751"/>
      <c r="H214" s="421"/>
      <c r="I214" s="59" t="str">
        <f t="shared" si="336"/>
        <v/>
      </c>
      <c r="J214" s="62" t="str">
        <f t="shared" si="337"/>
        <v/>
      </c>
      <c r="K214" s="421"/>
      <c r="L214" s="59" t="str">
        <f t="shared" si="338"/>
        <v/>
      </c>
      <c r="M214" s="62" t="str">
        <f t="shared" si="339"/>
        <v/>
      </c>
      <c r="N214" s="421"/>
      <c r="O214" s="59" t="str">
        <f t="shared" si="340"/>
        <v/>
      </c>
      <c r="P214" s="62" t="str">
        <f t="shared" si="341"/>
        <v/>
      </c>
      <c r="Q214" s="421"/>
      <c r="R214" s="59" t="str">
        <f t="shared" si="342"/>
        <v/>
      </c>
      <c r="S214" s="60" t="str">
        <f t="shared" si="343"/>
        <v/>
      </c>
      <c r="T214" s="421"/>
      <c r="U214" s="59" t="str">
        <f t="shared" si="344"/>
        <v/>
      </c>
      <c r="V214" s="60" t="str">
        <f t="shared" si="345"/>
        <v/>
      </c>
      <c r="W214" s="421"/>
      <c r="X214" s="59" t="str">
        <f t="shared" si="346"/>
        <v/>
      </c>
      <c r="Y214" s="60" t="str">
        <f t="shared" si="347"/>
        <v/>
      </c>
      <c r="Z214" s="421"/>
      <c r="AA214" s="59" t="str">
        <f t="shared" si="348"/>
        <v/>
      </c>
      <c r="AB214" s="60" t="str">
        <f t="shared" si="349"/>
        <v/>
      </c>
      <c r="AC214" s="421"/>
      <c r="AD214" s="59" t="str">
        <f t="shared" si="350"/>
        <v/>
      </c>
      <c r="AE214" s="60" t="str">
        <f t="shared" si="351"/>
        <v/>
      </c>
      <c r="AF214" s="421"/>
      <c r="AG214" s="59" t="str">
        <f t="shared" si="352"/>
        <v/>
      </c>
      <c r="AH214" s="60" t="str">
        <f t="shared" si="353"/>
        <v/>
      </c>
      <c r="AI214" s="421"/>
      <c r="AJ214" s="59" t="str">
        <f t="shared" si="354"/>
        <v/>
      </c>
      <c r="AK214" s="60" t="str">
        <f t="shared" si="355"/>
        <v/>
      </c>
      <c r="AL214" s="421"/>
      <c r="AM214" s="59" t="str">
        <f t="shared" si="356"/>
        <v/>
      </c>
      <c r="AN214" s="60" t="str">
        <f t="shared" si="357"/>
        <v/>
      </c>
      <c r="AO214" s="421"/>
      <c r="AP214" s="59" t="str">
        <f t="shared" si="358"/>
        <v/>
      </c>
      <c r="AQ214" s="60" t="str">
        <f t="shared" si="359"/>
        <v/>
      </c>
      <c r="AR214" s="421"/>
      <c r="AS214" s="59" t="str">
        <f t="shared" si="360"/>
        <v/>
      </c>
      <c r="AT214" s="60" t="str">
        <f t="shared" si="361"/>
        <v/>
      </c>
      <c r="AU214" s="421"/>
      <c r="AV214" s="59" t="str">
        <f t="shared" si="362"/>
        <v/>
      </c>
      <c r="AW214" s="60" t="str">
        <f t="shared" si="363"/>
        <v/>
      </c>
      <c r="AX214" s="421"/>
      <c r="AY214" s="59" t="str">
        <f t="shared" si="364"/>
        <v/>
      </c>
      <c r="AZ214" s="60" t="str">
        <f t="shared" si="365"/>
        <v/>
      </c>
      <c r="BA214" s="421"/>
      <c r="BB214" s="59" t="str">
        <f t="shared" si="366"/>
        <v/>
      </c>
      <c r="BC214" s="60" t="str">
        <f t="shared" si="367"/>
        <v/>
      </c>
      <c r="BD214" s="421"/>
      <c r="BE214" s="59" t="str">
        <f t="shared" si="368"/>
        <v/>
      </c>
      <c r="BF214" s="60" t="str">
        <f t="shared" si="369"/>
        <v/>
      </c>
      <c r="BG214" s="421"/>
      <c r="BH214" s="59" t="str">
        <f t="shared" si="370"/>
        <v/>
      </c>
      <c r="BI214" s="60" t="str">
        <f t="shared" si="371"/>
        <v/>
      </c>
      <c r="BJ214" s="421"/>
      <c r="BK214" s="59" t="str">
        <f t="shared" si="372"/>
        <v/>
      </c>
      <c r="BL214" s="60" t="str">
        <f t="shared" si="373"/>
        <v/>
      </c>
      <c r="BM214" s="421"/>
      <c r="BN214" s="59" t="str">
        <f t="shared" si="374"/>
        <v/>
      </c>
      <c r="BO214" s="60" t="str">
        <f t="shared" si="375"/>
        <v/>
      </c>
      <c r="BP214" s="421"/>
      <c r="BQ214" s="59" t="str">
        <f t="shared" si="376"/>
        <v/>
      </c>
      <c r="BR214" s="60" t="str">
        <f t="shared" si="377"/>
        <v/>
      </c>
      <c r="BS214" s="421"/>
      <c r="BT214" s="59" t="str">
        <f t="shared" si="378"/>
        <v/>
      </c>
      <c r="BU214" s="60" t="str">
        <f t="shared" si="379"/>
        <v/>
      </c>
      <c r="BV214" s="421"/>
      <c r="BW214" s="59" t="str">
        <f t="shared" si="380"/>
        <v/>
      </c>
      <c r="BX214" s="60" t="str">
        <f t="shared" si="381"/>
        <v/>
      </c>
      <c r="BY214" s="421"/>
      <c r="BZ214" s="59" t="str">
        <f t="shared" si="382"/>
        <v/>
      </c>
      <c r="CA214" s="60" t="str">
        <f t="shared" si="383"/>
        <v/>
      </c>
      <c r="CB214" s="421"/>
      <c r="CC214" s="59" t="str">
        <f t="shared" si="384"/>
        <v/>
      </c>
      <c r="CD214" s="60" t="str">
        <f t="shared" si="385"/>
        <v/>
      </c>
      <c r="CE214" s="421"/>
      <c r="CF214" s="59" t="str">
        <f t="shared" si="386"/>
        <v/>
      </c>
      <c r="CG214" s="60" t="str">
        <f t="shared" si="387"/>
        <v/>
      </c>
      <c r="CH214" s="421"/>
      <c r="CI214" s="59" t="str">
        <f t="shared" si="388"/>
        <v/>
      </c>
      <c r="CJ214" s="60" t="str">
        <f t="shared" si="389"/>
        <v/>
      </c>
      <c r="CK214" s="421"/>
      <c r="CL214" s="59" t="str">
        <f t="shared" si="390"/>
        <v/>
      </c>
      <c r="CM214" s="60" t="str">
        <f t="shared" si="391"/>
        <v/>
      </c>
      <c r="CN214" s="421"/>
      <c r="CO214" s="59" t="str">
        <f t="shared" si="392"/>
        <v/>
      </c>
      <c r="CP214" s="60" t="str">
        <f t="shared" si="393"/>
        <v/>
      </c>
      <c r="CQ214" s="421"/>
      <c r="CR214" s="59" t="str">
        <f t="shared" si="394"/>
        <v/>
      </c>
      <c r="CS214" s="60" t="str">
        <f t="shared" si="395"/>
        <v/>
      </c>
      <c r="CT214" s="421"/>
      <c r="CU214" s="59" t="str">
        <f t="shared" si="396"/>
        <v/>
      </c>
      <c r="CV214" s="60" t="str">
        <f t="shared" si="397"/>
        <v/>
      </c>
      <c r="CW214" s="421"/>
      <c r="CX214" s="59" t="str">
        <f t="shared" si="398"/>
        <v/>
      </c>
      <c r="CY214" s="60" t="str">
        <f t="shared" si="399"/>
        <v/>
      </c>
      <c r="CZ214" s="421"/>
      <c r="DA214" s="59" t="str">
        <f t="shared" si="400"/>
        <v/>
      </c>
      <c r="DB214" s="60" t="str">
        <f t="shared" si="401"/>
        <v/>
      </c>
      <c r="DC214" s="421"/>
      <c r="DD214" s="59" t="str">
        <f t="shared" si="402"/>
        <v/>
      </c>
      <c r="DE214" s="60" t="str">
        <f t="shared" si="403"/>
        <v/>
      </c>
      <c r="DF214" s="421"/>
      <c r="DG214" s="59" t="str">
        <f t="shared" si="404"/>
        <v/>
      </c>
      <c r="DH214" s="60" t="str">
        <f t="shared" si="405"/>
        <v/>
      </c>
      <c r="DI214" s="421"/>
      <c r="DJ214" s="59" t="str">
        <f t="shared" si="406"/>
        <v/>
      </c>
      <c r="DK214" s="60" t="str">
        <f t="shared" si="407"/>
        <v/>
      </c>
      <c r="DL214" s="421"/>
      <c r="DM214" s="59" t="str">
        <f t="shared" si="408"/>
        <v/>
      </c>
      <c r="DN214" s="60" t="str">
        <f t="shared" si="409"/>
        <v/>
      </c>
      <c r="DO214" s="421"/>
      <c r="DP214" s="59" t="str">
        <f t="shared" si="410"/>
        <v/>
      </c>
      <c r="DQ214" s="60" t="str">
        <f t="shared" si="411"/>
        <v/>
      </c>
      <c r="DR214" s="421"/>
      <c r="DS214" s="59" t="str">
        <f t="shared" si="412"/>
        <v/>
      </c>
      <c r="DT214" s="60" t="str">
        <f t="shared" si="413"/>
        <v/>
      </c>
      <c r="DU214" s="421"/>
      <c r="DV214" s="59" t="str">
        <f t="shared" si="414"/>
        <v/>
      </c>
      <c r="DW214" s="60" t="str">
        <f t="shared" si="415"/>
        <v/>
      </c>
      <c r="DX214" s="161"/>
    </row>
    <row r="215" spans="2:128" ht="23.25" customHeight="1" x14ac:dyDescent="0.2">
      <c r="B215" s="716"/>
      <c r="C215" s="717"/>
      <c r="D215" s="717"/>
      <c r="E215" s="314">
        <f t="shared" si="252"/>
        <v>30</v>
      </c>
      <c r="F215" s="750" t="str">
        <f t="shared" si="335"/>
        <v/>
      </c>
      <c r="G215" s="751"/>
      <c r="H215" s="421"/>
      <c r="I215" s="59" t="str">
        <f t="shared" si="336"/>
        <v/>
      </c>
      <c r="J215" s="62" t="str">
        <f t="shared" si="337"/>
        <v/>
      </c>
      <c r="K215" s="421"/>
      <c r="L215" s="59" t="str">
        <f t="shared" si="338"/>
        <v/>
      </c>
      <c r="M215" s="62" t="str">
        <f t="shared" si="339"/>
        <v/>
      </c>
      <c r="N215" s="421"/>
      <c r="O215" s="59" t="str">
        <f t="shared" si="340"/>
        <v/>
      </c>
      <c r="P215" s="62" t="str">
        <f t="shared" si="341"/>
        <v/>
      </c>
      <c r="Q215" s="421"/>
      <c r="R215" s="59" t="str">
        <f t="shared" si="342"/>
        <v/>
      </c>
      <c r="S215" s="60" t="str">
        <f t="shared" si="343"/>
        <v/>
      </c>
      <c r="T215" s="421"/>
      <c r="U215" s="59" t="str">
        <f t="shared" si="344"/>
        <v/>
      </c>
      <c r="V215" s="60" t="str">
        <f t="shared" si="345"/>
        <v/>
      </c>
      <c r="W215" s="421"/>
      <c r="X215" s="59" t="str">
        <f t="shared" si="346"/>
        <v/>
      </c>
      <c r="Y215" s="60" t="str">
        <f t="shared" si="347"/>
        <v/>
      </c>
      <c r="Z215" s="421"/>
      <c r="AA215" s="59" t="str">
        <f t="shared" si="348"/>
        <v/>
      </c>
      <c r="AB215" s="60" t="str">
        <f t="shared" si="349"/>
        <v/>
      </c>
      <c r="AC215" s="421"/>
      <c r="AD215" s="59" t="str">
        <f t="shared" si="350"/>
        <v/>
      </c>
      <c r="AE215" s="60" t="str">
        <f t="shared" si="351"/>
        <v/>
      </c>
      <c r="AF215" s="421"/>
      <c r="AG215" s="59" t="str">
        <f t="shared" si="352"/>
        <v/>
      </c>
      <c r="AH215" s="60" t="str">
        <f t="shared" si="353"/>
        <v/>
      </c>
      <c r="AI215" s="421"/>
      <c r="AJ215" s="59" t="str">
        <f t="shared" si="354"/>
        <v/>
      </c>
      <c r="AK215" s="60" t="str">
        <f t="shared" si="355"/>
        <v/>
      </c>
      <c r="AL215" s="421"/>
      <c r="AM215" s="59" t="str">
        <f t="shared" si="356"/>
        <v/>
      </c>
      <c r="AN215" s="60" t="str">
        <f t="shared" si="357"/>
        <v/>
      </c>
      <c r="AO215" s="421"/>
      <c r="AP215" s="59" t="str">
        <f t="shared" si="358"/>
        <v/>
      </c>
      <c r="AQ215" s="60" t="str">
        <f t="shared" si="359"/>
        <v/>
      </c>
      <c r="AR215" s="421"/>
      <c r="AS215" s="59" t="str">
        <f t="shared" si="360"/>
        <v/>
      </c>
      <c r="AT215" s="60" t="str">
        <f t="shared" si="361"/>
        <v/>
      </c>
      <c r="AU215" s="421"/>
      <c r="AV215" s="59" t="str">
        <f t="shared" si="362"/>
        <v/>
      </c>
      <c r="AW215" s="60" t="str">
        <f t="shared" si="363"/>
        <v/>
      </c>
      <c r="AX215" s="421"/>
      <c r="AY215" s="59" t="str">
        <f t="shared" si="364"/>
        <v/>
      </c>
      <c r="AZ215" s="60" t="str">
        <f t="shared" si="365"/>
        <v/>
      </c>
      <c r="BA215" s="421"/>
      <c r="BB215" s="59" t="str">
        <f t="shared" si="366"/>
        <v/>
      </c>
      <c r="BC215" s="60" t="str">
        <f t="shared" si="367"/>
        <v/>
      </c>
      <c r="BD215" s="421"/>
      <c r="BE215" s="59" t="str">
        <f t="shared" si="368"/>
        <v/>
      </c>
      <c r="BF215" s="60" t="str">
        <f t="shared" si="369"/>
        <v/>
      </c>
      <c r="BG215" s="421"/>
      <c r="BH215" s="59" t="str">
        <f t="shared" si="370"/>
        <v/>
      </c>
      <c r="BI215" s="60" t="str">
        <f t="shared" si="371"/>
        <v/>
      </c>
      <c r="BJ215" s="421"/>
      <c r="BK215" s="59" t="str">
        <f t="shared" si="372"/>
        <v/>
      </c>
      <c r="BL215" s="60" t="str">
        <f t="shared" si="373"/>
        <v/>
      </c>
      <c r="BM215" s="421"/>
      <c r="BN215" s="59" t="str">
        <f t="shared" si="374"/>
        <v/>
      </c>
      <c r="BO215" s="60" t="str">
        <f t="shared" si="375"/>
        <v/>
      </c>
      <c r="BP215" s="421"/>
      <c r="BQ215" s="59" t="str">
        <f t="shared" si="376"/>
        <v/>
      </c>
      <c r="BR215" s="60" t="str">
        <f t="shared" si="377"/>
        <v/>
      </c>
      <c r="BS215" s="421"/>
      <c r="BT215" s="59" t="str">
        <f t="shared" si="378"/>
        <v/>
      </c>
      <c r="BU215" s="60" t="str">
        <f t="shared" si="379"/>
        <v/>
      </c>
      <c r="BV215" s="421"/>
      <c r="BW215" s="59" t="str">
        <f t="shared" si="380"/>
        <v/>
      </c>
      <c r="BX215" s="60" t="str">
        <f t="shared" si="381"/>
        <v/>
      </c>
      <c r="BY215" s="421"/>
      <c r="BZ215" s="59" t="str">
        <f t="shared" si="382"/>
        <v/>
      </c>
      <c r="CA215" s="60" t="str">
        <f t="shared" si="383"/>
        <v/>
      </c>
      <c r="CB215" s="421"/>
      <c r="CC215" s="59" t="str">
        <f t="shared" si="384"/>
        <v/>
      </c>
      <c r="CD215" s="60" t="str">
        <f t="shared" si="385"/>
        <v/>
      </c>
      <c r="CE215" s="421"/>
      <c r="CF215" s="59" t="str">
        <f t="shared" si="386"/>
        <v/>
      </c>
      <c r="CG215" s="60" t="str">
        <f t="shared" si="387"/>
        <v/>
      </c>
      <c r="CH215" s="421"/>
      <c r="CI215" s="59" t="str">
        <f t="shared" si="388"/>
        <v/>
      </c>
      <c r="CJ215" s="60" t="str">
        <f t="shared" si="389"/>
        <v/>
      </c>
      <c r="CK215" s="421"/>
      <c r="CL215" s="59" t="str">
        <f t="shared" si="390"/>
        <v/>
      </c>
      <c r="CM215" s="60" t="str">
        <f t="shared" si="391"/>
        <v/>
      </c>
      <c r="CN215" s="421"/>
      <c r="CO215" s="59" t="str">
        <f t="shared" si="392"/>
        <v/>
      </c>
      <c r="CP215" s="60" t="str">
        <f t="shared" si="393"/>
        <v/>
      </c>
      <c r="CQ215" s="421"/>
      <c r="CR215" s="59" t="str">
        <f t="shared" si="394"/>
        <v/>
      </c>
      <c r="CS215" s="60" t="str">
        <f t="shared" si="395"/>
        <v/>
      </c>
      <c r="CT215" s="421"/>
      <c r="CU215" s="59" t="str">
        <f t="shared" si="396"/>
        <v/>
      </c>
      <c r="CV215" s="60" t="str">
        <f t="shared" si="397"/>
        <v/>
      </c>
      <c r="CW215" s="421"/>
      <c r="CX215" s="59" t="str">
        <f t="shared" si="398"/>
        <v/>
      </c>
      <c r="CY215" s="60" t="str">
        <f t="shared" si="399"/>
        <v/>
      </c>
      <c r="CZ215" s="421"/>
      <c r="DA215" s="59" t="str">
        <f t="shared" si="400"/>
        <v/>
      </c>
      <c r="DB215" s="60" t="str">
        <f t="shared" si="401"/>
        <v/>
      </c>
      <c r="DC215" s="421"/>
      <c r="DD215" s="59" t="str">
        <f t="shared" si="402"/>
        <v/>
      </c>
      <c r="DE215" s="60" t="str">
        <f t="shared" si="403"/>
        <v/>
      </c>
      <c r="DF215" s="421"/>
      <c r="DG215" s="59" t="str">
        <f t="shared" si="404"/>
        <v/>
      </c>
      <c r="DH215" s="60" t="str">
        <f t="shared" si="405"/>
        <v/>
      </c>
      <c r="DI215" s="421"/>
      <c r="DJ215" s="59" t="str">
        <f t="shared" si="406"/>
        <v/>
      </c>
      <c r="DK215" s="60" t="str">
        <f t="shared" si="407"/>
        <v/>
      </c>
      <c r="DL215" s="421"/>
      <c r="DM215" s="59" t="str">
        <f t="shared" si="408"/>
        <v/>
      </c>
      <c r="DN215" s="60" t="str">
        <f t="shared" si="409"/>
        <v/>
      </c>
      <c r="DO215" s="421"/>
      <c r="DP215" s="59" t="str">
        <f t="shared" si="410"/>
        <v/>
      </c>
      <c r="DQ215" s="60" t="str">
        <f t="shared" si="411"/>
        <v/>
      </c>
      <c r="DR215" s="421"/>
      <c r="DS215" s="59" t="str">
        <f t="shared" si="412"/>
        <v/>
      </c>
      <c r="DT215" s="60" t="str">
        <f t="shared" si="413"/>
        <v/>
      </c>
      <c r="DU215" s="421"/>
      <c r="DV215" s="59" t="str">
        <f t="shared" si="414"/>
        <v/>
      </c>
      <c r="DW215" s="60" t="str">
        <f t="shared" si="415"/>
        <v/>
      </c>
      <c r="DX215" s="161"/>
    </row>
    <row r="216" spans="2:128" ht="23.25" customHeight="1" x14ac:dyDescent="0.2">
      <c r="B216" s="716"/>
      <c r="C216" s="717"/>
      <c r="D216" s="717"/>
      <c r="E216" s="314">
        <f t="shared" si="252"/>
        <v>31</v>
      </c>
      <c r="F216" s="750" t="str">
        <f t="shared" si="335"/>
        <v/>
      </c>
      <c r="G216" s="751"/>
      <c r="H216" s="421"/>
      <c r="I216" s="59" t="str">
        <f t="shared" si="336"/>
        <v/>
      </c>
      <c r="J216" s="62" t="str">
        <f t="shared" si="337"/>
        <v/>
      </c>
      <c r="K216" s="421"/>
      <c r="L216" s="59" t="str">
        <f t="shared" si="338"/>
        <v/>
      </c>
      <c r="M216" s="62" t="str">
        <f t="shared" si="339"/>
        <v/>
      </c>
      <c r="N216" s="421"/>
      <c r="O216" s="59" t="str">
        <f t="shared" si="340"/>
        <v/>
      </c>
      <c r="P216" s="62" t="str">
        <f t="shared" si="341"/>
        <v/>
      </c>
      <c r="Q216" s="421"/>
      <c r="R216" s="59" t="str">
        <f t="shared" si="342"/>
        <v/>
      </c>
      <c r="S216" s="60" t="str">
        <f t="shared" si="343"/>
        <v/>
      </c>
      <c r="T216" s="421"/>
      <c r="U216" s="59" t="str">
        <f t="shared" si="344"/>
        <v/>
      </c>
      <c r="V216" s="60" t="str">
        <f t="shared" si="345"/>
        <v/>
      </c>
      <c r="W216" s="421"/>
      <c r="X216" s="59" t="str">
        <f t="shared" si="346"/>
        <v/>
      </c>
      <c r="Y216" s="60" t="str">
        <f t="shared" si="347"/>
        <v/>
      </c>
      <c r="Z216" s="421"/>
      <c r="AA216" s="59" t="str">
        <f t="shared" si="348"/>
        <v/>
      </c>
      <c r="AB216" s="60" t="str">
        <f t="shared" si="349"/>
        <v/>
      </c>
      <c r="AC216" s="421"/>
      <c r="AD216" s="59" t="str">
        <f t="shared" si="350"/>
        <v/>
      </c>
      <c r="AE216" s="60" t="str">
        <f t="shared" si="351"/>
        <v/>
      </c>
      <c r="AF216" s="421"/>
      <c r="AG216" s="59" t="str">
        <f t="shared" si="352"/>
        <v/>
      </c>
      <c r="AH216" s="60" t="str">
        <f t="shared" si="353"/>
        <v/>
      </c>
      <c r="AI216" s="421"/>
      <c r="AJ216" s="59" t="str">
        <f t="shared" si="354"/>
        <v/>
      </c>
      <c r="AK216" s="60" t="str">
        <f t="shared" si="355"/>
        <v/>
      </c>
      <c r="AL216" s="421"/>
      <c r="AM216" s="59" t="str">
        <f t="shared" si="356"/>
        <v/>
      </c>
      <c r="AN216" s="60" t="str">
        <f t="shared" si="357"/>
        <v/>
      </c>
      <c r="AO216" s="421"/>
      <c r="AP216" s="59" t="str">
        <f t="shared" si="358"/>
        <v/>
      </c>
      <c r="AQ216" s="60" t="str">
        <f t="shared" si="359"/>
        <v/>
      </c>
      <c r="AR216" s="421"/>
      <c r="AS216" s="59" t="str">
        <f t="shared" si="360"/>
        <v/>
      </c>
      <c r="AT216" s="60" t="str">
        <f t="shared" si="361"/>
        <v/>
      </c>
      <c r="AU216" s="421"/>
      <c r="AV216" s="59" t="str">
        <f t="shared" si="362"/>
        <v/>
      </c>
      <c r="AW216" s="60" t="str">
        <f t="shared" si="363"/>
        <v/>
      </c>
      <c r="AX216" s="421"/>
      <c r="AY216" s="59" t="str">
        <f t="shared" si="364"/>
        <v/>
      </c>
      <c r="AZ216" s="60" t="str">
        <f t="shared" si="365"/>
        <v/>
      </c>
      <c r="BA216" s="421"/>
      <c r="BB216" s="59" t="str">
        <f t="shared" si="366"/>
        <v/>
      </c>
      <c r="BC216" s="60" t="str">
        <f t="shared" si="367"/>
        <v/>
      </c>
      <c r="BD216" s="421"/>
      <c r="BE216" s="59" t="str">
        <f t="shared" si="368"/>
        <v/>
      </c>
      <c r="BF216" s="60" t="str">
        <f t="shared" si="369"/>
        <v/>
      </c>
      <c r="BG216" s="421"/>
      <c r="BH216" s="59" t="str">
        <f t="shared" si="370"/>
        <v/>
      </c>
      <c r="BI216" s="60" t="str">
        <f t="shared" si="371"/>
        <v/>
      </c>
      <c r="BJ216" s="421"/>
      <c r="BK216" s="59" t="str">
        <f t="shared" si="372"/>
        <v/>
      </c>
      <c r="BL216" s="60" t="str">
        <f t="shared" si="373"/>
        <v/>
      </c>
      <c r="BM216" s="421"/>
      <c r="BN216" s="59" t="str">
        <f t="shared" si="374"/>
        <v/>
      </c>
      <c r="BO216" s="60" t="str">
        <f t="shared" si="375"/>
        <v/>
      </c>
      <c r="BP216" s="421"/>
      <c r="BQ216" s="59" t="str">
        <f t="shared" si="376"/>
        <v/>
      </c>
      <c r="BR216" s="60" t="str">
        <f t="shared" si="377"/>
        <v/>
      </c>
      <c r="BS216" s="421"/>
      <c r="BT216" s="59" t="str">
        <f t="shared" si="378"/>
        <v/>
      </c>
      <c r="BU216" s="60" t="str">
        <f t="shared" si="379"/>
        <v/>
      </c>
      <c r="BV216" s="421"/>
      <c r="BW216" s="59" t="str">
        <f t="shared" si="380"/>
        <v/>
      </c>
      <c r="BX216" s="60" t="str">
        <f t="shared" si="381"/>
        <v/>
      </c>
      <c r="BY216" s="421"/>
      <c r="BZ216" s="59" t="str">
        <f t="shared" si="382"/>
        <v/>
      </c>
      <c r="CA216" s="60" t="str">
        <f t="shared" si="383"/>
        <v/>
      </c>
      <c r="CB216" s="421"/>
      <c r="CC216" s="59" t="str">
        <f t="shared" si="384"/>
        <v/>
      </c>
      <c r="CD216" s="60" t="str">
        <f t="shared" si="385"/>
        <v/>
      </c>
      <c r="CE216" s="421"/>
      <c r="CF216" s="59" t="str">
        <f t="shared" si="386"/>
        <v/>
      </c>
      <c r="CG216" s="60" t="str">
        <f t="shared" si="387"/>
        <v/>
      </c>
      <c r="CH216" s="421"/>
      <c r="CI216" s="59" t="str">
        <f t="shared" si="388"/>
        <v/>
      </c>
      <c r="CJ216" s="60" t="str">
        <f t="shared" si="389"/>
        <v/>
      </c>
      <c r="CK216" s="421"/>
      <c r="CL216" s="59" t="str">
        <f t="shared" si="390"/>
        <v/>
      </c>
      <c r="CM216" s="60" t="str">
        <f t="shared" si="391"/>
        <v/>
      </c>
      <c r="CN216" s="421"/>
      <c r="CO216" s="59" t="str">
        <f t="shared" si="392"/>
        <v/>
      </c>
      <c r="CP216" s="60" t="str">
        <f t="shared" si="393"/>
        <v/>
      </c>
      <c r="CQ216" s="421"/>
      <c r="CR216" s="59" t="str">
        <f t="shared" si="394"/>
        <v/>
      </c>
      <c r="CS216" s="60" t="str">
        <f t="shared" si="395"/>
        <v/>
      </c>
      <c r="CT216" s="421"/>
      <c r="CU216" s="59" t="str">
        <f t="shared" si="396"/>
        <v/>
      </c>
      <c r="CV216" s="60" t="str">
        <f t="shared" si="397"/>
        <v/>
      </c>
      <c r="CW216" s="421"/>
      <c r="CX216" s="59" t="str">
        <f t="shared" si="398"/>
        <v/>
      </c>
      <c r="CY216" s="60" t="str">
        <f t="shared" si="399"/>
        <v/>
      </c>
      <c r="CZ216" s="421"/>
      <c r="DA216" s="59" t="str">
        <f t="shared" si="400"/>
        <v/>
      </c>
      <c r="DB216" s="60" t="str">
        <f t="shared" si="401"/>
        <v/>
      </c>
      <c r="DC216" s="421"/>
      <c r="DD216" s="59" t="str">
        <f t="shared" si="402"/>
        <v/>
      </c>
      <c r="DE216" s="60" t="str">
        <f t="shared" si="403"/>
        <v/>
      </c>
      <c r="DF216" s="421"/>
      <c r="DG216" s="59" t="str">
        <f t="shared" si="404"/>
        <v/>
      </c>
      <c r="DH216" s="60" t="str">
        <f t="shared" si="405"/>
        <v/>
      </c>
      <c r="DI216" s="421"/>
      <c r="DJ216" s="59" t="str">
        <f t="shared" si="406"/>
        <v/>
      </c>
      <c r="DK216" s="60" t="str">
        <f t="shared" si="407"/>
        <v/>
      </c>
      <c r="DL216" s="421"/>
      <c r="DM216" s="59" t="str">
        <f t="shared" si="408"/>
        <v/>
      </c>
      <c r="DN216" s="60" t="str">
        <f t="shared" si="409"/>
        <v/>
      </c>
      <c r="DO216" s="421"/>
      <c r="DP216" s="59" t="str">
        <f t="shared" si="410"/>
        <v/>
      </c>
      <c r="DQ216" s="60" t="str">
        <f t="shared" si="411"/>
        <v/>
      </c>
      <c r="DR216" s="421"/>
      <c r="DS216" s="59" t="str">
        <f t="shared" si="412"/>
        <v/>
      </c>
      <c r="DT216" s="60" t="str">
        <f t="shared" si="413"/>
        <v/>
      </c>
      <c r="DU216" s="421"/>
      <c r="DV216" s="59" t="str">
        <f t="shared" si="414"/>
        <v/>
      </c>
      <c r="DW216" s="60" t="str">
        <f t="shared" si="415"/>
        <v/>
      </c>
      <c r="DX216" s="161"/>
    </row>
    <row r="217" spans="2:128" ht="23.25" customHeight="1" x14ac:dyDescent="0.2">
      <c r="B217" s="716"/>
      <c r="C217" s="717"/>
      <c r="D217" s="717"/>
      <c r="E217" s="314">
        <f t="shared" si="252"/>
        <v>32</v>
      </c>
      <c r="F217" s="750" t="str">
        <f t="shared" si="335"/>
        <v/>
      </c>
      <c r="G217" s="751"/>
      <c r="H217" s="421"/>
      <c r="I217" s="59" t="str">
        <f t="shared" si="336"/>
        <v/>
      </c>
      <c r="J217" s="62" t="str">
        <f t="shared" si="337"/>
        <v/>
      </c>
      <c r="K217" s="421"/>
      <c r="L217" s="59" t="str">
        <f t="shared" si="338"/>
        <v/>
      </c>
      <c r="M217" s="62" t="str">
        <f t="shared" si="339"/>
        <v/>
      </c>
      <c r="N217" s="421"/>
      <c r="O217" s="59" t="str">
        <f t="shared" si="340"/>
        <v/>
      </c>
      <c r="P217" s="62" t="str">
        <f t="shared" si="341"/>
        <v/>
      </c>
      <c r="Q217" s="421"/>
      <c r="R217" s="59" t="str">
        <f t="shared" si="342"/>
        <v/>
      </c>
      <c r="S217" s="60" t="str">
        <f t="shared" si="343"/>
        <v/>
      </c>
      <c r="T217" s="421"/>
      <c r="U217" s="59" t="str">
        <f t="shared" si="344"/>
        <v/>
      </c>
      <c r="V217" s="60" t="str">
        <f t="shared" si="345"/>
        <v/>
      </c>
      <c r="W217" s="421"/>
      <c r="X217" s="59" t="str">
        <f t="shared" si="346"/>
        <v/>
      </c>
      <c r="Y217" s="60" t="str">
        <f t="shared" si="347"/>
        <v/>
      </c>
      <c r="Z217" s="421"/>
      <c r="AA217" s="59" t="str">
        <f t="shared" si="348"/>
        <v/>
      </c>
      <c r="AB217" s="60" t="str">
        <f t="shared" si="349"/>
        <v/>
      </c>
      <c r="AC217" s="421"/>
      <c r="AD217" s="59" t="str">
        <f t="shared" si="350"/>
        <v/>
      </c>
      <c r="AE217" s="60" t="str">
        <f t="shared" si="351"/>
        <v/>
      </c>
      <c r="AF217" s="421"/>
      <c r="AG217" s="59" t="str">
        <f t="shared" si="352"/>
        <v/>
      </c>
      <c r="AH217" s="60" t="str">
        <f t="shared" si="353"/>
        <v/>
      </c>
      <c r="AI217" s="421"/>
      <c r="AJ217" s="59" t="str">
        <f t="shared" si="354"/>
        <v/>
      </c>
      <c r="AK217" s="60" t="str">
        <f t="shared" si="355"/>
        <v/>
      </c>
      <c r="AL217" s="421"/>
      <c r="AM217" s="59" t="str">
        <f t="shared" si="356"/>
        <v/>
      </c>
      <c r="AN217" s="60" t="str">
        <f t="shared" si="357"/>
        <v/>
      </c>
      <c r="AO217" s="421"/>
      <c r="AP217" s="59" t="str">
        <f t="shared" si="358"/>
        <v/>
      </c>
      <c r="AQ217" s="60" t="str">
        <f t="shared" si="359"/>
        <v/>
      </c>
      <c r="AR217" s="421"/>
      <c r="AS217" s="59" t="str">
        <f t="shared" si="360"/>
        <v/>
      </c>
      <c r="AT217" s="60" t="str">
        <f t="shared" si="361"/>
        <v/>
      </c>
      <c r="AU217" s="421"/>
      <c r="AV217" s="59" t="str">
        <f t="shared" si="362"/>
        <v/>
      </c>
      <c r="AW217" s="60" t="str">
        <f t="shared" si="363"/>
        <v/>
      </c>
      <c r="AX217" s="421"/>
      <c r="AY217" s="59" t="str">
        <f t="shared" si="364"/>
        <v/>
      </c>
      <c r="AZ217" s="60" t="str">
        <f t="shared" si="365"/>
        <v/>
      </c>
      <c r="BA217" s="421"/>
      <c r="BB217" s="59" t="str">
        <f t="shared" si="366"/>
        <v/>
      </c>
      <c r="BC217" s="60" t="str">
        <f t="shared" si="367"/>
        <v/>
      </c>
      <c r="BD217" s="421"/>
      <c r="BE217" s="59" t="str">
        <f t="shared" si="368"/>
        <v/>
      </c>
      <c r="BF217" s="60" t="str">
        <f t="shared" si="369"/>
        <v/>
      </c>
      <c r="BG217" s="421"/>
      <c r="BH217" s="59" t="str">
        <f t="shared" si="370"/>
        <v/>
      </c>
      <c r="BI217" s="60" t="str">
        <f t="shared" si="371"/>
        <v/>
      </c>
      <c r="BJ217" s="421"/>
      <c r="BK217" s="59" t="str">
        <f t="shared" si="372"/>
        <v/>
      </c>
      <c r="BL217" s="60" t="str">
        <f t="shared" si="373"/>
        <v/>
      </c>
      <c r="BM217" s="421"/>
      <c r="BN217" s="59" t="str">
        <f t="shared" si="374"/>
        <v/>
      </c>
      <c r="BO217" s="60" t="str">
        <f t="shared" si="375"/>
        <v/>
      </c>
      <c r="BP217" s="421"/>
      <c r="BQ217" s="59" t="str">
        <f t="shared" si="376"/>
        <v/>
      </c>
      <c r="BR217" s="60" t="str">
        <f t="shared" si="377"/>
        <v/>
      </c>
      <c r="BS217" s="421"/>
      <c r="BT217" s="59" t="str">
        <f t="shared" si="378"/>
        <v/>
      </c>
      <c r="BU217" s="60" t="str">
        <f t="shared" si="379"/>
        <v/>
      </c>
      <c r="BV217" s="421"/>
      <c r="BW217" s="59" t="str">
        <f t="shared" si="380"/>
        <v/>
      </c>
      <c r="BX217" s="60" t="str">
        <f t="shared" si="381"/>
        <v/>
      </c>
      <c r="BY217" s="421"/>
      <c r="BZ217" s="59" t="str">
        <f t="shared" si="382"/>
        <v/>
      </c>
      <c r="CA217" s="60" t="str">
        <f t="shared" si="383"/>
        <v/>
      </c>
      <c r="CB217" s="421"/>
      <c r="CC217" s="59" t="str">
        <f t="shared" si="384"/>
        <v/>
      </c>
      <c r="CD217" s="60" t="str">
        <f t="shared" si="385"/>
        <v/>
      </c>
      <c r="CE217" s="421"/>
      <c r="CF217" s="59" t="str">
        <f t="shared" si="386"/>
        <v/>
      </c>
      <c r="CG217" s="60" t="str">
        <f t="shared" si="387"/>
        <v/>
      </c>
      <c r="CH217" s="421"/>
      <c r="CI217" s="59" t="str">
        <f t="shared" si="388"/>
        <v/>
      </c>
      <c r="CJ217" s="60" t="str">
        <f t="shared" si="389"/>
        <v/>
      </c>
      <c r="CK217" s="421"/>
      <c r="CL217" s="59" t="str">
        <f t="shared" si="390"/>
        <v/>
      </c>
      <c r="CM217" s="60" t="str">
        <f t="shared" si="391"/>
        <v/>
      </c>
      <c r="CN217" s="421"/>
      <c r="CO217" s="59" t="str">
        <f t="shared" si="392"/>
        <v/>
      </c>
      <c r="CP217" s="60" t="str">
        <f t="shared" si="393"/>
        <v/>
      </c>
      <c r="CQ217" s="421"/>
      <c r="CR217" s="59" t="str">
        <f t="shared" si="394"/>
        <v/>
      </c>
      <c r="CS217" s="60" t="str">
        <f t="shared" si="395"/>
        <v/>
      </c>
      <c r="CT217" s="421"/>
      <c r="CU217" s="59" t="str">
        <f t="shared" si="396"/>
        <v/>
      </c>
      <c r="CV217" s="60" t="str">
        <f t="shared" si="397"/>
        <v/>
      </c>
      <c r="CW217" s="421"/>
      <c r="CX217" s="59" t="str">
        <f t="shared" si="398"/>
        <v/>
      </c>
      <c r="CY217" s="60" t="str">
        <f t="shared" si="399"/>
        <v/>
      </c>
      <c r="CZ217" s="421"/>
      <c r="DA217" s="59" t="str">
        <f t="shared" si="400"/>
        <v/>
      </c>
      <c r="DB217" s="60" t="str">
        <f t="shared" si="401"/>
        <v/>
      </c>
      <c r="DC217" s="421"/>
      <c r="DD217" s="59" t="str">
        <f t="shared" si="402"/>
        <v/>
      </c>
      <c r="DE217" s="60" t="str">
        <f t="shared" si="403"/>
        <v/>
      </c>
      <c r="DF217" s="421"/>
      <c r="DG217" s="59" t="str">
        <f t="shared" si="404"/>
        <v/>
      </c>
      <c r="DH217" s="60" t="str">
        <f t="shared" si="405"/>
        <v/>
      </c>
      <c r="DI217" s="421"/>
      <c r="DJ217" s="59" t="str">
        <f t="shared" si="406"/>
        <v/>
      </c>
      <c r="DK217" s="60" t="str">
        <f t="shared" si="407"/>
        <v/>
      </c>
      <c r="DL217" s="421"/>
      <c r="DM217" s="59" t="str">
        <f t="shared" si="408"/>
        <v/>
      </c>
      <c r="DN217" s="60" t="str">
        <f t="shared" si="409"/>
        <v/>
      </c>
      <c r="DO217" s="421"/>
      <c r="DP217" s="59" t="str">
        <f t="shared" si="410"/>
        <v/>
      </c>
      <c r="DQ217" s="60" t="str">
        <f t="shared" si="411"/>
        <v/>
      </c>
      <c r="DR217" s="421"/>
      <c r="DS217" s="59" t="str">
        <f t="shared" si="412"/>
        <v/>
      </c>
      <c r="DT217" s="60" t="str">
        <f t="shared" si="413"/>
        <v/>
      </c>
      <c r="DU217" s="421"/>
      <c r="DV217" s="59" t="str">
        <f t="shared" si="414"/>
        <v/>
      </c>
      <c r="DW217" s="60" t="str">
        <f t="shared" si="415"/>
        <v/>
      </c>
      <c r="DX217" s="161"/>
    </row>
    <row r="218" spans="2:128" ht="23.25" customHeight="1" x14ac:dyDescent="0.2">
      <c r="B218" s="716"/>
      <c r="C218" s="717"/>
      <c r="D218" s="717"/>
      <c r="E218" s="314">
        <f t="shared" si="252"/>
        <v>33</v>
      </c>
      <c r="F218" s="750" t="str">
        <f t="shared" si="335"/>
        <v/>
      </c>
      <c r="G218" s="751"/>
      <c r="H218" s="421"/>
      <c r="I218" s="59" t="str">
        <f t="shared" si="336"/>
        <v/>
      </c>
      <c r="J218" s="62" t="str">
        <f t="shared" si="337"/>
        <v/>
      </c>
      <c r="K218" s="421"/>
      <c r="L218" s="59" t="str">
        <f t="shared" si="338"/>
        <v/>
      </c>
      <c r="M218" s="62" t="str">
        <f t="shared" si="339"/>
        <v/>
      </c>
      <c r="N218" s="421"/>
      <c r="O218" s="59" t="str">
        <f t="shared" si="340"/>
        <v/>
      </c>
      <c r="P218" s="62" t="str">
        <f t="shared" si="341"/>
        <v/>
      </c>
      <c r="Q218" s="421"/>
      <c r="R218" s="59" t="str">
        <f t="shared" si="342"/>
        <v/>
      </c>
      <c r="S218" s="60" t="str">
        <f t="shared" si="343"/>
        <v/>
      </c>
      <c r="T218" s="421"/>
      <c r="U218" s="59" t="str">
        <f t="shared" si="344"/>
        <v/>
      </c>
      <c r="V218" s="60" t="str">
        <f t="shared" si="345"/>
        <v/>
      </c>
      <c r="W218" s="421"/>
      <c r="X218" s="59" t="str">
        <f t="shared" si="346"/>
        <v/>
      </c>
      <c r="Y218" s="60" t="str">
        <f t="shared" si="347"/>
        <v/>
      </c>
      <c r="Z218" s="421"/>
      <c r="AA218" s="59" t="str">
        <f t="shared" si="348"/>
        <v/>
      </c>
      <c r="AB218" s="60" t="str">
        <f t="shared" si="349"/>
        <v/>
      </c>
      <c r="AC218" s="421"/>
      <c r="AD218" s="59" t="str">
        <f t="shared" si="350"/>
        <v/>
      </c>
      <c r="AE218" s="60" t="str">
        <f t="shared" si="351"/>
        <v/>
      </c>
      <c r="AF218" s="421"/>
      <c r="AG218" s="59" t="str">
        <f t="shared" si="352"/>
        <v/>
      </c>
      <c r="AH218" s="60" t="str">
        <f t="shared" si="353"/>
        <v/>
      </c>
      <c r="AI218" s="421"/>
      <c r="AJ218" s="59" t="str">
        <f t="shared" si="354"/>
        <v/>
      </c>
      <c r="AK218" s="60" t="str">
        <f t="shared" si="355"/>
        <v/>
      </c>
      <c r="AL218" s="421"/>
      <c r="AM218" s="59" t="str">
        <f t="shared" si="356"/>
        <v/>
      </c>
      <c r="AN218" s="60" t="str">
        <f t="shared" si="357"/>
        <v/>
      </c>
      <c r="AO218" s="421"/>
      <c r="AP218" s="59" t="str">
        <f t="shared" si="358"/>
        <v/>
      </c>
      <c r="AQ218" s="60" t="str">
        <f t="shared" si="359"/>
        <v/>
      </c>
      <c r="AR218" s="421"/>
      <c r="AS218" s="59" t="str">
        <f t="shared" si="360"/>
        <v/>
      </c>
      <c r="AT218" s="60" t="str">
        <f t="shared" si="361"/>
        <v/>
      </c>
      <c r="AU218" s="421"/>
      <c r="AV218" s="59" t="str">
        <f t="shared" si="362"/>
        <v/>
      </c>
      <c r="AW218" s="60" t="str">
        <f t="shared" si="363"/>
        <v/>
      </c>
      <c r="AX218" s="421"/>
      <c r="AY218" s="59" t="str">
        <f t="shared" si="364"/>
        <v/>
      </c>
      <c r="AZ218" s="60" t="str">
        <f t="shared" si="365"/>
        <v/>
      </c>
      <c r="BA218" s="421"/>
      <c r="BB218" s="59" t="str">
        <f t="shared" si="366"/>
        <v/>
      </c>
      <c r="BC218" s="60" t="str">
        <f t="shared" si="367"/>
        <v/>
      </c>
      <c r="BD218" s="421"/>
      <c r="BE218" s="59" t="str">
        <f t="shared" si="368"/>
        <v/>
      </c>
      <c r="BF218" s="60" t="str">
        <f t="shared" si="369"/>
        <v/>
      </c>
      <c r="BG218" s="421"/>
      <c r="BH218" s="59" t="str">
        <f t="shared" si="370"/>
        <v/>
      </c>
      <c r="BI218" s="60" t="str">
        <f t="shared" si="371"/>
        <v/>
      </c>
      <c r="BJ218" s="421"/>
      <c r="BK218" s="59" t="str">
        <f t="shared" si="372"/>
        <v/>
      </c>
      <c r="BL218" s="60" t="str">
        <f t="shared" si="373"/>
        <v/>
      </c>
      <c r="BM218" s="421"/>
      <c r="BN218" s="59" t="str">
        <f t="shared" si="374"/>
        <v/>
      </c>
      <c r="BO218" s="60" t="str">
        <f t="shared" si="375"/>
        <v/>
      </c>
      <c r="BP218" s="421"/>
      <c r="BQ218" s="59" t="str">
        <f t="shared" si="376"/>
        <v/>
      </c>
      <c r="BR218" s="60" t="str">
        <f t="shared" si="377"/>
        <v/>
      </c>
      <c r="BS218" s="421"/>
      <c r="BT218" s="59" t="str">
        <f t="shared" si="378"/>
        <v/>
      </c>
      <c r="BU218" s="60" t="str">
        <f t="shared" si="379"/>
        <v/>
      </c>
      <c r="BV218" s="421"/>
      <c r="BW218" s="59" t="str">
        <f t="shared" si="380"/>
        <v/>
      </c>
      <c r="BX218" s="60" t="str">
        <f t="shared" si="381"/>
        <v/>
      </c>
      <c r="BY218" s="421"/>
      <c r="BZ218" s="59" t="str">
        <f t="shared" si="382"/>
        <v/>
      </c>
      <c r="CA218" s="60" t="str">
        <f t="shared" si="383"/>
        <v/>
      </c>
      <c r="CB218" s="421"/>
      <c r="CC218" s="59" t="str">
        <f t="shared" si="384"/>
        <v/>
      </c>
      <c r="CD218" s="60" t="str">
        <f t="shared" si="385"/>
        <v/>
      </c>
      <c r="CE218" s="421"/>
      <c r="CF218" s="59" t="str">
        <f t="shared" si="386"/>
        <v/>
      </c>
      <c r="CG218" s="60" t="str">
        <f t="shared" si="387"/>
        <v/>
      </c>
      <c r="CH218" s="421"/>
      <c r="CI218" s="59" t="str">
        <f t="shared" si="388"/>
        <v/>
      </c>
      <c r="CJ218" s="60" t="str">
        <f t="shared" si="389"/>
        <v/>
      </c>
      <c r="CK218" s="421"/>
      <c r="CL218" s="59" t="str">
        <f t="shared" si="390"/>
        <v/>
      </c>
      <c r="CM218" s="60" t="str">
        <f t="shared" si="391"/>
        <v/>
      </c>
      <c r="CN218" s="421"/>
      <c r="CO218" s="59" t="str">
        <f t="shared" si="392"/>
        <v/>
      </c>
      <c r="CP218" s="60" t="str">
        <f t="shared" si="393"/>
        <v/>
      </c>
      <c r="CQ218" s="421"/>
      <c r="CR218" s="59" t="str">
        <f t="shared" si="394"/>
        <v/>
      </c>
      <c r="CS218" s="60" t="str">
        <f t="shared" si="395"/>
        <v/>
      </c>
      <c r="CT218" s="421"/>
      <c r="CU218" s="59" t="str">
        <f t="shared" si="396"/>
        <v/>
      </c>
      <c r="CV218" s="60" t="str">
        <f t="shared" si="397"/>
        <v/>
      </c>
      <c r="CW218" s="421"/>
      <c r="CX218" s="59" t="str">
        <f t="shared" si="398"/>
        <v/>
      </c>
      <c r="CY218" s="60" t="str">
        <f t="shared" si="399"/>
        <v/>
      </c>
      <c r="CZ218" s="421"/>
      <c r="DA218" s="59" t="str">
        <f t="shared" si="400"/>
        <v/>
      </c>
      <c r="DB218" s="60" t="str">
        <f t="shared" si="401"/>
        <v/>
      </c>
      <c r="DC218" s="421"/>
      <c r="DD218" s="59" t="str">
        <f t="shared" si="402"/>
        <v/>
      </c>
      <c r="DE218" s="60" t="str">
        <f t="shared" si="403"/>
        <v/>
      </c>
      <c r="DF218" s="421"/>
      <c r="DG218" s="59" t="str">
        <f t="shared" si="404"/>
        <v/>
      </c>
      <c r="DH218" s="60" t="str">
        <f t="shared" si="405"/>
        <v/>
      </c>
      <c r="DI218" s="421"/>
      <c r="DJ218" s="59" t="str">
        <f t="shared" si="406"/>
        <v/>
      </c>
      <c r="DK218" s="60" t="str">
        <f t="shared" si="407"/>
        <v/>
      </c>
      <c r="DL218" s="421"/>
      <c r="DM218" s="59" t="str">
        <f t="shared" si="408"/>
        <v/>
      </c>
      <c r="DN218" s="60" t="str">
        <f t="shared" si="409"/>
        <v/>
      </c>
      <c r="DO218" s="421"/>
      <c r="DP218" s="59" t="str">
        <f t="shared" si="410"/>
        <v/>
      </c>
      <c r="DQ218" s="60" t="str">
        <f t="shared" si="411"/>
        <v/>
      </c>
      <c r="DR218" s="421"/>
      <c r="DS218" s="59" t="str">
        <f t="shared" si="412"/>
        <v/>
      </c>
      <c r="DT218" s="60" t="str">
        <f t="shared" si="413"/>
        <v/>
      </c>
      <c r="DU218" s="421"/>
      <c r="DV218" s="59" t="str">
        <f t="shared" si="414"/>
        <v/>
      </c>
      <c r="DW218" s="60" t="str">
        <f t="shared" si="415"/>
        <v/>
      </c>
      <c r="DX218" s="161"/>
    </row>
    <row r="219" spans="2:128" ht="23.25" customHeight="1" x14ac:dyDescent="0.2">
      <c r="B219" s="716"/>
      <c r="C219" s="717"/>
      <c r="D219" s="717"/>
      <c r="E219" s="314">
        <f t="shared" si="252"/>
        <v>34</v>
      </c>
      <c r="F219" s="750" t="str">
        <f t="shared" si="335"/>
        <v/>
      </c>
      <c r="G219" s="751"/>
      <c r="H219" s="421"/>
      <c r="I219" s="59" t="str">
        <f t="shared" si="336"/>
        <v/>
      </c>
      <c r="J219" s="62" t="str">
        <f t="shared" si="337"/>
        <v/>
      </c>
      <c r="K219" s="421"/>
      <c r="L219" s="59" t="str">
        <f t="shared" si="338"/>
        <v/>
      </c>
      <c r="M219" s="62" t="str">
        <f t="shared" si="339"/>
        <v/>
      </c>
      <c r="N219" s="421"/>
      <c r="O219" s="59" t="str">
        <f t="shared" si="340"/>
        <v/>
      </c>
      <c r="P219" s="62" t="str">
        <f t="shared" si="341"/>
        <v/>
      </c>
      <c r="Q219" s="421"/>
      <c r="R219" s="59" t="str">
        <f t="shared" si="342"/>
        <v/>
      </c>
      <c r="S219" s="60" t="str">
        <f t="shared" si="343"/>
        <v/>
      </c>
      <c r="T219" s="421"/>
      <c r="U219" s="59" t="str">
        <f t="shared" si="344"/>
        <v/>
      </c>
      <c r="V219" s="60" t="str">
        <f t="shared" si="345"/>
        <v/>
      </c>
      <c r="W219" s="421"/>
      <c r="X219" s="59" t="str">
        <f t="shared" si="346"/>
        <v/>
      </c>
      <c r="Y219" s="60" t="str">
        <f t="shared" si="347"/>
        <v/>
      </c>
      <c r="Z219" s="421"/>
      <c r="AA219" s="59" t="str">
        <f t="shared" si="348"/>
        <v/>
      </c>
      <c r="AB219" s="60" t="str">
        <f t="shared" si="349"/>
        <v/>
      </c>
      <c r="AC219" s="421"/>
      <c r="AD219" s="59" t="str">
        <f t="shared" si="350"/>
        <v/>
      </c>
      <c r="AE219" s="60" t="str">
        <f t="shared" si="351"/>
        <v/>
      </c>
      <c r="AF219" s="421"/>
      <c r="AG219" s="59" t="str">
        <f t="shared" si="352"/>
        <v/>
      </c>
      <c r="AH219" s="60" t="str">
        <f t="shared" si="353"/>
        <v/>
      </c>
      <c r="AI219" s="421"/>
      <c r="AJ219" s="59" t="str">
        <f t="shared" si="354"/>
        <v/>
      </c>
      <c r="AK219" s="60" t="str">
        <f t="shared" si="355"/>
        <v/>
      </c>
      <c r="AL219" s="421"/>
      <c r="AM219" s="59" t="str">
        <f t="shared" si="356"/>
        <v/>
      </c>
      <c r="AN219" s="60" t="str">
        <f t="shared" si="357"/>
        <v/>
      </c>
      <c r="AO219" s="421"/>
      <c r="AP219" s="59" t="str">
        <f t="shared" si="358"/>
        <v/>
      </c>
      <c r="AQ219" s="60" t="str">
        <f t="shared" si="359"/>
        <v/>
      </c>
      <c r="AR219" s="421"/>
      <c r="AS219" s="59" t="str">
        <f t="shared" si="360"/>
        <v/>
      </c>
      <c r="AT219" s="60" t="str">
        <f t="shared" si="361"/>
        <v/>
      </c>
      <c r="AU219" s="421"/>
      <c r="AV219" s="59" t="str">
        <f t="shared" si="362"/>
        <v/>
      </c>
      <c r="AW219" s="60" t="str">
        <f t="shared" si="363"/>
        <v/>
      </c>
      <c r="AX219" s="421"/>
      <c r="AY219" s="59" t="str">
        <f t="shared" si="364"/>
        <v/>
      </c>
      <c r="AZ219" s="60" t="str">
        <f t="shared" si="365"/>
        <v/>
      </c>
      <c r="BA219" s="421"/>
      <c r="BB219" s="59" t="str">
        <f t="shared" si="366"/>
        <v/>
      </c>
      <c r="BC219" s="60" t="str">
        <f t="shared" si="367"/>
        <v/>
      </c>
      <c r="BD219" s="421"/>
      <c r="BE219" s="59" t="str">
        <f t="shared" si="368"/>
        <v/>
      </c>
      <c r="BF219" s="60" t="str">
        <f t="shared" si="369"/>
        <v/>
      </c>
      <c r="BG219" s="421"/>
      <c r="BH219" s="59" t="str">
        <f t="shared" si="370"/>
        <v/>
      </c>
      <c r="BI219" s="60" t="str">
        <f t="shared" si="371"/>
        <v/>
      </c>
      <c r="BJ219" s="421"/>
      <c r="BK219" s="59" t="str">
        <f t="shared" si="372"/>
        <v/>
      </c>
      <c r="BL219" s="60" t="str">
        <f t="shared" si="373"/>
        <v/>
      </c>
      <c r="BM219" s="421"/>
      <c r="BN219" s="59" t="str">
        <f t="shared" si="374"/>
        <v/>
      </c>
      <c r="BO219" s="60" t="str">
        <f t="shared" si="375"/>
        <v/>
      </c>
      <c r="BP219" s="421"/>
      <c r="BQ219" s="59" t="str">
        <f t="shared" si="376"/>
        <v/>
      </c>
      <c r="BR219" s="60" t="str">
        <f t="shared" si="377"/>
        <v/>
      </c>
      <c r="BS219" s="421"/>
      <c r="BT219" s="59" t="str">
        <f t="shared" si="378"/>
        <v/>
      </c>
      <c r="BU219" s="60" t="str">
        <f t="shared" si="379"/>
        <v/>
      </c>
      <c r="BV219" s="421"/>
      <c r="BW219" s="59" t="str">
        <f t="shared" si="380"/>
        <v/>
      </c>
      <c r="BX219" s="60" t="str">
        <f t="shared" si="381"/>
        <v/>
      </c>
      <c r="BY219" s="421"/>
      <c r="BZ219" s="59" t="str">
        <f t="shared" si="382"/>
        <v/>
      </c>
      <c r="CA219" s="60" t="str">
        <f t="shared" si="383"/>
        <v/>
      </c>
      <c r="CB219" s="421"/>
      <c r="CC219" s="59" t="str">
        <f t="shared" si="384"/>
        <v/>
      </c>
      <c r="CD219" s="60" t="str">
        <f t="shared" si="385"/>
        <v/>
      </c>
      <c r="CE219" s="421"/>
      <c r="CF219" s="59" t="str">
        <f t="shared" si="386"/>
        <v/>
      </c>
      <c r="CG219" s="60" t="str">
        <f t="shared" si="387"/>
        <v/>
      </c>
      <c r="CH219" s="421"/>
      <c r="CI219" s="59" t="str">
        <f t="shared" si="388"/>
        <v/>
      </c>
      <c r="CJ219" s="60" t="str">
        <f t="shared" si="389"/>
        <v/>
      </c>
      <c r="CK219" s="421"/>
      <c r="CL219" s="59" t="str">
        <f t="shared" si="390"/>
        <v/>
      </c>
      <c r="CM219" s="60" t="str">
        <f t="shared" si="391"/>
        <v/>
      </c>
      <c r="CN219" s="421"/>
      <c r="CO219" s="59" t="str">
        <f t="shared" si="392"/>
        <v/>
      </c>
      <c r="CP219" s="60" t="str">
        <f t="shared" si="393"/>
        <v/>
      </c>
      <c r="CQ219" s="421"/>
      <c r="CR219" s="59" t="str">
        <f t="shared" si="394"/>
        <v/>
      </c>
      <c r="CS219" s="60" t="str">
        <f t="shared" si="395"/>
        <v/>
      </c>
      <c r="CT219" s="421"/>
      <c r="CU219" s="59" t="str">
        <f t="shared" si="396"/>
        <v/>
      </c>
      <c r="CV219" s="60" t="str">
        <f t="shared" si="397"/>
        <v/>
      </c>
      <c r="CW219" s="421"/>
      <c r="CX219" s="59" t="str">
        <f t="shared" si="398"/>
        <v/>
      </c>
      <c r="CY219" s="60" t="str">
        <f t="shared" si="399"/>
        <v/>
      </c>
      <c r="CZ219" s="421"/>
      <c r="DA219" s="59" t="str">
        <f t="shared" si="400"/>
        <v/>
      </c>
      <c r="DB219" s="60" t="str">
        <f t="shared" si="401"/>
        <v/>
      </c>
      <c r="DC219" s="421"/>
      <c r="DD219" s="59" t="str">
        <f t="shared" si="402"/>
        <v/>
      </c>
      <c r="DE219" s="60" t="str">
        <f t="shared" si="403"/>
        <v/>
      </c>
      <c r="DF219" s="421"/>
      <c r="DG219" s="59" t="str">
        <f t="shared" si="404"/>
        <v/>
      </c>
      <c r="DH219" s="60" t="str">
        <f t="shared" si="405"/>
        <v/>
      </c>
      <c r="DI219" s="421"/>
      <c r="DJ219" s="59" t="str">
        <f t="shared" si="406"/>
        <v/>
      </c>
      <c r="DK219" s="60" t="str">
        <f t="shared" si="407"/>
        <v/>
      </c>
      <c r="DL219" s="421"/>
      <c r="DM219" s="59" t="str">
        <f t="shared" si="408"/>
        <v/>
      </c>
      <c r="DN219" s="60" t="str">
        <f t="shared" si="409"/>
        <v/>
      </c>
      <c r="DO219" s="421"/>
      <c r="DP219" s="59" t="str">
        <f t="shared" si="410"/>
        <v/>
      </c>
      <c r="DQ219" s="60" t="str">
        <f t="shared" si="411"/>
        <v/>
      </c>
      <c r="DR219" s="421"/>
      <c r="DS219" s="59" t="str">
        <f t="shared" si="412"/>
        <v/>
      </c>
      <c r="DT219" s="60" t="str">
        <f t="shared" si="413"/>
        <v/>
      </c>
      <c r="DU219" s="421"/>
      <c r="DV219" s="59" t="str">
        <f t="shared" si="414"/>
        <v/>
      </c>
      <c r="DW219" s="60" t="str">
        <f t="shared" si="415"/>
        <v/>
      </c>
      <c r="DX219" s="161"/>
    </row>
    <row r="220" spans="2:128" ht="23.25" customHeight="1" x14ac:dyDescent="0.2">
      <c r="B220" s="716"/>
      <c r="C220" s="717"/>
      <c r="D220" s="717"/>
      <c r="E220" s="314">
        <f t="shared" si="252"/>
        <v>35</v>
      </c>
      <c r="F220" s="750" t="str">
        <f t="shared" si="335"/>
        <v/>
      </c>
      <c r="G220" s="751"/>
      <c r="H220" s="421"/>
      <c r="I220" s="59" t="str">
        <f t="shared" si="336"/>
        <v/>
      </c>
      <c r="J220" s="62" t="str">
        <f t="shared" si="337"/>
        <v/>
      </c>
      <c r="K220" s="421"/>
      <c r="L220" s="59" t="str">
        <f t="shared" si="338"/>
        <v/>
      </c>
      <c r="M220" s="62" t="str">
        <f t="shared" si="339"/>
        <v/>
      </c>
      <c r="N220" s="421"/>
      <c r="O220" s="59" t="str">
        <f t="shared" si="340"/>
        <v/>
      </c>
      <c r="P220" s="62" t="str">
        <f t="shared" si="341"/>
        <v/>
      </c>
      <c r="Q220" s="421"/>
      <c r="R220" s="59" t="str">
        <f t="shared" si="342"/>
        <v/>
      </c>
      <c r="S220" s="60" t="str">
        <f t="shared" si="343"/>
        <v/>
      </c>
      <c r="T220" s="421"/>
      <c r="U220" s="59" t="str">
        <f t="shared" si="344"/>
        <v/>
      </c>
      <c r="V220" s="60" t="str">
        <f t="shared" si="345"/>
        <v/>
      </c>
      <c r="W220" s="421"/>
      <c r="X220" s="59" t="str">
        <f t="shared" si="346"/>
        <v/>
      </c>
      <c r="Y220" s="60" t="str">
        <f t="shared" si="347"/>
        <v/>
      </c>
      <c r="Z220" s="421"/>
      <c r="AA220" s="59" t="str">
        <f t="shared" si="348"/>
        <v/>
      </c>
      <c r="AB220" s="60" t="str">
        <f t="shared" si="349"/>
        <v/>
      </c>
      <c r="AC220" s="421"/>
      <c r="AD220" s="59" t="str">
        <f t="shared" si="350"/>
        <v/>
      </c>
      <c r="AE220" s="60" t="str">
        <f t="shared" si="351"/>
        <v/>
      </c>
      <c r="AF220" s="421"/>
      <c r="AG220" s="59" t="str">
        <f t="shared" si="352"/>
        <v/>
      </c>
      <c r="AH220" s="60" t="str">
        <f t="shared" si="353"/>
        <v/>
      </c>
      <c r="AI220" s="421"/>
      <c r="AJ220" s="59" t="str">
        <f t="shared" si="354"/>
        <v/>
      </c>
      <c r="AK220" s="60" t="str">
        <f t="shared" si="355"/>
        <v/>
      </c>
      <c r="AL220" s="421"/>
      <c r="AM220" s="59" t="str">
        <f t="shared" si="356"/>
        <v/>
      </c>
      <c r="AN220" s="60" t="str">
        <f t="shared" si="357"/>
        <v/>
      </c>
      <c r="AO220" s="421"/>
      <c r="AP220" s="59" t="str">
        <f t="shared" si="358"/>
        <v/>
      </c>
      <c r="AQ220" s="60" t="str">
        <f t="shared" si="359"/>
        <v/>
      </c>
      <c r="AR220" s="421"/>
      <c r="AS220" s="59" t="str">
        <f t="shared" si="360"/>
        <v/>
      </c>
      <c r="AT220" s="60" t="str">
        <f t="shared" si="361"/>
        <v/>
      </c>
      <c r="AU220" s="421"/>
      <c r="AV220" s="59" t="str">
        <f t="shared" si="362"/>
        <v/>
      </c>
      <c r="AW220" s="60" t="str">
        <f t="shared" si="363"/>
        <v/>
      </c>
      <c r="AX220" s="421"/>
      <c r="AY220" s="59" t="str">
        <f t="shared" si="364"/>
        <v/>
      </c>
      <c r="AZ220" s="60" t="str">
        <f t="shared" si="365"/>
        <v/>
      </c>
      <c r="BA220" s="421"/>
      <c r="BB220" s="59" t="str">
        <f t="shared" si="366"/>
        <v/>
      </c>
      <c r="BC220" s="60" t="str">
        <f t="shared" si="367"/>
        <v/>
      </c>
      <c r="BD220" s="421"/>
      <c r="BE220" s="59" t="str">
        <f t="shared" si="368"/>
        <v/>
      </c>
      <c r="BF220" s="60" t="str">
        <f t="shared" si="369"/>
        <v/>
      </c>
      <c r="BG220" s="421"/>
      <c r="BH220" s="59" t="str">
        <f t="shared" si="370"/>
        <v/>
      </c>
      <c r="BI220" s="60" t="str">
        <f t="shared" si="371"/>
        <v/>
      </c>
      <c r="BJ220" s="421"/>
      <c r="BK220" s="59" t="str">
        <f t="shared" si="372"/>
        <v/>
      </c>
      <c r="BL220" s="60" t="str">
        <f t="shared" si="373"/>
        <v/>
      </c>
      <c r="BM220" s="421"/>
      <c r="BN220" s="59" t="str">
        <f t="shared" si="374"/>
        <v/>
      </c>
      <c r="BO220" s="60" t="str">
        <f t="shared" si="375"/>
        <v/>
      </c>
      <c r="BP220" s="421"/>
      <c r="BQ220" s="59" t="str">
        <f t="shared" si="376"/>
        <v/>
      </c>
      <c r="BR220" s="60" t="str">
        <f t="shared" si="377"/>
        <v/>
      </c>
      <c r="BS220" s="421"/>
      <c r="BT220" s="59" t="str">
        <f t="shared" si="378"/>
        <v/>
      </c>
      <c r="BU220" s="60" t="str">
        <f t="shared" si="379"/>
        <v/>
      </c>
      <c r="BV220" s="421"/>
      <c r="BW220" s="59" t="str">
        <f t="shared" si="380"/>
        <v/>
      </c>
      <c r="BX220" s="60" t="str">
        <f t="shared" si="381"/>
        <v/>
      </c>
      <c r="BY220" s="421"/>
      <c r="BZ220" s="59" t="str">
        <f t="shared" si="382"/>
        <v/>
      </c>
      <c r="CA220" s="60" t="str">
        <f t="shared" si="383"/>
        <v/>
      </c>
      <c r="CB220" s="421"/>
      <c r="CC220" s="59" t="str">
        <f t="shared" si="384"/>
        <v/>
      </c>
      <c r="CD220" s="60" t="str">
        <f t="shared" si="385"/>
        <v/>
      </c>
      <c r="CE220" s="421"/>
      <c r="CF220" s="59" t="str">
        <f t="shared" si="386"/>
        <v/>
      </c>
      <c r="CG220" s="60" t="str">
        <f t="shared" si="387"/>
        <v/>
      </c>
      <c r="CH220" s="421"/>
      <c r="CI220" s="59" t="str">
        <f t="shared" si="388"/>
        <v/>
      </c>
      <c r="CJ220" s="60" t="str">
        <f t="shared" si="389"/>
        <v/>
      </c>
      <c r="CK220" s="421"/>
      <c r="CL220" s="59" t="str">
        <f t="shared" si="390"/>
        <v/>
      </c>
      <c r="CM220" s="60" t="str">
        <f t="shared" si="391"/>
        <v/>
      </c>
      <c r="CN220" s="421"/>
      <c r="CO220" s="59" t="str">
        <f t="shared" si="392"/>
        <v/>
      </c>
      <c r="CP220" s="60" t="str">
        <f t="shared" si="393"/>
        <v/>
      </c>
      <c r="CQ220" s="421"/>
      <c r="CR220" s="59" t="str">
        <f t="shared" si="394"/>
        <v/>
      </c>
      <c r="CS220" s="60" t="str">
        <f t="shared" si="395"/>
        <v/>
      </c>
      <c r="CT220" s="421"/>
      <c r="CU220" s="59" t="str">
        <f t="shared" si="396"/>
        <v/>
      </c>
      <c r="CV220" s="60" t="str">
        <f t="shared" si="397"/>
        <v/>
      </c>
      <c r="CW220" s="421"/>
      <c r="CX220" s="59" t="str">
        <f t="shared" si="398"/>
        <v/>
      </c>
      <c r="CY220" s="60" t="str">
        <f t="shared" si="399"/>
        <v/>
      </c>
      <c r="CZ220" s="421"/>
      <c r="DA220" s="59" t="str">
        <f t="shared" si="400"/>
        <v/>
      </c>
      <c r="DB220" s="60" t="str">
        <f t="shared" si="401"/>
        <v/>
      </c>
      <c r="DC220" s="421"/>
      <c r="DD220" s="59" t="str">
        <f t="shared" si="402"/>
        <v/>
      </c>
      <c r="DE220" s="60" t="str">
        <f t="shared" si="403"/>
        <v/>
      </c>
      <c r="DF220" s="421"/>
      <c r="DG220" s="59" t="str">
        <f t="shared" si="404"/>
        <v/>
      </c>
      <c r="DH220" s="60" t="str">
        <f t="shared" si="405"/>
        <v/>
      </c>
      <c r="DI220" s="421"/>
      <c r="DJ220" s="59" t="str">
        <f t="shared" si="406"/>
        <v/>
      </c>
      <c r="DK220" s="60" t="str">
        <f t="shared" si="407"/>
        <v/>
      </c>
      <c r="DL220" s="421"/>
      <c r="DM220" s="59" t="str">
        <f t="shared" si="408"/>
        <v/>
      </c>
      <c r="DN220" s="60" t="str">
        <f t="shared" si="409"/>
        <v/>
      </c>
      <c r="DO220" s="421"/>
      <c r="DP220" s="59" t="str">
        <f t="shared" si="410"/>
        <v/>
      </c>
      <c r="DQ220" s="60" t="str">
        <f t="shared" si="411"/>
        <v/>
      </c>
      <c r="DR220" s="421"/>
      <c r="DS220" s="59" t="str">
        <f t="shared" si="412"/>
        <v/>
      </c>
      <c r="DT220" s="60" t="str">
        <f t="shared" si="413"/>
        <v/>
      </c>
      <c r="DU220" s="421"/>
      <c r="DV220" s="59" t="str">
        <f t="shared" si="414"/>
        <v/>
      </c>
      <c r="DW220" s="60" t="str">
        <f t="shared" si="415"/>
        <v/>
      </c>
      <c r="DX220" s="161"/>
    </row>
    <row r="221" spans="2:128" ht="23.25" customHeight="1" x14ac:dyDescent="0.2">
      <c r="B221" s="716"/>
      <c r="C221" s="717"/>
      <c r="D221" s="717"/>
      <c r="E221" s="314">
        <f t="shared" si="252"/>
        <v>36</v>
      </c>
      <c r="F221" s="750" t="str">
        <f t="shared" si="335"/>
        <v/>
      </c>
      <c r="G221" s="751"/>
      <c r="H221" s="421"/>
      <c r="I221" s="59" t="str">
        <f t="shared" si="336"/>
        <v/>
      </c>
      <c r="J221" s="62" t="str">
        <f t="shared" si="337"/>
        <v/>
      </c>
      <c r="K221" s="421"/>
      <c r="L221" s="59" t="str">
        <f t="shared" si="338"/>
        <v/>
      </c>
      <c r="M221" s="62" t="str">
        <f t="shared" si="339"/>
        <v/>
      </c>
      <c r="N221" s="421"/>
      <c r="O221" s="59" t="str">
        <f t="shared" si="340"/>
        <v/>
      </c>
      <c r="P221" s="62" t="str">
        <f t="shared" si="341"/>
        <v/>
      </c>
      <c r="Q221" s="421"/>
      <c r="R221" s="59" t="str">
        <f t="shared" si="342"/>
        <v/>
      </c>
      <c r="S221" s="60" t="str">
        <f t="shared" si="343"/>
        <v/>
      </c>
      <c r="T221" s="421"/>
      <c r="U221" s="59" t="str">
        <f t="shared" si="344"/>
        <v/>
      </c>
      <c r="V221" s="60" t="str">
        <f t="shared" si="345"/>
        <v/>
      </c>
      <c r="W221" s="421"/>
      <c r="X221" s="59" t="str">
        <f t="shared" si="346"/>
        <v/>
      </c>
      <c r="Y221" s="60" t="str">
        <f t="shared" si="347"/>
        <v/>
      </c>
      <c r="Z221" s="421"/>
      <c r="AA221" s="59" t="str">
        <f t="shared" si="348"/>
        <v/>
      </c>
      <c r="AB221" s="60" t="str">
        <f t="shared" si="349"/>
        <v/>
      </c>
      <c r="AC221" s="421"/>
      <c r="AD221" s="59" t="str">
        <f t="shared" si="350"/>
        <v/>
      </c>
      <c r="AE221" s="60" t="str">
        <f t="shared" si="351"/>
        <v/>
      </c>
      <c r="AF221" s="421"/>
      <c r="AG221" s="59" t="str">
        <f t="shared" si="352"/>
        <v/>
      </c>
      <c r="AH221" s="60" t="str">
        <f t="shared" si="353"/>
        <v/>
      </c>
      <c r="AI221" s="421"/>
      <c r="AJ221" s="59" t="str">
        <f t="shared" si="354"/>
        <v/>
      </c>
      <c r="AK221" s="60" t="str">
        <f t="shared" si="355"/>
        <v/>
      </c>
      <c r="AL221" s="421"/>
      <c r="AM221" s="59" t="str">
        <f t="shared" si="356"/>
        <v/>
      </c>
      <c r="AN221" s="60" t="str">
        <f t="shared" si="357"/>
        <v/>
      </c>
      <c r="AO221" s="421"/>
      <c r="AP221" s="59" t="str">
        <f t="shared" si="358"/>
        <v/>
      </c>
      <c r="AQ221" s="60" t="str">
        <f t="shared" si="359"/>
        <v/>
      </c>
      <c r="AR221" s="421"/>
      <c r="AS221" s="59" t="str">
        <f t="shared" si="360"/>
        <v/>
      </c>
      <c r="AT221" s="60" t="str">
        <f t="shared" si="361"/>
        <v/>
      </c>
      <c r="AU221" s="421"/>
      <c r="AV221" s="59" t="str">
        <f t="shared" si="362"/>
        <v/>
      </c>
      <c r="AW221" s="60" t="str">
        <f t="shared" si="363"/>
        <v/>
      </c>
      <c r="AX221" s="421"/>
      <c r="AY221" s="59" t="str">
        <f t="shared" si="364"/>
        <v/>
      </c>
      <c r="AZ221" s="60" t="str">
        <f t="shared" si="365"/>
        <v/>
      </c>
      <c r="BA221" s="421"/>
      <c r="BB221" s="59" t="str">
        <f t="shared" si="366"/>
        <v/>
      </c>
      <c r="BC221" s="60" t="str">
        <f t="shared" si="367"/>
        <v/>
      </c>
      <c r="BD221" s="421"/>
      <c r="BE221" s="59" t="str">
        <f t="shared" si="368"/>
        <v/>
      </c>
      <c r="BF221" s="60" t="str">
        <f t="shared" si="369"/>
        <v/>
      </c>
      <c r="BG221" s="421"/>
      <c r="BH221" s="59" t="str">
        <f t="shared" si="370"/>
        <v/>
      </c>
      <c r="BI221" s="60" t="str">
        <f t="shared" si="371"/>
        <v/>
      </c>
      <c r="BJ221" s="421"/>
      <c r="BK221" s="59" t="str">
        <f t="shared" si="372"/>
        <v/>
      </c>
      <c r="BL221" s="60" t="str">
        <f t="shared" si="373"/>
        <v/>
      </c>
      <c r="BM221" s="421"/>
      <c r="BN221" s="59" t="str">
        <f t="shared" si="374"/>
        <v/>
      </c>
      <c r="BO221" s="60" t="str">
        <f t="shared" si="375"/>
        <v/>
      </c>
      <c r="BP221" s="421"/>
      <c r="BQ221" s="59" t="str">
        <f t="shared" si="376"/>
        <v/>
      </c>
      <c r="BR221" s="60" t="str">
        <f t="shared" si="377"/>
        <v/>
      </c>
      <c r="BS221" s="421"/>
      <c r="BT221" s="59" t="str">
        <f t="shared" si="378"/>
        <v/>
      </c>
      <c r="BU221" s="60" t="str">
        <f t="shared" si="379"/>
        <v/>
      </c>
      <c r="BV221" s="421"/>
      <c r="BW221" s="59" t="str">
        <f t="shared" si="380"/>
        <v/>
      </c>
      <c r="BX221" s="60" t="str">
        <f t="shared" si="381"/>
        <v/>
      </c>
      <c r="BY221" s="421"/>
      <c r="BZ221" s="59" t="str">
        <f t="shared" si="382"/>
        <v/>
      </c>
      <c r="CA221" s="60" t="str">
        <f t="shared" si="383"/>
        <v/>
      </c>
      <c r="CB221" s="421"/>
      <c r="CC221" s="59" t="str">
        <f t="shared" si="384"/>
        <v/>
      </c>
      <c r="CD221" s="60" t="str">
        <f t="shared" si="385"/>
        <v/>
      </c>
      <c r="CE221" s="421"/>
      <c r="CF221" s="59" t="str">
        <f t="shared" si="386"/>
        <v/>
      </c>
      <c r="CG221" s="60" t="str">
        <f t="shared" si="387"/>
        <v/>
      </c>
      <c r="CH221" s="421"/>
      <c r="CI221" s="59" t="str">
        <f t="shared" si="388"/>
        <v/>
      </c>
      <c r="CJ221" s="60" t="str">
        <f t="shared" si="389"/>
        <v/>
      </c>
      <c r="CK221" s="421"/>
      <c r="CL221" s="59" t="str">
        <f t="shared" si="390"/>
        <v/>
      </c>
      <c r="CM221" s="60" t="str">
        <f t="shared" si="391"/>
        <v/>
      </c>
      <c r="CN221" s="421"/>
      <c r="CO221" s="59" t="str">
        <f t="shared" si="392"/>
        <v/>
      </c>
      <c r="CP221" s="60" t="str">
        <f t="shared" si="393"/>
        <v/>
      </c>
      <c r="CQ221" s="421"/>
      <c r="CR221" s="59" t="str">
        <f t="shared" si="394"/>
        <v/>
      </c>
      <c r="CS221" s="60" t="str">
        <f t="shared" si="395"/>
        <v/>
      </c>
      <c r="CT221" s="421"/>
      <c r="CU221" s="59" t="str">
        <f t="shared" si="396"/>
        <v/>
      </c>
      <c r="CV221" s="60" t="str">
        <f t="shared" si="397"/>
        <v/>
      </c>
      <c r="CW221" s="421"/>
      <c r="CX221" s="59" t="str">
        <f t="shared" si="398"/>
        <v/>
      </c>
      <c r="CY221" s="60" t="str">
        <f t="shared" si="399"/>
        <v/>
      </c>
      <c r="CZ221" s="421"/>
      <c r="DA221" s="59" t="str">
        <f t="shared" si="400"/>
        <v/>
      </c>
      <c r="DB221" s="60" t="str">
        <f t="shared" si="401"/>
        <v/>
      </c>
      <c r="DC221" s="421"/>
      <c r="DD221" s="59" t="str">
        <f t="shared" si="402"/>
        <v/>
      </c>
      <c r="DE221" s="60" t="str">
        <f t="shared" si="403"/>
        <v/>
      </c>
      <c r="DF221" s="421"/>
      <c r="DG221" s="59" t="str">
        <f t="shared" si="404"/>
        <v/>
      </c>
      <c r="DH221" s="60" t="str">
        <f t="shared" si="405"/>
        <v/>
      </c>
      <c r="DI221" s="421"/>
      <c r="DJ221" s="59" t="str">
        <f t="shared" si="406"/>
        <v/>
      </c>
      <c r="DK221" s="60" t="str">
        <f t="shared" si="407"/>
        <v/>
      </c>
      <c r="DL221" s="421"/>
      <c r="DM221" s="59" t="str">
        <f t="shared" si="408"/>
        <v/>
      </c>
      <c r="DN221" s="60" t="str">
        <f t="shared" si="409"/>
        <v/>
      </c>
      <c r="DO221" s="421"/>
      <c r="DP221" s="59" t="str">
        <f t="shared" si="410"/>
        <v/>
      </c>
      <c r="DQ221" s="60" t="str">
        <f t="shared" si="411"/>
        <v/>
      </c>
      <c r="DR221" s="421"/>
      <c r="DS221" s="59" t="str">
        <f t="shared" si="412"/>
        <v/>
      </c>
      <c r="DT221" s="60" t="str">
        <f t="shared" si="413"/>
        <v/>
      </c>
      <c r="DU221" s="421"/>
      <c r="DV221" s="59" t="str">
        <f t="shared" si="414"/>
        <v/>
      </c>
      <c r="DW221" s="60" t="str">
        <f t="shared" si="415"/>
        <v/>
      </c>
      <c r="DX221" s="161"/>
    </row>
    <row r="222" spans="2:128" ht="23.25" customHeight="1" x14ac:dyDescent="0.2">
      <c r="B222" s="716"/>
      <c r="C222" s="717"/>
      <c r="D222" s="717"/>
      <c r="E222" s="314">
        <f t="shared" si="252"/>
        <v>37</v>
      </c>
      <c r="F222" s="750" t="str">
        <f t="shared" si="335"/>
        <v/>
      </c>
      <c r="G222" s="751"/>
      <c r="H222" s="421"/>
      <c r="I222" s="59" t="str">
        <f t="shared" si="336"/>
        <v/>
      </c>
      <c r="J222" s="62" t="str">
        <f t="shared" si="337"/>
        <v/>
      </c>
      <c r="K222" s="421"/>
      <c r="L222" s="59" t="str">
        <f t="shared" si="338"/>
        <v/>
      </c>
      <c r="M222" s="62" t="str">
        <f t="shared" si="339"/>
        <v/>
      </c>
      <c r="N222" s="421"/>
      <c r="O222" s="59" t="str">
        <f t="shared" si="340"/>
        <v/>
      </c>
      <c r="P222" s="62" t="str">
        <f t="shared" si="341"/>
        <v/>
      </c>
      <c r="Q222" s="421"/>
      <c r="R222" s="59" t="str">
        <f t="shared" si="342"/>
        <v/>
      </c>
      <c r="S222" s="60" t="str">
        <f t="shared" si="343"/>
        <v/>
      </c>
      <c r="T222" s="421"/>
      <c r="U222" s="59" t="str">
        <f t="shared" si="344"/>
        <v/>
      </c>
      <c r="V222" s="60" t="str">
        <f t="shared" si="345"/>
        <v/>
      </c>
      <c r="W222" s="421"/>
      <c r="X222" s="59" t="str">
        <f t="shared" si="346"/>
        <v/>
      </c>
      <c r="Y222" s="60" t="str">
        <f t="shared" si="347"/>
        <v/>
      </c>
      <c r="Z222" s="421"/>
      <c r="AA222" s="59" t="str">
        <f t="shared" si="348"/>
        <v/>
      </c>
      <c r="AB222" s="60" t="str">
        <f t="shared" si="349"/>
        <v/>
      </c>
      <c r="AC222" s="421"/>
      <c r="AD222" s="59" t="str">
        <f t="shared" si="350"/>
        <v/>
      </c>
      <c r="AE222" s="60" t="str">
        <f t="shared" si="351"/>
        <v/>
      </c>
      <c r="AF222" s="421"/>
      <c r="AG222" s="59" t="str">
        <f t="shared" si="352"/>
        <v/>
      </c>
      <c r="AH222" s="60" t="str">
        <f t="shared" si="353"/>
        <v/>
      </c>
      <c r="AI222" s="421"/>
      <c r="AJ222" s="59" t="str">
        <f t="shared" si="354"/>
        <v/>
      </c>
      <c r="AK222" s="60" t="str">
        <f t="shared" si="355"/>
        <v/>
      </c>
      <c r="AL222" s="421"/>
      <c r="AM222" s="59" t="str">
        <f t="shared" si="356"/>
        <v/>
      </c>
      <c r="AN222" s="60" t="str">
        <f t="shared" si="357"/>
        <v/>
      </c>
      <c r="AO222" s="421"/>
      <c r="AP222" s="59" t="str">
        <f t="shared" si="358"/>
        <v/>
      </c>
      <c r="AQ222" s="60" t="str">
        <f t="shared" si="359"/>
        <v/>
      </c>
      <c r="AR222" s="421"/>
      <c r="AS222" s="59" t="str">
        <f t="shared" si="360"/>
        <v/>
      </c>
      <c r="AT222" s="60" t="str">
        <f t="shared" si="361"/>
        <v/>
      </c>
      <c r="AU222" s="421"/>
      <c r="AV222" s="59" t="str">
        <f t="shared" si="362"/>
        <v/>
      </c>
      <c r="AW222" s="60" t="str">
        <f t="shared" si="363"/>
        <v/>
      </c>
      <c r="AX222" s="421"/>
      <c r="AY222" s="59" t="str">
        <f t="shared" si="364"/>
        <v/>
      </c>
      <c r="AZ222" s="60" t="str">
        <f t="shared" si="365"/>
        <v/>
      </c>
      <c r="BA222" s="421"/>
      <c r="BB222" s="59" t="str">
        <f t="shared" si="366"/>
        <v/>
      </c>
      <c r="BC222" s="60" t="str">
        <f t="shared" si="367"/>
        <v/>
      </c>
      <c r="BD222" s="421"/>
      <c r="BE222" s="59" t="str">
        <f t="shared" si="368"/>
        <v/>
      </c>
      <c r="BF222" s="60" t="str">
        <f t="shared" si="369"/>
        <v/>
      </c>
      <c r="BG222" s="421"/>
      <c r="BH222" s="59" t="str">
        <f t="shared" si="370"/>
        <v/>
      </c>
      <c r="BI222" s="60" t="str">
        <f t="shared" si="371"/>
        <v/>
      </c>
      <c r="BJ222" s="421"/>
      <c r="BK222" s="59" t="str">
        <f t="shared" si="372"/>
        <v/>
      </c>
      <c r="BL222" s="60" t="str">
        <f t="shared" si="373"/>
        <v/>
      </c>
      <c r="BM222" s="421"/>
      <c r="BN222" s="59" t="str">
        <f t="shared" si="374"/>
        <v/>
      </c>
      <c r="BO222" s="60" t="str">
        <f t="shared" si="375"/>
        <v/>
      </c>
      <c r="BP222" s="421"/>
      <c r="BQ222" s="59" t="str">
        <f t="shared" si="376"/>
        <v/>
      </c>
      <c r="BR222" s="60" t="str">
        <f t="shared" si="377"/>
        <v/>
      </c>
      <c r="BS222" s="421"/>
      <c r="BT222" s="59" t="str">
        <f t="shared" si="378"/>
        <v/>
      </c>
      <c r="BU222" s="60" t="str">
        <f t="shared" si="379"/>
        <v/>
      </c>
      <c r="BV222" s="421"/>
      <c r="BW222" s="59" t="str">
        <f t="shared" si="380"/>
        <v/>
      </c>
      <c r="BX222" s="60" t="str">
        <f t="shared" si="381"/>
        <v/>
      </c>
      <c r="BY222" s="421"/>
      <c r="BZ222" s="59" t="str">
        <f t="shared" si="382"/>
        <v/>
      </c>
      <c r="CA222" s="60" t="str">
        <f t="shared" si="383"/>
        <v/>
      </c>
      <c r="CB222" s="421"/>
      <c r="CC222" s="59" t="str">
        <f t="shared" si="384"/>
        <v/>
      </c>
      <c r="CD222" s="60" t="str">
        <f t="shared" si="385"/>
        <v/>
      </c>
      <c r="CE222" s="421"/>
      <c r="CF222" s="59" t="str">
        <f t="shared" si="386"/>
        <v/>
      </c>
      <c r="CG222" s="60" t="str">
        <f t="shared" si="387"/>
        <v/>
      </c>
      <c r="CH222" s="421"/>
      <c r="CI222" s="59" t="str">
        <f t="shared" si="388"/>
        <v/>
      </c>
      <c r="CJ222" s="60" t="str">
        <f t="shared" si="389"/>
        <v/>
      </c>
      <c r="CK222" s="421"/>
      <c r="CL222" s="59" t="str">
        <f t="shared" si="390"/>
        <v/>
      </c>
      <c r="CM222" s="60" t="str">
        <f t="shared" si="391"/>
        <v/>
      </c>
      <c r="CN222" s="421"/>
      <c r="CO222" s="59" t="str">
        <f t="shared" si="392"/>
        <v/>
      </c>
      <c r="CP222" s="60" t="str">
        <f t="shared" si="393"/>
        <v/>
      </c>
      <c r="CQ222" s="421"/>
      <c r="CR222" s="59" t="str">
        <f t="shared" si="394"/>
        <v/>
      </c>
      <c r="CS222" s="60" t="str">
        <f t="shared" si="395"/>
        <v/>
      </c>
      <c r="CT222" s="421"/>
      <c r="CU222" s="59" t="str">
        <f t="shared" si="396"/>
        <v/>
      </c>
      <c r="CV222" s="60" t="str">
        <f t="shared" si="397"/>
        <v/>
      </c>
      <c r="CW222" s="421"/>
      <c r="CX222" s="59" t="str">
        <f t="shared" si="398"/>
        <v/>
      </c>
      <c r="CY222" s="60" t="str">
        <f t="shared" si="399"/>
        <v/>
      </c>
      <c r="CZ222" s="421"/>
      <c r="DA222" s="59" t="str">
        <f t="shared" si="400"/>
        <v/>
      </c>
      <c r="DB222" s="60" t="str">
        <f t="shared" si="401"/>
        <v/>
      </c>
      <c r="DC222" s="421"/>
      <c r="DD222" s="59" t="str">
        <f t="shared" si="402"/>
        <v/>
      </c>
      <c r="DE222" s="60" t="str">
        <f t="shared" si="403"/>
        <v/>
      </c>
      <c r="DF222" s="421"/>
      <c r="DG222" s="59" t="str">
        <f t="shared" si="404"/>
        <v/>
      </c>
      <c r="DH222" s="60" t="str">
        <f t="shared" si="405"/>
        <v/>
      </c>
      <c r="DI222" s="421"/>
      <c r="DJ222" s="59" t="str">
        <f t="shared" si="406"/>
        <v/>
      </c>
      <c r="DK222" s="60" t="str">
        <f t="shared" si="407"/>
        <v/>
      </c>
      <c r="DL222" s="421"/>
      <c r="DM222" s="59" t="str">
        <f t="shared" si="408"/>
        <v/>
      </c>
      <c r="DN222" s="60" t="str">
        <f t="shared" si="409"/>
        <v/>
      </c>
      <c r="DO222" s="421"/>
      <c r="DP222" s="59" t="str">
        <f t="shared" si="410"/>
        <v/>
      </c>
      <c r="DQ222" s="60" t="str">
        <f t="shared" si="411"/>
        <v/>
      </c>
      <c r="DR222" s="421"/>
      <c r="DS222" s="59" t="str">
        <f t="shared" si="412"/>
        <v/>
      </c>
      <c r="DT222" s="60" t="str">
        <f t="shared" si="413"/>
        <v/>
      </c>
      <c r="DU222" s="421"/>
      <c r="DV222" s="59" t="str">
        <f t="shared" si="414"/>
        <v/>
      </c>
      <c r="DW222" s="60" t="str">
        <f t="shared" si="415"/>
        <v/>
      </c>
      <c r="DX222" s="161"/>
    </row>
    <row r="223" spans="2:128" ht="23.25" customHeight="1" x14ac:dyDescent="0.2">
      <c r="B223" s="716"/>
      <c r="C223" s="717"/>
      <c r="D223" s="717"/>
      <c r="E223" s="314">
        <f t="shared" si="252"/>
        <v>38</v>
      </c>
      <c r="F223" s="750" t="str">
        <f t="shared" si="335"/>
        <v/>
      </c>
      <c r="G223" s="751"/>
      <c r="H223" s="421"/>
      <c r="I223" s="59" t="str">
        <f t="shared" si="336"/>
        <v/>
      </c>
      <c r="J223" s="62" t="str">
        <f t="shared" si="337"/>
        <v/>
      </c>
      <c r="K223" s="421"/>
      <c r="L223" s="59" t="str">
        <f t="shared" si="338"/>
        <v/>
      </c>
      <c r="M223" s="62" t="str">
        <f t="shared" si="339"/>
        <v/>
      </c>
      <c r="N223" s="421"/>
      <c r="O223" s="59" t="str">
        <f t="shared" si="340"/>
        <v/>
      </c>
      <c r="P223" s="62" t="str">
        <f t="shared" si="341"/>
        <v/>
      </c>
      <c r="Q223" s="421"/>
      <c r="R223" s="59" t="str">
        <f t="shared" si="342"/>
        <v/>
      </c>
      <c r="S223" s="60" t="str">
        <f t="shared" si="343"/>
        <v/>
      </c>
      <c r="T223" s="421"/>
      <c r="U223" s="59" t="str">
        <f t="shared" si="344"/>
        <v/>
      </c>
      <c r="V223" s="60" t="str">
        <f t="shared" si="345"/>
        <v/>
      </c>
      <c r="W223" s="421"/>
      <c r="X223" s="59" t="str">
        <f t="shared" si="346"/>
        <v/>
      </c>
      <c r="Y223" s="60" t="str">
        <f t="shared" si="347"/>
        <v/>
      </c>
      <c r="Z223" s="421"/>
      <c r="AA223" s="59" t="str">
        <f t="shared" si="348"/>
        <v/>
      </c>
      <c r="AB223" s="60" t="str">
        <f t="shared" si="349"/>
        <v/>
      </c>
      <c r="AC223" s="421"/>
      <c r="AD223" s="59" t="str">
        <f t="shared" si="350"/>
        <v/>
      </c>
      <c r="AE223" s="60" t="str">
        <f t="shared" si="351"/>
        <v/>
      </c>
      <c r="AF223" s="421"/>
      <c r="AG223" s="59" t="str">
        <f t="shared" si="352"/>
        <v/>
      </c>
      <c r="AH223" s="60" t="str">
        <f t="shared" si="353"/>
        <v/>
      </c>
      <c r="AI223" s="421"/>
      <c r="AJ223" s="59" t="str">
        <f t="shared" si="354"/>
        <v/>
      </c>
      <c r="AK223" s="60" t="str">
        <f t="shared" si="355"/>
        <v/>
      </c>
      <c r="AL223" s="421"/>
      <c r="AM223" s="59" t="str">
        <f t="shared" si="356"/>
        <v/>
      </c>
      <c r="AN223" s="60" t="str">
        <f t="shared" si="357"/>
        <v/>
      </c>
      <c r="AO223" s="421"/>
      <c r="AP223" s="59" t="str">
        <f t="shared" si="358"/>
        <v/>
      </c>
      <c r="AQ223" s="60" t="str">
        <f t="shared" si="359"/>
        <v/>
      </c>
      <c r="AR223" s="421"/>
      <c r="AS223" s="59" t="str">
        <f t="shared" si="360"/>
        <v/>
      </c>
      <c r="AT223" s="60" t="str">
        <f t="shared" si="361"/>
        <v/>
      </c>
      <c r="AU223" s="421"/>
      <c r="AV223" s="59" t="str">
        <f t="shared" si="362"/>
        <v/>
      </c>
      <c r="AW223" s="60" t="str">
        <f t="shared" si="363"/>
        <v/>
      </c>
      <c r="AX223" s="421"/>
      <c r="AY223" s="59" t="str">
        <f t="shared" si="364"/>
        <v/>
      </c>
      <c r="AZ223" s="60" t="str">
        <f t="shared" si="365"/>
        <v/>
      </c>
      <c r="BA223" s="421"/>
      <c r="BB223" s="59" t="str">
        <f t="shared" si="366"/>
        <v/>
      </c>
      <c r="BC223" s="60" t="str">
        <f t="shared" si="367"/>
        <v/>
      </c>
      <c r="BD223" s="421"/>
      <c r="BE223" s="59" t="str">
        <f t="shared" si="368"/>
        <v/>
      </c>
      <c r="BF223" s="60" t="str">
        <f t="shared" si="369"/>
        <v/>
      </c>
      <c r="BG223" s="421"/>
      <c r="BH223" s="59" t="str">
        <f t="shared" si="370"/>
        <v/>
      </c>
      <c r="BI223" s="60" t="str">
        <f t="shared" si="371"/>
        <v/>
      </c>
      <c r="BJ223" s="421"/>
      <c r="BK223" s="59" t="str">
        <f t="shared" si="372"/>
        <v/>
      </c>
      <c r="BL223" s="60" t="str">
        <f t="shared" si="373"/>
        <v/>
      </c>
      <c r="BM223" s="421"/>
      <c r="BN223" s="59" t="str">
        <f t="shared" si="374"/>
        <v/>
      </c>
      <c r="BO223" s="60" t="str">
        <f t="shared" si="375"/>
        <v/>
      </c>
      <c r="BP223" s="421"/>
      <c r="BQ223" s="59" t="str">
        <f t="shared" si="376"/>
        <v/>
      </c>
      <c r="BR223" s="60" t="str">
        <f t="shared" si="377"/>
        <v/>
      </c>
      <c r="BS223" s="421"/>
      <c r="BT223" s="59" t="str">
        <f t="shared" si="378"/>
        <v/>
      </c>
      <c r="BU223" s="60" t="str">
        <f t="shared" si="379"/>
        <v/>
      </c>
      <c r="BV223" s="421"/>
      <c r="BW223" s="59" t="str">
        <f t="shared" si="380"/>
        <v/>
      </c>
      <c r="BX223" s="60" t="str">
        <f t="shared" si="381"/>
        <v/>
      </c>
      <c r="BY223" s="421"/>
      <c r="BZ223" s="59" t="str">
        <f t="shared" si="382"/>
        <v/>
      </c>
      <c r="CA223" s="60" t="str">
        <f t="shared" si="383"/>
        <v/>
      </c>
      <c r="CB223" s="421"/>
      <c r="CC223" s="59" t="str">
        <f t="shared" si="384"/>
        <v/>
      </c>
      <c r="CD223" s="60" t="str">
        <f t="shared" si="385"/>
        <v/>
      </c>
      <c r="CE223" s="421"/>
      <c r="CF223" s="59" t="str">
        <f t="shared" si="386"/>
        <v/>
      </c>
      <c r="CG223" s="60" t="str">
        <f t="shared" si="387"/>
        <v/>
      </c>
      <c r="CH223" s="421"/>
      <c r="CI223" s="59" t="str">
        <f t="shared" si="388"/>
        <v/>
      </c>
      <c r="CJ223" s="60" t="str">
        <f t="shared" si="389"/>
        <v/>
      </c>
      <c r="CK223" s="421"/>
      <c r="CL223" s="59" t="str">
        <f t="shared" si="390"/>
        <v/>
      </c>
      <c r="CM223" s="60" t="str">
        <f t="shared" si="391"/>
        <v/>
      </c>
      <c r="CN223" s="421"/>
      <c r="CO223" s="59" t="str">
        <f t="shared" si="392"/>
        <v/>
      </c>
      <c r="CP223" s="60" t="str">
        <f t="shared" si="393"/>
        <v/>
      </c>
      <c r="CQ223" s="421"/>
      <c r="CR223" s="59" t="str">
        <f t="shared" si="394"/>
        <v/>
      </c>
      <c r="CS223" s="60" t="str">
        <f t="shared" si="395"/>
        <v/>
      </c>
      <c r="CT223" s="421"/>
      <c r="CU223" s="59" t="str">
        <f t="shared" si="396"/>
        <v/>
      </c>
      <c r="CV223" s="60" t="str">
        <f t="shared" si="397"/>
        <v/>
      </c>
      <c r="CW223" s="421"/>
      <c r="CX223" s="59" t="str">
        <f t="shared" si="398"/>
        <v/>
      </c>
      <c r="CY223" s="60" t="str">
        <f t="shared" si="399"/>
        <v/>
      </c>
      <c r="CZ223" s="421"/>
      <c r="DA223" s="59" t="str">
        <f t="shared" si="400"/>
        <v/>
      </c>
      <c r="DB223" s="60" t="str">
        <f t="shared" si="401"/>
        <v/>
      </c>
      <c r="DC223" s="421"/>
      <c r="DD223" s="59" t="str">
        <f t="shared" si="402"/>
        <v/>
      </c>
      <c r="DE223" s="60" t="str">
        <f t="shared" si="403"/>
        <v/>
      </c>
      <c r="DF223" s="421"/>
      <c r="DG223" s="59" t="str">
        <f t="shared" si="404"/>
        <v/>
      </c>
      <c r="DH223" s="60" t="str">
        <f t="shared" si="405"/>
        <v/>
      </c>
      <c r="DI223" s="421"/>
      <c r="DJ223" s="59" t="str">
        <f t="shared" si="406"/>
        <v/>
      </c>
      <c r="DK223" s="60" t="str">
        <f t="shared" si="407"/>
        <v/>
      </c>
      <c r="DL223" s="421"/>
      <c r="DM223" s="59" t="str">
        <f t="shared" si="408"/>
        <v/>
      </c>
      <c r="DN223" s="60" t="str">
        <f t="shared" si="409"/>
        <v/>
      </c>
      <c r="DO223" s="421"/>
      <c r="DP223" s="59" t="str">
        <f t="shared" si="410"/>
        <v/>
      </c>
      <c r="DQ223" s="60" t="str">
        <f t="shared" si="411"/>
        <v/>
      </c>
      <c r="DR223" s="421"/>
      <c r="DS223" s="59" t="str">
        <f t="shared" si="412"/>
        <v/>
      </c>
      <c r="DT223" s="60" t="str">
        <f t="shared" si="413"/>
        <v/>
      </c>
      <c r="DU223" s="421"/>
      <c r="DV223" s="59" t="str">
        <f t="shared" si="414"/>
        <v/>
      </c>
      <c r="DW223" s="60" t="str">
        <f t="shared" si="415"/>
        <v/>
      </c>
      <c r="DX223" s="161"/>
    </row>
    <row r="224" spans="2:128" ht="23.25" customHeight="1" x14ac:dyDescent="0.2">
      <c r="B224" s="716"/>
      <c r="C224" s="717"/>
      <c r="D224" s="717"/>
      <c r="E224" s="314">
        <f t="shared" si="252"/>
        <v>39</v>
      </c>
      <c r="F224" s="750" t="str">
        <f t="shared" si="335"/>
        <v/>
      </c>
      <c r="G224" s="751"/>
      <c r="H224" s="421"/>
      <c r="I224" s="59" t="str">
        <f t="shared" si="336"/>
        <v/>
      </c>
      <c r="J224" s="62" t="str">
        <f t="shared" si="337"/>
        <v/>
      </c>
      <c r="K224" s="421"/>
      <c r="L224" s="59" t="str">
        <f t="shared" si="338"/>
        <v/>
      </c>
      <c r="M224" s="62" t="str">
        <f t="shared" si="339"/>
        <v/>
      </c>
      <c r="N224" s="421"/>
      <c r="O224" s="59" t="str">
        <f t="shared" si="340"/>
        <v/>
      </c>
      <c r="P224" s="62" t="str">
        <f t="shared" si="341"/>
        <v/>
      </c>
      <c r="Q224" s="421"/>
      <c r="R224" s="59" t="str">
        <f t="shared" si="342"/>
        <v/>
      </c>
      <c r="S224" s="60" t="str">
        <f t="shared" si="343"/>
        <v/>
      </c>
      <c r="T224" s="421"/>
      <c r="U224" s="59" t="str">
        <f t="shared" si="344"/>
        <v/>
      </c>
      <c r="V224" s="60" t="str">
        <f t="shared" si="345"/>
        <v/>
      </c>
      <c r="W224" s="421"/>
      <c r="X224" s="59" t="str">
        <f t="shared" si="346"/>
        <v/>
      </c>
      <c r="Y224" s="60" t="str">
        <f t="shared" si="347"/>
        <v/>
      </c>
      <c r="Z224" s="421"/>
      <c r="AA224" s="59" t="str">
        <f t="shared" si="348"/>
        <v/>
      </c>
      <c r="AB224" s="60" t="str">
        <f t="shared" si="349"/>
        <v/>
      </c>
      <c r="AC224" s="421"/>
      <c r="AD224" s="59" t="str">
        <f t="shared" si="350"/>
        <v/>
      </c>
      <c r="AE224" s="60" t="str">
        <f t="shared" si="351"/>
        <v/>
      </c>
      <c r="AF224" s="421"/>
      <c r="AG224" s="59" t="str">
        <f t="shared" si="352"/>
        <v/>
      </c>
      <c r="AH224" s="60" t="str">
        <f t="shared" si="353"/>
        <v/>
      </c>
      <c r="AI224" s="421"/>
      <c r="AJ224" s="59" t="str">
        <f t="shared" si="354"/>
        <v/>
      </c>
      <c r="AK224" s="60" t="str">
        <f t="shared" si="355"/>
        <v/>
      </c>
      <c r="AL224" s="421"/>
      <c r="AM224" s="59" t="str">
        <f t="shared" si="356"/>
        <v/>
      </c>
      <c r="AN224" s="60" t="str">
        <f t="shared" si="357"/>
        <v/>
      </c>
      <c r="AO224" s="421"/>
      <c r="AP224" s="59" t="str">
        <f t="shared" si="358"/>
        <v/>
      </c>
      <c r="AQ224" s="60" t="str">
        <f t="shared" si="359"/>
        <v/>
      </c>
      <c r="AR224" s="421"/>
      <c r="AS224" s="59" t="str">
        <f t="shared" si="360"/>
        <v/>
      </c>
      <c r="AT224" s="60" t="str">
        <f t="shared" si="361"/>
        <v/>
      </c>
      <c r="AU224" s="421"/>
      <c r="AV224" s="59" t="str">
        <f t="shared" si="362"/>
        <v/>
      </c>
      <c r="AW224" s="60" t="str">
        <f t="shared" si="363"/>
        <v/>
      </c>
      <c r="AX224" s="421"/>
      <c r="AY224" s="59" t="str">
        <f t="shared" si="364"/>
        <v/>
      </c>
      <c r="AZ224" s="60" t="str">
        <f t="shared" si="365"/>
        <v/>
      </c>
      <c r="BA224" s="421"/>
      <c r="BB224" s="59" t="str">
        <f t="shared" si="366"/>
        <v/>
      </c>
      <c r="BC224" s="60" t="str">
        <f t="shared" si="367"/>
        <v/>
      </c>
      <c r="BD224" s="421"/>
      <c r="BE224" s="59" t="str">
        <f t="shared" si="368"/>
        <v/>
      </c>
      <c r="BF224" s="60" t="str">
        <f t="shared" si="369"/>
        <v/>
      </c>
      <c r="BG224" s="421"/>
      <c r="BH224" s="59" t="str">
        <f t="shared" si="370"/>
        <v/>
      </c>
      <c r="BI224" s="60" t="str">
        <f t="shared" si="371"/>
        <v/>
      </c>
      <c r="BJ224" s="421"/>
      <c r="BK224" s="59" t="str">
        <f t="shared" si="372"/>
        <v/>
      </c>
      <c r="BL224" s="60" t="str">
        <f t="shared" si="373"/>
        <v/>
      </c>
      <c r="BM224" s="421"/>
      <c r="BN224" s="59" t="str">
        <f t="shared" si="374"/>
        <v/>
      </c>
      <c r="BO224" s="60" t="str">
        <f t="shared" si="375"/>
        <v/>
      </c>
      <c r="BP224" s="421"/>
      <c r="BQ224" s="59" t="str">
        <f t="shared" si="376"/>
        <v/>
      </c>
      <c r="BR224" s="60" t="str">
        <f t="shared" si="377"/>
        <v/>
      </c>
      <c r="BS224" s="421"/>
      <c r="BT224" s="59" t="str">
        <f t="shared" si="378"/>
        <v/>
      </c>
      <c r="BU224" s="60" t="str">
        <f t="shared" si="379"/>
        <v/>
      </c>
      <c r="BV224" s="421"/>
      <c r="BW224" s="59" t="str">
        <f t="shared" si="380"/>
        <v/>
      </c>
      <c r="BX224" s="60" t="str">
        <f t="shared" si="381"/>
        <v/>
      </c>
      <c r="BY224" s="421"/>
      <c r="BZ224" s="59" t="str">
        <f t="shared" si="382"/>
        <v/>
      </c>
      <c r="CA224" s="60" t="str">
        <f t="shared" si="383"/>
        <v/>
      </c>
      <c r="CB224" s="421"/>
      <c r="CC224" s="59" t="str">
        <f t="shared" si="384"/>
        <v/>
      </c>
      <c r="CD224" s="60" t="str">
        <f t="shared" si="385"/>
        <v/>
      </c>
      <c r="CE224" s="421"/>
      <c r="CF224" s="59" t="str">
        <f t="shared" si="386"/>
        <v/>
      </c>
      <c r="CG224" s="60" t="str">
        <f t="shared" si="387"/>
        <v/>
      </c>
      <c r="CH224" s="421"/>
      <c r="CI224" s="59" t="str">
        <f t="shared" si="388"/>
        <v/>
      </c>
      <c r="CJ224" s="60" t="str">
        <f t="shared" si="389"/>
        <v/>
      </c>
      <c r="CK224" s="421"/>
      <c r="CL224" s="59" t="str">
        <f t="shared" si="390"/>
        <v/>
      </c>
      <c r="CM224" s="60" t="str">
        <f t="shared" si="391"/>
        <v/>
      </c>
      <c r="CN224" s="421"/>
      <c r="CO224" s="59" t="str">
        <f t="shared" si="392"/>
        <v/>
      </c>
      <c r="CP224" s="60" t="str">
        <f t="shared" si="393"/>
        <v/>
      </c>
      <c r="CQ224" s="421"/>
      <c r="CR224" s="59" t="str">
        <f t="shared" si="394"/>
        <v/>
      </c>
      <c r="CS224" s="60" t="str">
        <f t="shared" si="395"/>
        <v/>
      </c>
      <c r="CT224" s="421"/>
      <c r="CU224" s="59" t="str">
        <f t="shared" si="396"/>
        <v/>
      </c>
      <c r="CV224" s="60" t="str">
        <f t="shared" si="397"/>
        <v/>
      </c>
      <c r="CW224" s="421"/>
      <c r="CX224" s="59" t="str">
        <f t="shared" si="398"/>
        <v/>
      </c>
      <c r="CY224" s="60" t="str">
        <f t="shared" si="399"/>
        <v/>
      </c>
      <c r="CZ224" s="421"/>
      <c r="DA224" s="59" t="str">
        <f t="shared" si="400"/>
        <v/>
      </c>
      <c r="DB224" s="60" t="str">
        <f t="shared" si="401"/>
        <v/>
      </c>
      <c r="DC224" s="421"/>
      <c r="DD224" s="59" t="str">
        <f t="shared" si="402"/>
        <v/>
      </c>
      <c r="DE224" s="60" t="str">
        <f t="shared" si="403"/>
        <v/>
      </c>
      <c r="DF224" s="421"/>
      <c r="DG224" s="59" t="str">
        <f t="shared" si="404"/>
        <v/>
      </c>
      <c r="DH224" s="60" t="str">
        <f t="shared" si="405"/>
        <v/>
      </c>
      <c r="DI224" s="421"/>
      <c r="DJ224" s="59" t="str">
        <f t="shared" si="406"/>
        <v/>
      </c>
      <c r="DK224" s="60" t="str">
        <f t="shared" si="407"/>
        <v/>
      </c>
      <c r="DL224" s="421"/>
      <c r="DM224" s="59" t="str">
        <f t="shared" si="408"/>
        <v/>
      </c>
      <c r="DN224" s="60" t="str">
        <f t="shared" si="409"/>
        <v/>
      </c>
      <c r="DO224" s="421"/>
      <c r="DP224" s="59" t="str">
        <f t="shared" si="410"/>
        <v/>
      </c>
      <c r="DQ224" s="60" t="str">
        <f t="shared" si="411"/>
        <v/>
      </c>
      <c r="DR224" s="421"/>
      <c r="DS224" s="59" t="str">
        <f t="shared" si="412"/>
        <v/>
      </c>
      <c r="DT224" s="60" t="str">
        <f t="shared" si="413"/>
        <v/>
      </c>
      <c r="DU224" s="421"/>
      <c r="DV224" s="59" t="str">
        <f t="shared" si="414"/>
        <v/>
      </c>
      <c r="DW224" s="60" t="str">
        <f t="shared" si="415"/>
        <v/>
      </c>
      <c r="DX224" s="161"/>
    </row>
    <row r="225" spans="2:128" ht="23.25" customHeight="1" x14ac:dyDescent="0.2">
      <c r="B225" s="716"/>
      <c r="C225" s="717"/>
      <c r="D225" s="717"/>
      <c r="E225" s="314">
        <f t="shared" si="252"/>
        <v>40</v>
      </c>
      <c r="F225" s="750" t="str">
        <f t="shared" si="335"/>
        <v/>
      </c>
      <c r="G225" s="751"/>
      <c r="H225" s="421"/>
      <c r="I225" s="59" t="str">
        <f t="shared" si="336"/>
        <v/>
      </c>
      <c r="J225" s="62" t="str">
        <f t="shared" si="337"/>
        <v/>
      </c>
      <c r="K225" s="421"/>
      <c r="L225" s="59" t="str">
        <f t="shared" si="338"/>
        <v/>
      </c>
      <c r="M225" s="62" t="str">
        <f t="shared" si="339"/>
        <v/>
      </c>
      <c r="N225" s="421"/>
      <c r="O225" s="59" t="str">
        <f t="shared" si="340"/>
        <v/>
      </c>
      <c r="P225" s="62" t="str">
        <f t="shared" si="341"/>
        <v/>
      </c>
      <c r="Q225" s="421"/>
      <c r="R225" s="59" t="str">
        <f t="shared" si="342"/>
        <v/>
      </c>
      <c r="S225" s="60" t="str">
        <f t="shared" si="343"/>
        <v/>
      </c>
      <c r="T225" s="421"/>
      <c r="U225" s="59" t="str">
        <f t="shared" si="344"/>
        <v/>
      </c>
      <c r="V225" s="60" t="str">
        <f t="shared" si="345"/>
        <v/>
      </c>
      <c r="W225" s="421"/>
      <c r="X225" s="59" t="str">
        <f t="shared" si="346"/>
        <v/>
      </c>
      <c r="Y225" s="60" t="str">
        <f t="shared" si="347"/>
        <v/>
      </c>
      <c r="Z225" s="421"/>
      <c r="AA225" s="59" t="str">
        <f t="shared" si="348"/>
        <v/>
      </c>
      <c r="AB225" s="60" t="str">
        <f t="shared" si="349"/>
        <v/>
      </c>
      <c r="AC225" s="421"/>
      <c r="AD225" s="59" t="str">
        <f t="shared" si="350"/>
        <v/>
      </c>
      <c r="AE225" s="60" t="str">
        <f t="shared" si="351"/>
        <v/>
      </c>
      <c r="AF225" s="421"/>
      <c r="AG225" s="59" t="str">
        <f t="shared" si="352"/>
        <v/>
      </c>
      <c r="AH225" s="60" t="str">
        <f t="shared" si="353"/>
        <v/>
      </c>
      <c r="AI225" s="421"/>
      <c r="AJ225" s="59" t="str">
        <f t="shared" si="354"/>
        <v/>
      </c>
      <c r="AK225" s="60" t="str">
        <f t="shared" si="355"/>
        <v/>
      </c>
      <c r="AL225" s="421"/>
      <c r="AM225" s="59" t="str">
        <f t="shared" si="356"/>
        <v/>
      </c>
      <c r="AN225" s="60" t="str">
        <f t="shared" si="357"/>
        <v/>
      </c>
      <c r="AO225" s="421"/>
      <c r="AP225" s="59" t="str">
        <f t="shared" si="358"/>
        <v/>
      </c>
      <c r="AQ225" s="60" t="str">
        <f t="shared" si="359"/>
        <v/>
      </c>
      <c r="AR225" s="421"/>
      <c r="AS225" s="59" t="str">
        <f t="shared" si="360"/>
        <v/>
      </c>
      <c r="AT225" s="60" t="str">
        <f t="shared" si="361"/>
        <v/>
      </c>
      <c r="AU225" s="421"/>
      <c r="AV225" s="59" t="str">
        <f t="shared" si="362"/>
        <v/>
      </c>
      <c r="AW225" s="60" t="str">
        <f t="shared" si="363"/>
        <v/>
      </c>
      <c r="AX225" s="421"/>
      <c r="AY225" s="59" t="str">
        <f t="shared" si="364"/>
        <v/>
      </c>
      <c r="AZ225" s="60" t="str">
        <f t="shared" si="365"/>
        <v/>
      </c>
      <c r="BA225" s="421"/>
      <c r="BB225" s="59" t="str">
        <f t="shared" si="366"/>
        <v/>
      </c>
      <c r="BC225" s="60" t="str">
        <f t="shared" si="367"/>
        <v/>
      </c>
      <c r="BD225" s="421"/>
      <c r="BE225" s="59" t="str">
        <f t="shared" si="368"/>
        <v/>
      </c>
      <c r="BF225" s="60" t="str">
        <f t="shared" si="369"/>
        <v/>
      </c>
      <c r="BG225" s="421"/>
      <c r="BH225" s="59" t="str">
        <f t="shared" si="370"/>
        <v/>
      </c>
      <c r="BI225" s="60" t="str">
        <f t="shared" si="371"/>
        <v/>
      </c>
      <c r="BJ225" s="421"/>
      <c r="BK225" s="59" t="str">
        <f t="shared" si="372"/>
        <v/>
      </c>
      <c r="BL225" s="60" t="str">
        <f t="shared" si="373"/>
        <v/>
      </c>
      <c r="BM225" s="421"/>
      <c r="BN225" s="59" t="str">
        <f t="shared" si="374"/>
        <v/>
      </c>
      <c r="BO225" s="60" t="str">
        <f t="shared" si="375"/>
        <v/>
      </c>
      <c r="BP225" s="421"/>
      <c r="BQ225" s="59" t="str">
        <f t="shared" si="376"/>
        <v/>
      </c>
      <c r="BR225" s="60" t="str">
        <f t="shared" si="377"/>
        <v/>
      </c>
      <c r="BS225" s="421"/>
      <c r="BT225" s="59" t="str">
        <f t="shared" si="378"/>
        <v/>
      </c>
      <c r="BU225" s="60" t="str">
        <f t="shared" si="379"/>
        <v/>
      </c>
      <c r="BV225" s="421"/>
      <c r="BW225" s="59" t="str">
        <f t="shared" si="380"/>
        <v/>
      </c>
      <c r="BX225" s="60" t="str">
        <f t="shared" si="381"/>
        <v/>
      </c>
      <c r="BY225" s="421"/>
      <c r="BZ225" s="59" t="str">
        <f t="shared" si="382"/>
        <v/>
      </c>
      <c r="CA225" s="60" t="str">
        <f t="shared" si="383"/>
        <v/>
      </c>
      <c r="CB225" s="421"/>
      <c r="CC225" s="59" t="str">
        <f t="shared" si="384"/>
        <v/>
      </c>
      <c r="CD225" s="60" t="str">
        <f t="shared" si="385"/>
        <v/>
      </c>
      <c r="CE225" s="421"/>
      <c r="CF225" s="59" t="str">
        <f t="shared" si="386"/>
        <v/>
      </c>
      <c r="CG225" s="60" t="str">
        <f t="shared" si="387"/>
        <v/>
      </c>
      <c r="CH225" s="421"/>
      <c r="CI225" s="59" t="str">
        <f t="shared" si="388"/>
        <v/>
      </c>
      <c r="CJ225" s="60" t="str">
        <f t="shared" si="389"/>
        <v/>
      </c>
      <c r="CK225" s="421"/>
      <c r="CL225" s="59" t="str">
        <f t="shared" si="390"/>
        <v/>
      </c>
      <c r="CM225" s="60" t="str">
        <f t="shared" si="391"/>
        <v/>
      </c>
      <c r="CN225" s="421"/>
      <c r="CO225" s="59" t="str">
        <f t="shared" si="392"/>
        <v/>
      </c>
      <c r="CP225" s="60" t="str">
        <f t="shared" si="393"/>
        <v/>
      </c>
      <c r="CQ225" s="421"/>
      <c r="CR225" s="59" t="str">
        <f t="shared" si="394"/>
        <v/>
      </c>
      <c r="CS225" s="60" t="str">
        <f t="shared" si="395"/>
        <v/>
      </c>
      <c r="CT225" s="421"/>
      <c r="CU225" s="59" t="str">
        <f t="shared" si="396"/>
        <v/>
      </c>
      <c r="CV225" s="60" t="str">
        <f t="shared" si="397"/>
        <v/>
      </c>
      <c r="CW225" s="421"/>
      <c r="CX225" s="59" t="str">
        <f t="shared" si="398"/>
        <v/>
      </c>
      <c r="CY225" s="60" t="str">
        <f t="shared" si="399"/>
        <v/>
      </c>
      <c r="CZ225" s="421"/>
      <c r="DA225" s="59" t="str">
        <f t="shared" si="400"/>
        <v/>
      </c>
      <c r="DB225" s="60" t="str">
        <f t="shared" si="401"/>
        <v/>
      </c>
      <c r="DC225" s="421"/>
      <c r="DD225" s="59" t="str">
        <f t="shared" si="402"/>
        <v/>
      </c>
      <c r="DE225" s="60" t="str">
        <f t="shared" si="403"/>
        <v/>
      </c>
      <c r="DF225" s="421"/>
      <c r="DG225" s="59" t="str">
        <f t="shared" si="404"/>
        <v/>
      </c>
      <c r="DH225" s="60" t="str">
        <f t="shared" si="405"/>
        <v/>
      </c>
      <c r="DI225" s="421"/>
      <c r="DJ225" s="59" t="str">
        <f t="shared" si="406"/>
        <v/>
      </c>
      <c r="DK225" s="60" t="str">
        <f t="shared" si="407"/>
        <v/>
      </c>
      <c r="DL225" s="421"/>
      <c r="DM225" s="59" t="str">
        <f t="shared" si="408"/>
        <v/>
      </c>
      <c r="DN225" s="60" t="str">
        <f t="shared" si="409"/>
        <v/>
      </c>
      <c r="DO225" s="421"/>
      <c r="DP225" s="59" t="str">
        <f t="shared" si="410"/>
        <v/>
      </c>
      <c r="DQ225" s="60" t="str">
        <f t="shared" si="411"/>
        <v/>
      </c>
      <c r="DR225" s="421"/>
      <c r="DS225" s="59" t="str">
        <f t="shared" si="412"/>
        <v/>
      </c>
      <c r="DT225" s="60" t="str">
        <f t="shared" si="413"/>
        <v/>
      </c>
      <c r="DU225" s="421"/>
      <c r="DV225" s="59" t="str">
        <f t="shared" si="414"/>
        <v/>
      </c>
      <c r="DW225" s="60" t="str">
        <f t="shared" si="415"/>
        <v/>
      </c>
      <c r="DX225" s="161"/>
    </row>
    <row r="226" spans="2:128" ht="23.25" customHeight="1" x14ac:dyDescent="0.2">
      <c r="B226" s="716"/>
      <c r="C226" s="717"/>
      <c r="D226" s="717"/>
      <c r="E226" s="314">
        <f t="shared" si="252"/>
        <v>41</v>
      </c>
      <c r="F226" s="750" t="str">
        <f t="shared" si="335"/>
        <v/>
      </c>
      <c r="G226" s="751"/>
      <c r="H226" s="421"/>
      <c r="I226" s="59" t="str">
        <f t="shared" si="336"/>
        <v/>
      </c>
      <c r="J226" s="62" t="str">
        <f t="shared" si="337"/>
        <v/>
      </c>
      <c r="K226" s="421"/>
      <c r="L226" s="59" t="str">
        <f t="shared" si="338"/>
        <v/>
      </c>
      <c r="M226" s="62" t="str">
        <f t="shared" si="339"/>
        <v/>
      </c>
      <c r="N226" s="421"/>
      <c r="O226" s="59" t="str">
        <f t="shared" si="340"/>
        <v/>
      </c>
      <c r="P226" s="62" t="str">
        <f t="shared" si="341"/>
        <v/>
      </c>
      <c r="Q226" s="421"/>
      <c r="R226" s="59" t="str">
        <f t="shared" si="342"/>
        <v/>
      </c>
      <c r="S226" s="60" t="str">
        <f t="shared" si="343"/>
        <v/>
      </c>
      <c r="T226" s="421"/>
      <c r="U226" s="59" t="str">
        <f t="shared" si="344"/>
        <v/>
      </c>
      <c r="V226" s="60" t="str">
        <f t="shared" si="345"/>
        <v/>
      </c>
      <c r="W226" s="421"/>
      <c r="X226" s="59" t="str">
        <f t="shared" si="346"/>
        <v/>
      </c>
      <c r="Y226" s="60" t="str">
        <f t="shared" si="347"/>
        <v/>
      </c>
      <c r="Z226" s="421"/>
      <c r="AA226" s="59" t="str">
        <f t="shared" si="348"/>
        <v/>
      </c>
      <c r="AB226" s="60" t="str">
        <f t="shared" si="349"/>
        <v/>
      </c>
      <c r="AC226" s="421"/>
      <c r="AD226" s="59" t="str">
        <f t="shared" si="350"/>
        <v/>
      </c>
      <c r="AE226" s="60" t="str">
        <f t="shared" si="351"/>
        <v/>
      </c>
      <c r="AF226" s="421"/>
      <c r="AG226" s="59" t="str">
        <f t="shared" si="352"/>
        <v/>
      </c>
      <c r="AH226" s="60" t="str">
        <f t="shared" si="353"/>
        <v/>
      </c>
      <c r="AI226" s="421"/>
      <c r="AJ226" s="59" t="str">
        <f t="shared" si="354"/>
        <v/>
      </c>
      <c r="AK226" s="60" t="str">
        <f t="shared" si="355"/>
        <v/>
      </c>
      <c r="AL226" s="421"/>
      <c r="AM226" s="59" t="str">
        <f t="shared" si="356"/>
        <v/>
      </c>
      <c r="AN226" s="60" t="str">
        <f t="shared" si="357"/>
        <v/>
      </c>
      <c r="AO226" s="421"/>
      <c r="AP226" s="59" t="str">
        <f t="shared" si="358"/>
        <v/>
      </c>
      <c r="AQ226" s="60" t="str">
        <f t="shared" si="359"/>
        <v/>
      </c>
      <c r="AR226" s="421"/>
      <c r="AS226" s="59" t="str">
        <f t="shared" si="360"/>
        <v/>
      </c>
      <c r="AT226" s="60" t="str">
        <f t="shared" si="361"/>
        <v/>
      </c>
      <c r="AU226" s="421"/>
      <c r="AV226" s="59" t="str">
        <f t="shared" si="362"/>
        <v/>
      </c>
      <c r="AW226" s="60" t="str">
        <f t="shared" si="363"/>
        <v/>
      </c>
      <c r="AX226" s="421"/>
      <c r="AY226" s="59" t="str">
        <f t="shared" si="364"/>
        <v/>
      </c>
      <c r="AZ226" s="60" t="str">
        <f t="shared" si="365"/>
        <v/>
      </c>
      <c r="BA226" s="421"/>
      <c r="BB226" s="59" t="str">
        <f t="shared" si="366"/>
        <v/>
      </c>
      <c r="BC226" s="60" t="str">
        <f t="shared" si="367"/>
        <v/>
      </c>
      <c r="BD226" s="421"/>
      <c r="BE226" s="59" t="str">
        <f t="shared" si="368"/>
        <v/>
      </c>
      <c r="BF226" s="60" t="str">
        <f t="shared" si="369"/>
        <v/>
      </c>
      <c r="BG226" s="421"/>
      <c r="BH226" s="59" t="str">
        <f t="shared" si="370"/>
        <v/>
      </c>
      <c r="BI226" s="60" t="str">
        <f t="shared" si="371"/>
        <v/>
      </c>
      <c r="BJ226" s="421"/>
      <c r="BK226" s="59" t="str">
        <f t="shared" si="372"/>
        <v/>
      </c>
      <c r="BL226" s="60" t="str">
        <f t="shared" si="373"/>
        <v/>
      </c>
      <c r="BM226" s="421"/>
      <c r="BN226" s="59" t="str">
        <f t="shared" si="374"/>
        <v/>
      </c>
      <c r="BO226" s="60" t="str">
        <f t="shared" si="375"/>
        <v/>
      </c>
      <c r="BP226" s="421"/>
      <c r="BQ226" s="59" t="str">
        <f t="shared" si="376"/>
        <v/>
      </c>
      <c r="BR226" s="60" t="str">
        <f t="shared" si="377"/>
        <v/>
      </c>
      <c r="BS226" s="421"/>
      <c r="BT226" s="59" t="str">
        <f t="shared" si="378"/>
        <v/>
      </c>
      <c r="BU226" s="60" t="str">
        <f t="shared" si="379"/>
        <v/>
      </c>
      <c r="BV226" s="421"/>
      <c r="BW226" s="59" t="str">
        <f t="shared" si="380"/>
        <v/>
      </c>
      <c r="BX226" s="60" t="str">
        <f t="shared" si="381"/>
        <v/>
      </c>
      <c r="BY226" s="421"/>
      <c r="BZ226" s="59" t="str">
        <f t="shared" si="382"/>
        <v/>
      </c>
      <c r="CA226" s="60" t="str">
        <f t="shared" si="383"/>
        <v/>
      </c>
      <c r="CB226" s="421"/>
      <c r="CC226" s="59" t="str">
        <f t="shared" si="384"/>
        <v/>
      </c>
      <c r="CD226" s="60" t="str">
        <f t="shared" si="385"/>
        <v/>
      </c>
      <c r="CE226" s="421"/>
      <c r="CF226" s="59" t="str">
        <f t="shared" si="386"/>
        <v/>
      </c>
      <c r="CG226" s="60" t="str">
        <f t="shared" si="387"/>
        <v/>
      </c>
      <c r="CH226" s="421"/>
      <c r="CI226" s="59" t="str">
        <f t="shared" si="388"/>
        <v/>
      </c>
      <c r="CJ226" s="60" t="str">
        <f t="shared" si="389"/>
        <v/>
      </c>
      <c r="CK226" s="421"/>
      <c r="CL226" s="59" t="str">
        <f t="shared" si="390"/>
        <v/>
      </c>
      <c r="CM226" s="60" t="str">
        <f t="shared" si="391"/>
        <v/>
      </c>
      <c r="CN226" s="421"/>
      <c r="CO226" s="59" t="str">
        <f t="shared" si="392"/>
        <v/>
      </c>
      <c r="CP226" s="60" t="str">
        <f t="shared" si="393"/>
        <v/>
      </c>
      <c r="CQ226" s="421"/>
      <c r="CR226" s="59" t="str">
        <f t="shared" si="394"/>
        <v/>
      </c>
      <c r="CS226" s="60" t="str">
        <f t="shared" si="395"/>
        <v/>
      </c>
      <c r="CT226" s="421"/>
      <c r="CU226" s="59" t="str">
        <f t="shared" si="396"/>
        <v/>
      </c>
      <c r="CV226" s="60" t="str">
        <f t="shared" si="397"/>
        <v/>
      </c>
      <c r="CW226" s="421"/>
      <c r="CX226" s="59" t="str">
        <f t="shared" si="398"/>
        <v/>
      </c>
      <c r="CY226" s="60" t="str">
        <f t="shared" si="399"/>
        <v/>
      </c>
      <c r="CZ226" s="421"/>
      <c r="DA226" s="59" t="str">
        <f t="shared" si="400"/>
        <v/>
      </c>
      <c r="DB226" s="60" t="str">
        <f t="shared" si="401"/>
        <v/>
      </c>
      <c r="DC226" s="421"/>
      <c r="DD226" s="59" t="str">
        <f t="shared" si="402"/>
        <v/>
      </c>
      <c r="DE226" s="60" t="str">
        <f t="shared" si="403"/>
        <v/>
      </c>
      <c r="DF226" s="421"/>
      <c r="DG226" s="59" t="str">
        <f t="shared" si="404"/>
        <v/>
      </c>
      <c r="DH226" s="60" t="str">
        <f t="shared" si="405"/>
        <v/>
      </c>
      <c r="DI226" s="421"/>
      <c r="DJ226" s="59" t="str">
        <f t="shared" si="406"/>
        <v/>
      </c>
      <c r="DK226" s="60" t="str">
        <f t="shared" si="407"/>
        <v/>
      </c>
      <c r="DL226" s="421"/>
      <c r="DM226" s="59" t="str">
        <f t="shared" si="408"/>
        <v/>
      </c>
      <c r="DN226" s="60" t="str">
        <f t="shared" si="409"/>
        <v/>
      </c>
      <c r="DO226" s="421"/>
      <c r="DP226" s="59" t="str">
        <f t="shared" si="410"/>
        <v/>
      </c>
      <c r="DQ226" s="60" t="str">
        <f t="shared" si="411"/>
        <v/>
      </c>
      <c r="DR226" s="421"/>
      <c r="DS226" s="59" t="str">
        <f t="shared" si="412"/>
        <v/>
      </c>
      <c r="DT226" s="60" t="str">
        <f t="shared" si="413"/>
        <v/>
      </c>
      <c r="DU226" s="421"/>
      <c r="DV226" s="59" t="str">
        <f t="shared" si="414"/>
        <v/>
      </c>
      <c r="DW226" s="60" t="str">
        <f t="shared" si="415"/>
        <v/>
      </c>
      <c r="DX226" s="161"/>
    </row>
    <row r="227" spans="2:128" ht="23.25" customHeight="1" x14ac:dyDescent="0.2">
      <c r="B227" s="716"/>
      <c r="C227" s="717"/>
      <c r="D227" s="717"/>
      <c r="E227" s="314">
        <f t="shared" si="252"/>
        <v>42</v>
      </c>
      <c r="F227" s="750" t="str">
        <f t="shared" si="335"/>
        <v/>
      </c>
      <c r="G227" s="751"/>
      <c r="H227" s="421"/>
      <c r="I227" s="59" t="str">
        <f t="shared" si="336"/>
        <v/>
      </c>
      <c r="J227" s="62" t="str">
        <f t="shared" si="337"/>
        <v/>
      </c>
      <c r="K227" s="421"/>
      <c r="L227" s="59" t="str">
        <f t="shared" si="338"/>
        <v/>
      </c>
      <c r="M227" s="62" t="str">
        <f t="shared" si="339"/>
        <v/>
      </c>
      <c r="N227" s="421"/>
      <c r="O227" s="59" t="str">
        <f t="shared" si="340"/>
        <v/>
      </c>
      <c r="P227" s="62" t="str">
        <f t="shared" si="341"/>
        <v/>
      </c>
      <c r="Q227" s="421"/>
      <c r="R227" s="59" t="str">
        <f t="shared" si="342"/>
        <v/>
      </c>
      <c r="S227" s="60" t="str">
        <f t="shared" si="343"/>
        <v/>
      </c>
      <c r="T227" s="421"/>
      <c r="U227" s="59" t="str">
        <f t="shared" si="344"/>
        <v/>
      </c>
      <c r="V227" s="60" t="str">
        <f t="shared" si="345"/>
        <v/>
      </c>
      <c r="W227" s="421"/>
      <c r="X227" s="59" t="str">
        <f t="shared" si="346"/>
        <v/>
      </c>
      <c r="Y227" s="60" t="str">
        <f t="shared" si="347"/>
        <v/>
      </c>
      <c r="Z227" s="421"/>
      <c r="AA227" s="59" t="str">
        <f t="shared" si="348"/>
        <v/>
      </c>
      <c r="AB227" s="60" t="str">
        <f t="shared" si="349"/>
        <v/>
      </c>
      <c r="AC227" s="421"/>
      <c r="AD227" s="59" t="str">
        <f t="shared" si="350"/>
        <v/>
      </c>
      <c r="AE227" s="60" t="str">
        <f t="shared" si="351"/>
        <v/>
      </c>
      <c r="AF227" s="421"/>
      <c r="AG227" s="59" t="str">
        <f t="shared" si="352"/>
        <v/>
      </c>
      <c r="AH227" s="60" t="str">
        <f t="shared" si="353"/>
        <v/>
      </c>
      <c r="AI227" s="421"/>
      <c r="AJ227" s="59" t="str">
        <f t="shared" si="354"/>
        <v/>
      </c>
      <c r="AK227" s="60" t="str">
        <f t="shared" si="355"/>
        <v/>
      </c>
      <c r="AL227" s="421"/>
      <c r="AM227" s="59" t="str">
        <f t="shared" si="356"/>
        <v/>
      </c>
      <c r="AN227" s="60" t="str">
        <f t="shared" si="357"/>
        <v/>
      </c>
      <c r="AO227" s="421"/>
      <c r="AP227" s="59" t="str">
        <f t="shared" si="358"/>
        <v/>
      </c>
      <c r="AQ227" s="60" t="str">
        <f t="shared" si="359"/>
        <v/>
      </c>
      <c r="AR227" s="421"/>
      <c r="AS227" s="59" t="str">
        <f t="shared" si="360"/>
        <v/>
      </c>
      <c r="AT227" s="60" t="str">
        <f t="shared" si="361"/>
        <v/>
      </c>
      <c r="AU227" s="421"/>
      <c r="AV227" s="59" t="str">
        <f t="shared" si="362"/>
        <v/>
      </c>
      <c r="AW227" s="60" t="str">
        <f t="shared" si="363"/>
        <v/>
      </c>
      <c r="AX227" s="421"/>
      <c r="AY227" s="59" t="str">
        <f t="shared" si="364"/>
        <v/>
      </c>
      <c r="AZ227" s="60" t="str">
        <f t="shared" si="365"/>
        <v/>
      </c>
      <c r="BA227" s="421"/>
      <c r="BB227" s="59" t="str">
        <f t="shared" si="366"/>
        <v/>
      </c>
      <c r="BC227" s="60" t="str">
        <f t="shared" si="367"/>
        <v/>
      </c>
      <c r="BD227" s="421"/>
      <c r="BE227" s="59" t="str">
        <f t="shared" si="368"/>
        <v/>
      </c>
      <c r="BF227" s="60" t="str">
        <f t="shared" si="369"/>
        <v/>
      </c>
      <c r="BG227" s="421"/>
      <c r="BH227" s="59" t="str">
        <f t="shared" si="370"/>
        <v/>
      </c>
      <c r="BI227" s="60" t="str">
        <f t="shared" si="371"/>
        <v/>
      </c>
      <c r="BJ227" s="421"/>
      <c r="BK227" s="59" t="str">
        <f t="shared" si="372"/>
        <v/>
      </c>
      <c r="BL227" s="60" t="str">
        <f t="shared" si="373"/>
        <v/>
      </c>
      <c r="BM227" s="421"/>
      <c r="BN227" s="59" t="str">
        <f t="shared" si="374"/>
        <v/>
      </c>
      <c r="BO227" s="60" t="str">
        <f t="shared" si="375"/>
        <v/>
      </c>
      <c r="BP227" s="421"/>
      <c r="BQ227" s="59" t="str">
        <f t="shared" si="376"/>
        <v/>
      </c>
      <c r="BR227" s="60" t="str">
        <f t="shared" si="377"/>
        <v/>
      </c>
      <c r="BS227" s="421"/>
      <c r="BT227" s="59" t="str">
        <f t="shared" si="378"/>
        <v/>
      </c>
      <c r="BU227" s="60" t="str">
        <f t="shared" si="379"/>
        <v/>
      </c>
      <c r="BV227" s="421"/>
      <c r="BW227" s="59" t="str">
        <f t="shared" si="380"/>
        <v/>
      </c>
      <c r="BX227" s="60" t="str">
        <f t="shared" si="381"/>
        <v/>
      </c>
      <c r="BY227" s="421"/>
      <c r="BZ227" s="59" t="str">
        <f t="shared" si="382"/>
        <v/>
      </c>
      <c r="CA227" s="60" t="str">
        <f t="shared" si="383"/>
        <v/>
      </c>
      <c r="CB227" s="421"/>
      <c r="CC227" s="59" t="str">
        <f t="shared" si="384"/>
        <v/>
      </c>
      <c r="CD227" s="60" t="str">
        <f t="shared" si="385"/>
        <v/>
      </c>
      <c r="CE227" s="421"/>
      <c r="CF227" s="59" t="str">
        <f t="shared" si="386"/>
        <v/>
      </c>
      <c r="CG227" s="60" t="str">
        <f t="shared" si="387"/>
        <v/>
      </c>
      <c r="CH227" s="421"/>
      <c r="CI227" s="59" t="str">
        <f t="shared" si="388"/>
        <v/>
      </c>
      <c r="CJ227" s="60" t="str">
        <f t="shared" si="389"/>
        <v/>
      </c>
      <c r="CK227" s="421"/>
      <c r="CL227" s="59" t="str">
        <f t="shared" si="390"/>
        <v/>
      </c>
      <c r="CM227" s="60" t="str">
        <f t="shared" si="391"/>
        <v/>
      </c>
      <c r="CN227" s="421"/>
      <c r="CO227" s="59" t="str">
        <f t="shared" si="392"/>
        <v/>
      </c>
      <c r="CP227" s="60" t="str">
        <f t="shared" si="393"/>
        <v/>
      </c>
      <c r="CQ227" s="421"/>
      <c r="CR227" s="59" t="str">
        <f t="shared" si="394"/>
        <v/>
      </c>
      <c r="CS227" s="60" t="str">
        <f t="shared" si="395"/>
        <v/>
      </c>
      <c r="CT227" s="421"/>
      <c r="CU227" s="59" t="str">
        <f t="shared" si="396"/>
        <v/>
      </c>
      <c r="CV227" s="60" t="str">
        <f t="shared" si="397"/>
        <v/>
      </c>
      <c r="CW227" s="421"/>
      <c r="CX227" s="59" t="str">
        <f t="shared" si="398"/>
        <v/>
      </c>
      <c r="CY227" s="60" t="str">
        <f t="shared" si="399"/>
        <v/>
      </c>
      <c r="CZ227" s="421"/>
      <c r="DA227" s="59" t="str">
        <f t="shared" si="400"/>
        <v/>
      </c>
      <c r="DB227" s="60" t="str">
        <f t="shared" si="401"/>
        <v/>
      </c>
      <c r="DC227" s="421"/>
      <c r="DD227" s="59" t="str">
        <f t="shared" si="402"/>
        <v/>
      </c>
      <c r="DE227" s="60" t="str">
        <f t="shared" si="403"/>
        <v/>
      </c>
      <c r="DF227" s="421"/>
      <c r="DG227" s="59" t="str">
        <f t="shared" si="404"/>
        <v/>
      </c>
      <c r="DH227" s="60" t="str">
        <f t="shared" si="405"/>
        <v/>
      </c>
      <c r="DI227" s="421"/>
      <c r="DJ227" s="59" t="str">
        <f t="shared" si="406"/>
        <v/>
      </c>
      <c r="DK227" s="60" t="str">
        <f t="shared" si="407"/>
        <v/>
      </c>
      <c r="DL227" s="421"/>
      <c r="DM227" s="59" t="str">
        <f t="shared" si="408"/>
        <v/>
      </c>
      <c r="DN227" s="60" t="str">
        <f t="shared" si="409"/>
        <v/>
      </c>
      <c r="DO227" s="421"/>
      <c r="DP227" s="59" t="str">
        <f t="shared" si="410"/>
        <v/>
      </c>
      <c r="DQ227" s="60" t="str">
        <f t="shared" si="411"/>
        <v/>
      </c>
      <c r="DR227" s="421"/>
      <c r="DS227" s="59" t="str">
        <f t="shared" si="412"/>
        <v/>
      </c>
      <c r="DT227" s="60" t="str">
        <f t="shared" si="413"/>
        <v/>
      </c>
      <c r="DU227" s="421"/>
      <c r="DV227" s="59" t="str">
        <f t="shared" si="414"/>
        <v/>
      </c>
      <c r="DW227" s="60" t="str">
        <f t="shared" si="415"/>
        <v/>
      </c>
      <c r="DX227" s="161"/>
    </row>
    <row r="228" spans="2:128" ht="23.25" customHeight="1" x14ac:dyDescent="0.2">
      <c r="B228" s="716"/>
      <c r="C228" s="717"/>
      <c r="D228" s="717"/>
      <c r="E228" s="314">
        <f t="shared" si="252"/>
        <v>43</v>
      </c>
      <c r="F228" s="750" t="str">
        <f t="shared" si="335"/>
        <v/>
      </c>
      <c r="G228" s="751"/>
      <c r="H228" s="421"/>
      <c r="I228" s="59" t="str">
        <f t="shared" si="336"/>
        <v/>
      </c>
      <c r="J228" s="62" t="str">
        <f t="shared" si="337"/>
        <v/>
      </c>
      <c r="K228" s="421"/>
      <c r="L228" s="59" t="str">
        <f t="shared" si="338"/>
        <v/>
      </c>
      <c r="M228" s="62" t="str">
        <f t="shared" si="339"/>
        <v/>
      </c>
      <c r="N228" s="421"/>
      <c r="O228" s="59" t="str">
        <f t="shared" si="340"/>
        <v/>
      </c>
      <c r="P228" s="62" t="str">
        <f t="shared" si="341"/>
        <v/>
      </c>
      <c r="Q228" s="421"/>
      <c r="R228" s="59" t="str">
        <f t="shared" si="342"/>
        <v/>
      </c>
      <c r="S228" s="60" t="str">
        <f t="shared" si="343"/>
        <v/>
      </c>
      <c r="T228" s="421"/>
      <c r="U228" s="59" t="str">
        <f t="shared" si="344"/>
        <v/>
      </c>
      <c r="V228" s="60" t="str">
        <f t="shared" si="345"/>
        <v/>
      </c>
      <c r="W228" s="421"/>
      <c r="X228" s="59" t="str">
        <f t="shared" si="346"/>
        <v/>
      </c>
      <c r="Y228" s="60" t="str">
        <f t="shared" si="347"/>
        <v/>
      </c>
      <c r="Z228" s="421"/>
      <c r="AA228" s="59" t="str">
        <f t="shared" si="348"/>
        <v/>
      </c>
      <c r="AB228" s="60" t="str">
        <f t="shared" si="349"/>
        <v/>
      </c>
      <c r="AC228" s="421"/>
      <c r="AD228" s="59" t="str">
        <f t="shared" si="350"/>
        <v/>
      </c>
      <c r="AE228" s="60" t="str">
        <f t="shared" si="351"/>
        <v/>
      </c>
      <c r="AF228" s="421"/>
      <c r="AG228" s="59" t="str">
        <f t="shared" si="352"/>
        <v/>
      </c>
      <c r="AH228" s="60" t="str">
        <f t="shared" si="353"/>
        <v/>
      </c>
      <c r="AI228" s="421"/>
      <c r="AJ228" s="59" t="str">
        <f t="shared" si="354"/>
        <v/>
      </c>
      <c r="AK228" s="60" t="str">
        <f t="shared" si="355"/>
        <v/>
      </c>
      <c r="AL228" s="421"/>
      <c r="AM228" s="59" t="str">
        <f t="shared" si="356"/>
        <v/>
      </c>
      <c r="AN228" s="60" t="str">
        <f t="shared" si="357"/>
        <v/>
      </c>
      <c r="AO228" s="421"/>
      <c r="AP228" s="59" t="str">
        <f t="shared" si="358"/>
        <v/>
      </c>
      <c r="AQ228" s="60" t="str">
        <f t="shared" si="359"/>
        <v/>
      </c>
      <c r="AR228" s="421"/>
      <c r="AS228" s="59" t="str">
        <f t="shared" si="360"/>
        <v/>
      </c>
      <c r="AT228" s="60" t="str">
        <f t="shared" si="361"/>
        <v/>
      </c>
      <c r="AU228" s="421"/>
      <c r="AV228" s="59" t="str">
        <f t="shared" si="362"/>
        <v/>
      </c>
      <c r="AW228" s="60" t="str">
        <f t="shared" si="363"/>
        <v/>
      </c>
      <c r="AX228" s="421"/>
      <c r="AY228" s="59" t="str">
        <f t="shared" si="364"/>
        <v/>
      </c>
      <c r="AZ228" s="60" t="str">
        <f t="shared" si="365"/>
        <v/>
      </c>
      <c r="BA228" s="421"/>
      <c r="BB228" s="59" t="str">
        <f t="shared" si="366"/>
        <v/>
      </c>
      <c r="BC228" s="60" t="str">
        <f t="shared" si="367"/>
        <v/>
      </c>
      <c r="BD228" s="421"/>
      <c r="BE228" s="59" t="str">
        <f t="shared" si="368"/>
        <v/>
      </c>
      <c r="BF228" s="60" t="str">
        <f t="shared" si="369"/>
        <v/>
      </c>
      <c r="BG228" s="421"/>
      <c r="BH228" s="59" t="str">
        <f t="shared" si="370"/>
        <v/>
      </c>
      <c r="BI228" s="60" t="str">
        <f t="shared" si="371"/>
        <v/>
      </c>
      <c r="BJ228" s="421"/>
      <c r="BK228" s="59" t="str">
        <f t="shared" si="372"/>
        <v/>
      </c>
      <c r="BL228" s="60" t="str">
        <f t="shared" si="373"/>
        <v/>
      </c>
      <c r="BM228" s="421"/>
      <c r="BN228" s="59" t="str">
        <f t="shared" si="374"/>
        <v/>
      </c>
      <c r="BO228" s="60" t="str">
        <f t="shared" si="375"/>
        <v/>
      </c>
      <c r="BP228" s="421"/>
      <c r="BQ228" s="59" t="str">
        <f t="shared" si="376"/>
        <v/>
      </c>
      <c r="BR228" s="60" t="str">
        <f t="shared" si="377"/>
        <v/>
      </c>
      <c r="BS228" s="421"/>
      <c r="BT228" s="59" t="str">
        <f t="shared" si="378"/>
        <v/>
      </c>
      <c r="BU228" s="60" t="str">
        <f t="shared" si="379"/>
        <v/>
      </c>
      <c r="BV228" s="421"/>
      <c r="BW228" s="59" t="str">
        <f t="shared" si="380"/>
        <v/>
      </c>
      <c r="BX228" s="60" t="str">
        <f t="shared" si="381"/>
        <v/>
      </c>
      <c r="BY228" s="421"/>
      <c r="BZ228" s="59" t="str">
        <f t="shared" si="382"/>
        <v/>
      </c>
      <c r="CA228" s="60" t="str">
        <f t="shared" si="383"/>
        <v/>
      </c>
      <c r="CB228" s="421"/>
      <c r="CC228" s="59" t="str">
        <f t="shared" si="384"/>
        <v/>
      </c>
      <c r="CD228" s="60" t="str">
        <f t="shared" si="385"/>
        <v/>
      </c>
      <c r="CE228" s="421"/>
      <c r="CF228" s="59" t="str">
        <f t="shared" si="386"/>
        <v/>
      </c>
      <c r="CG228" s="60" t="str">
        <f t="shared" si="387"/>
        <v/>
      </c>
      <c r="CH228" s="421"/>
      <c r="CI228" s="59" t="str">
        <f t="shared" si="388"/>
        <v/>
      </c>
      <c r="CJ228" s="60" t="str">
        <f t="shared" si="389"/>
        <v/>
      </c>
      <c r="CK228" s="421"/>
      <c r="CL228" s="59" t="str">
        <f t="shared" si="390"/>
        <v/>
      </c>
      <c r="CM228" s="60" t="str">
        <f t="shared" si="391"/>
        <v/>
      </c>
      <c r="CN228" s="421"/>
      <c r="CO228" s="59" t="str">
        <f t="shared" si="392"/>
        <v/>
      </c>
      <c r="CP228" s="60" t="str">
        <f t="shared" si="393"/>
        <v/>
      </c>
      <c r="CQ228" s="421"/>
      <c r="CR228" s="59" t="str">
        <f t="shared" si="394"/>
        <v/>
      </c>
      <c r="CS228" s="60" t="str">
        <f t="shared" si="395"/>
        <v/>
      </c>
      <c r="CT228" s="421"/>
      <c r="CU228" s="59" t="str">
        <f t="shared" si="396"/>
        <v/>
      </c>
      <c r="CV228" s="60" t="str">
        <f t="shared" si="397"/>
        <v/>
      </c>
      <c r="CW228" s="421"/>
      <c r="CX228" s="59" t="str">
        <f t="shared" si="398"/>
        <v/>
      </c>
      <c r="CY228" s="60" t="str">
        <f t="shared" si="399"/>
        <v/>
      </c>
      <c r="CZ228" s="421"/>
      <c r="DA228" s="59" t="str">
        <f t="shared" si="400"/>
        <v/>
      </c>
      <c r="DB228" s="60" t="str">
        <f t="shared" si="401"/>
        <v/>
      </c>
      <c r="DC228" s="421"/>
      <c r="DD228" s="59" t="str">
        <f t="shared" si="402"/>
        <v/>
      </c>
      <c r="DE228" s="60" t="str">
        <f t="shared" si="403"/>
        <v/>
      </c>
      <c r="DF228" s="421"/>
      <c r="DG228" s="59" t="str">
        <f t="shared" si="404"/>
        <v/>
      </c>
      <c r="DH228" s="60" t="str">
        <f t="shared" si="405"/>
        <v/>
      </c>
      <c r="DI228" s="421"/>
      <c r="DJ228" s="59" t="str">
        <f t="shared" si="406"/>
        <v/>
      </c>
      <c r="DK228" s="60" t="str">
        <f t="shared" si="407"/>
        <v/>
      </c>
      <c r="DL228" s="421"/>
      <c r="DM228" s="59" t="str">
        <f t="shared" si="408"/>
        <v/>
      </c>
      <c r="DN228" s="60" t="str">
        <f t="shared" si="409"/>
        <v/>
      </c>
      <c r="DO228" s="421"/>
      <c r="DP228" s="59" t="str">
        <f t="shared" si="410"/>
        <v/>
      </c>
      <c r="DQ228" s="60" t="str">
        <f t="shared" si="411"/>
        <v/>
      </c>
      <c r="DR228" s="421"/>
      <c r="DS228" s="59" t="str">
        <f t="shared" si="412"/>
        <v/>
      </c>
      <c r="DT228" s="60" t="str">
        <f t="shared" si="413"/>
        <v/>
      </c>
      <c r="DU228" s="421"/>
      <c r="DV228" s="59" t="str">
        <f t="shared" si="414"/>
        <v/>
      </c>
      <c r="DW228" s="60" t="str">
        <f t="shared" si="415"/>
        <v/>
      </c>
      <c r="DX228" s="161"/>
    </row>
    <row r="229" spans="2:128" ht="23.25" customHeight="1" x14ac:dyDescent="0.2">
      <c r="B229" s="716"/>
      <c r="C229" s="717"/>
      <c r="D229" s="717"/>
      <c r="E229" s="314">
        <f t="shared" si="252"/>
        <v>44</v>
      </c>
      <c r="F229" s="750" t="str">
        <f t="shared" si="335"/>
        <v/>
      </c>
      <c r="G229" s="751"/>
      <c r="H229" s="421"/>
      <c r="I229" s="59" t="str">
        <f t="shared" si="336"/>
        <v/>
      </c>
      <c r="J229" s="62" t="str">
        <f t="shared" si="337"/>
        <v/>
      </c>
      <c r="K229" s="421"/>
      <c r="L229" s="59" t="str">
        <f t="shared" si="338"/>
        <v/>
      </c>
      <c r="M229" s="62" t="str">
        <f t="shared" si="339"/>
        <v/>
      </c>
      <c r="N229" s="421"/>
      <c r="O229" s="59" t="str">
        <f t="shared" si="340"/>
        <v/>
      </c>
      <c r="P229" s="62" t="str">
        <f t="shared" si="341"/>
        <v/>
      </c>
      <c r="Q229" s="421"/>
      <c r="R229" s="59" t="str">
        <f t="shared" si="342"/>
        <v/>
      </c>
      <c r="S229" s="60" t="str">
        <f t="shared" si="343"/>
        <v/>
      </c>
      <c r="T229" s="421"/>
      <c r="U229" s="59" t="str">
        <f t="shared" si="344"/>
        <v/>
      </c>
      <c r="V229" s="60" t="str">
        <f t="shared" si="345"/>
        <v/>
      </c>
      <c r="W229" s="421"/>
      <c r="X229" s="59" t="str">
        <f t="shared" si="346"/>
        <v/>
      </c>
      <c r="Y229" s="60" t="str">
        <f t="shared" si="347"/>
        <v/>
      </c>
      <c r="Z229" s="421"/>
      <c r="AA229" s="59" t="str">
        <f t="shared" si="348"/>
        <v/>
      </c>
      <c r="AB229" s="60" t="str">
        <f t="shared" si="349"/>
        <v/>
      </c>
      <c r="AC229" s="421"/>
      <c r="AD229" s="59" t="str">
        <f t="shared" si="350"/>
        <v/>
      </c>
      <c r="AE229" s="60" t="str">
        <f t="shared" si="351"/>
        <v/>
      </c>
      <c r="AF229" s="421"/>
      <c r="AG229" s="59" t="str">
        <f t="shared" si="352"/>
        <v/>
      </c>
      <c r="AH229" s="60" t="str">
        <f t="shared" si="353"/>
        <v/>
      </c>
      <c r="AI229" s="421"/>
      <c r="AJ229" s="59" t="str">
        <f t="shared" si="354"/>
        <v/>
      </c>
      <c r="AK229" s="60" t="str">
        <f t="shared" si="355"/>
        <v/>
      </c>
      <c r="AL229" s="421"/>
      <c r="AM229" s="59" t="str">
        <f t="shared" si="356"/>
        <v/>
      </c>
      <c r="AN229" s="60" t="str">
        <f t="shared" si="357"/>
        <v/>
      </c>
      <c r="AO229" s="421"/>
      <c r="AP229" s="59" t="str">
        <f t="shared" si="358"/>
        <v/>
      </c>
      <c r="AQ229" s="60" t="str">
        <f t="shared" si="359"/>
        <v/>
      </c>
      <c r="AR229" s="421"/>
      <c r="AS229" s="59" t="str">
        <f t="shared" si="360"/>
        <v/>
      </c>
      <c r="AT229" s="60" t="str">
        <f t="shared" si="361"/>
        <v/>
      </c>
      <c r="AU229" s="421"/>
      <c r="AV229" s="59" t="str">
        <f t="shared" si="362"/>
        <v/>
      </c>
      <c r="AW229" s="60" t="str">
        <f t="shared" si="363"/>
        <v/>
      </c>
      <c r="AX229" s="421"/>
      <c r="AY229" s="59" t="str">
        <f t="shared" si="364"/>
        <v/>
      </c>
      <c r="AZ229" s="60" t="str">
        <f t="shared" si="365"/>
        <v/>
      </c>
      <c r="BA229" s="421"/>
      <c r="BB229" s="59" t="str">
        <f t="shared" si="366"/>
        <v/>
      </c>
      <c r="BC229" s="60" t="str">
        <f t="shared" si="367"/>
        <v/>
      </c>
      <c r="BD229" s="421"/>
      <c r="BE229" s="59" t="str">
        <f t="shared" si="368"/>
        <v/>
      </c>
      <c r="BF229" s="60" t="str">
        <f t="shared" si="369"/>
        <v/>
      </c>
      <c r="BG229" s="421"/>
      <c r="BH229" s="59" t="str">
        <f t="shared" si="370"/>
        <v/>
      </c>
      <c r="BI229" s="60" t="str">
        <f t="shared" si="371"/>
        <v/>
      </c>
      <c r="BJ229" s="421"/>
      <c r="BK229" s="59" t="str">
        <f t="shared" si="372"/>
        <v/>
      </c>
      <c r="BL229" s="60" t="str">
        <f t="shared" si="373"/>
        <v/>
      </c>
      <c r="BM229" s="421"/>
      <c r="BN229" s="59" t="str">
        <f t="shared" si="374"/>
        <v/>
      </c>
      <c r="BO229" s="60" t="str">
        <f t="shared" si="375"/>
        <v/>
      </c>
      <c r="BP229" s="421"/>
      <c r="BQ229" s="59" t="str">
        <f t="shared" si="376"/>
        <v/>
      </c>
      <c r="BR229" s="60" t="str">
        <f t="shared" si="377"/>
        <v/>
      </c>
      <c r="BS229" s="421"/>
      <c r="BT229" s="59" t="str">
        <f t="shared" si="378"/>
        <v/>
      </c>
      <c r="BU229" s="60" t="str">
        <f t="shared" si="379"/>
        <v/>
      </c>
      <c r="BV229" s="421"/>
      <c r="BW229" s="59" t="str">
        <f t="shared" si="380"/>
        <v/>
      </c>
      <c r="BX229" s="60" t="str">
        <f t="shared" si="381"/>
        <v/>
      </c>
      <c r="BY229" s="421"/>
      <c r="BZ229" s="59" t="str">
        <f t="shared" si="382"/>
        <v/>
      </c>
      <c r="CA229" s="60" t="str">
        <f t="shared" si="383"/>
        <v/>
      </c>
      <c r="CB229" s="421"/>
      <c r="CC229" s="59" t="str">
        <f t="shared" si="384"/>
        <v/>
      </c>
      <c r="CD229" s="60" t="str">
        <f t="shared" si="385"/>
        <v/>
      </c>
      <c r="CE229" s="421"/>
      <c r="CF229" s="59" t="str">
        <f t="shared" si="386"/>
        <v/>
      </c>
      <c r="CG229" s="60" t="str">
        <f t="shared" si="387"/>
        <v/>
      </c>
      <c r="CH229" s="421"/>
      <c r="CI229" s="59" t="str">
        <f t="shared" si="388"/>
        <v/>
      </c>
      <c r="CJ229" s="60" t="str">
        <f t="shared" si="389"/>
        <v/>
      </c>
      <c r="CK229" s="421"/>
      <c r="CL229" s="59" t="str">
        <f t="shared" si="390"/>
        <v/>
      </c>
      <c r="CM229" s="60" t="str">
        <f t="shared" si="391"/>
        <v/>
      </c>
      <c r="CN229" s="421"/>
      <c r="CO229" s="59" t="str">
        <f t="shared" si="392"/>
        <v/>
      </c>
      <c r="CP229" s="60" t="str">
        <f t="shared" si="393"/>
        <v/>
      </c>
      <c r="CQ229" s="421"/>
      <c r="CR229" s="59" t="str">
        <f t="shared" si="394"/>
        <v/>
      </c>
      <c r="CS229" s="60" t="str">
        <f t="shared" si="395"/>
        <v/>
      </c>
      <c r="CT229" s="421"/>
      <c r="CU229" s="59" t="str">
        <f t="shared" si="396"/>
        <v/>
      </c>
      <c r="CV229" s="60" t="str">
        <f t="shared" si="397"/>
        <v/>
      </c>
      <c r="CW229" s="421"/>
      <c r="CX229" s="59" t="str">
        <f t="shared" si="398"/>
        <v/>
      </c>
      <c r="CY229" s="60" t="str">
        <f t="shared" si="399"/>
        <v/>
      </c>
      <c r="CZ229" s="421"/>
      <c r="DA229" s="59" t="str">
        <f t="shared" si="400"/>
        <v/>
      </c>
      <c r="DB229" s="60" t="str">
        <f t="shared" si="401"/>
        <v/>
      </c>
      <c r="DC229" s="421"/>
      <c r="DD229" s="59" t="str">
        <f t="shared" si="402"/>
        <v/>
      </c>
      <c r="DE229" s="60" t="str">
        <f t="shared" si="403"/>
        <v/>
      </c>
      <c r="DF229" s="421"/>
      <c r="DG229" s="59" t="str">
        <f t="shared" si="404"/>
        <v/>
      </c>
      <c r="DH229" s="60" t="str">
        <f t="shared" si="405"/>
        <v/>
      </c>
      <c r="DI229" s="421"/>
      <c r="DJ229" s="59" t="str">
        <f t="shared" si="406"/>
        <v/>
      </c>
      <c r="DK229" s="60" t="str">
        <f t="shared" si="407"/>
        <v/>
      </c>
      <c r="DL229" s="421"/>
      <c r="DM229" s="59" t="str">
        <f t="shared" si="408"/>
        <v/>
      </c>
      <c r="DN229" s="60" t="str">
        <f t="shared" si="409"/>
        <v/>
      </c>
      <c r="DO229" s="421"/>
      <c r="DP229" s="59" t="str">
        <f t="shared" si="410"/>
        <v/>
      </c>
      <c r="DQ229" s="60" t="str">
        <f t="shared" si="411"/>
        <v/>
      </c>
      <c r="DR229" s="421"/>
      <c r="DS229" s="59" t="str">
        <f t="shared" si="412"/>
        <v/>
      </c>
      <c r="DT229" s="60" t="str">
        <f t="shared" si="413"/>
        <v/>
      </c>
      <c r="DU229" s="421"/>
      <c r="DV229" s="59" t="str">
        <f t="shared" si="414"/>
        <v/>
      </c>
      <c r="DW229" s="60" t="str">
        <f t="shared" si="415"/>
        <v/>
      </c>
      <c r="DX229" s="161"/>
    </row>
    <row r="230" spans="2:128" ht="23.25" customHeight="1" x14ac:dyDescent="0.2">
      <c r="B230" s="716"/>
      <c r="C230" s="717"/>
      <c r="D230" s="717"/>
      <c r="E230" s="314">
        <f t="shared" si="252"/>
        <v>45</v>
      </c>
      <c r="F230" s="750" t="str">
        <f t="shared" si="335"/>
        <v/>
      </c>
      <c r="G230" s="751"/>
      <c r="H230" s="421"/>
      <c r="I230" s="59" t="str">
        <f t="shared" si="336"/>
        <v/>
      </c>
      <c r="J230" s="62" t="str">
        <f t="shared" si="337"/>
        <v/>
      </c>
      <c r="K230" s="421"/>
      <c r="L230" s="59" t="str">
        <f t="shared" si="338"/>
        <v/>
      </c>
      <c r="M230" s="62" t="str">
        <f t="shared" si="339"/>
        <v/>
      </c>
      <c r="N230" s="421"/>
      <c r="O230" s="59" t="str">
        <f t="shared" si="340"/>
        <v/>
      </c>
      <c r="P230" s="62" t="str">
        <f t="shared" si="341"/>
        <v/>
      </c>
      <c r="Q230" s="421"/>
      <c r="R230" s="59" t="str">
        <f t="shared" si="342"/>
        <v/>
      </c>
      <c r="S230" s="60" t="str">
        <f t="shared" si="343"/>
        <v/>
      </c>
      <c r="T230" s="421"/>
      <c r="U230" s="59" t="str">
        <f t="shared" si="344"/>
        <v/>
      </c>
      <c r="V230" s="60" t="str">
        <f t="shared" si="345"/>
        <v/>
      </c>
      <c r="W230" s="421"/>
      <c r="X230" s="59" t="str">
        <f t="shared" si="346"/>
        <v/>
      </c>
      <c r="Y230" s="60" t="str">
        <f t="shared" si="347"/>
        <v/>
      </c>
      <c r="Z230" s="421"/>
      <c r="AA230" s="59" t="str">
        <f t="shared" si="348"/>
        <v/>
      </c>
      <c r="AB230" s="60" t="str">
        <f t="shared" si="349"/>
        <v/>
      </c>
      <c r="AC230" s="421"/>
      <c r="AD230" s="59" t="str">
        <f t="shared" si="350"/>
        <v/>
      </c>
      <c r="AE230" s="60" t="str">
        <f t="shared" si="351"/>
        <v/>
      </c>
      <c r="AF230" s="421"/>
      <c r="AG230" s="59" t="str">
        <f t="shared" si="352"/>
        <v/>
      </c>
      <c r="AH230" s="60" t="str">
        <f t="shared" si="353"/>
        <v/>
      </c>
      <c r="AI230" s="421"/>
      <c r="AJ230" s="59" t="str">
        <f t="shared" si="354"/>
        <v/>
      </c>
      <c r="AK230" s="60" t="str">
        <f t="shared" si="355"/>
        <v/>
      </c>
      <c r="AL230" s="421"/>
      <c r="AM230" s="59" t="str">
        <f t="shared" si="356"/>
        <v/>
      </c>
      <c r="AN230" s="60" t="str">
        <f t="shared" si="357"/>
        <v/>
      </c>
      <c r="AO230" s="421"/>
      <c r="AP230" s="59" t="str">
        <f t="shared" si="358"/>
        <v/>
      </c>
      <c r="AQ230" s="60" t="str">
        <f t="shared" si="359"/>
        <v/>
      </c>
      <c r="AR230" s="421"/>
      <c r="AS230" s="59" t="str">
        <f t="shared" si="360"/>
        <v/>
      </c>
      <c r="AT230" s="60" t="str">
        <f t="shared" si="361"/>
        <v/>
      </c>
      <c r="AU230" s="421"/>
      <c r="AV230" s="59" t="str">
        <f t="shared" si="362"/>
        <v/>
      </c>
      <c r="AW230" s="60" t="str">
        <f t="shared" si="363"/>
        <v/>
      </c>
      <c r="AX230" s="421"/>
      <c r="AY230" s="59" t="str">
        <f t="shared" si="364"/>
        <v/>
      </c>
      <c r="AZ230" s="60" t="str">
        <f t="shared" si="365"/>
        <v/>
      </c>
      <c r="BA230" s="421"/>
      <c r="BB230" s="59" t="str">
        <f t="shared" si="366"/>
        <v/>
      </c>
      <c r="BC230" s="60" t="str">
        <f t="shared" si="367"/>
        <v/>
      </c>
      <c r="BD230" s="421"/>
      <c r="BE230" s="59" t="str">
        <f t="shared" si="368"/>
        <v/>
      </c>
      <c r="BF230" s="60" t="str">
        <f t="shared" si="369"/>
        <v/>
      </c>
      <c r="BG230" s="421"/>
      <c r="BH230" s="59" t="str">
        <f t="shared" si="370"/>
        <v/>
      </c>
      <c r="BI230" s="60" t="str">
        <f t="shared" si="371"/>
        <v/>
      </c>
      <c r="BJ230" s="421"/>
      <c r="BK230" s="59" t="str">
        <f t="shared" si="372"/>
        <v/>
      </c>
      <c r="BL230" s="60" t="str">
        <f t="shared" si="373"/>
        <v/>
      </c>
      <c r="BM230" s="421"/>
      <c r="BN230" s="59" t="str">
        <f t="shared" si="374"/>
        <v/>
      </c>
      <c r="BO230" s="60" t="str">
        <f t="shared" si="375"/>
        <v/>
      </c>
      <c r="BP230" s="421"/>
      <c r="BQ230" s="59" t="str">
        <f t="shared" si="376"/>
        <v/>
      </c>
      <c r="BR230" s="60" t="str">
        <f t="shared" si="377"/>
        <v/>
      </c>
      <c r="BS230" s="421"/>
      <c r="BT230" s="59" t="str">
        <f t="shared" si="378"/>
        <v/>
      </c>
      <c r="BU230" s="60" t="str">
        <f t="shared" si="379"/>
        <v/>
      </c>
      <c r="BV230" s="421"/>
      <c r="BW230" s="59" t="str">
        <f t="shared" si="380"/>
        <v/>
      </c>
      <c r="BX230" s="60" t="str">
        <f t="shared" si="381"/>
        <v/>
      </c>
      <c r="BY230" s="421"/>
      <c r="BZ230" s="59" t="str">
        <f t="shared" si="382"/>
        <v/>
      </c>
      <c r="CA230" s="60" t="str">
        <f t="shared" si="383"/>
        <v/>
      </c>
      <c r="CB230" s="421"/>
      <c r="CC230" s="59" t="str">
        <f t="shared" si="384"/>
        <v/>
      </c>
      <c r="CD230" s="60" t="str">
        <f t="shared" si="385"/>
        <v/>
      </c>
      <c r="CE230" s="421"/>
      <c r="CF230" s="59" t="str">
        <f t="shared" si="386"/>
        <v/>
      </c>
      <c r="CG230" s="60" t="str">
        <f t="shared" si="387"/>
        <v/>
      </c>
      <c r="CH230" s="421"/>
      <c r="CI230" s="59" t="str">
        <f t="shared" si="388"/>
        <v/>
      </c>
      <c r="CJ230" s="60" t="str">
        <f t="shared" si="389"/>
        <v/>
      </c>
      <c r="CK230" s="421"/>
      <c r="CL230" s="59" t="str">
        <f t="shared" si="390"/>
        <v/>
      </c>
      <c r="CM230" s="60" t="str">
        <f t="shared" si="391"/>
        <v/>
      </c>
      <c r="CN230" s="421"/>
      <c r="CO230" s="59" t="str">
        <f t="shared" si="392"/>
        <v/>
      </c>
      <c r="CP230" s="60" t="str">
        <f t="shared" si="393"/>
        <v/>
      </c>
      <c r="CQ230" s="421"/>
      <c r="CR230" s="59" t="str">
        <f t="shared" si="394"/>
        <v/>
      </c>
      <c r="CS230" s="60" t="str">
        <f t="shared" si="395"/>
        <v/>
      </c>
      <c r="CT230" s="421"/>
      <c r="CU230" s="59" t="str">
        <f t="shared" si="396"/>
        <v/>
      </c>
      <c r="CV230" s="60" t="str">
        <f t="shared" si="397"/>
        <v/>
      </c>
      <c r="CW230" s="421"/>
      <c r="CX230" s="59" t="str">
        <f t="shared" si="398"/>
        <v/>
      </c>
      <c r="CY230" s="60" t="str">
        <f t="shared" si="399"/>
        <v/>
      </c>
      <c r="CZ230" s="421"/>
      <c r="DA230" s="59" t="str">
        <f t="shared" si="400"/>
        <v/>
      </c>
      <c r="DB230" s="60" t="str">
        <f t="shared" si="401"/>
        <v/>
      </c>
      <c r="DC230" s="421"/>
      <c r="DD230" s="59" t="str">
        <f t="shared" si="402"/>
        <v/>
      </c>
      <c r="DE230" s="60" t="str">
        <f t="shared" si="403"/>
        <v/>
      </c>
      <c r="DF230" s="421"/>
      <c r="DG230" s="59" t="str">
        <f t="shared" si="404"/>
        <v/>
      </c>
      <c r="DH230" s="60" t="str">
        <f t="shared" si="405"/>
        <v/>
      </c>
      <c r="DI230" s="421"/>
      <c r="DJ230" s="59" t="str">
        <f t="shared" si="406"/>
        <v/>
      </c>
      <c r="DK230" s="60" t="str">
        <f t="shared" si="407"/>
        <v/>
      </c>
      <c r="DL230" s="421"/>
      <c r="DM230" s="59" t="str">
        <f t="shared" si="408"/>
        <v/>
      </c>
      <c r="DN230" s="60" t="str">
        <f t="shared" si="409"/>
        <v/>
      </c>
      <c r="DO230" s="421"/>
      <c r="DP230" s="59" t="str">
        <f t="shared" si="410"/>
        <v/>
      </c>
      <c r="DQ230" s="60" t="str">
        <f t="shared" si="411"/>
        <v/>
      </c>
      <c r="DR230" s="421"/>
      <c r="DS230" s="59" t="str">
        <f t="shared" si="412"/>
        <v/>
      </c>
      <c r="DT230" s="60" t="str">
        <f t="shared" si="413"/>
        <v/>
      </c>
      <c r="DU230" s="421"/>
      <c r="DV230" s="59" t="str">
        <f t="shared" si="414"/>
        <v/>
      </c>
      <c r="DW230" s="60" t="str">
        <f t="shared" si="415"/>
        <v/>
      </c>
      <c r="DX230" s="161"/>
    </row>
    <row r="231" spans="2:128" ht="23.25" customHeight="1" x14ac:dyDescent="0.2">
      <c r="B231" s="716"/>
      <c r="C231" s="717"/>
      <c r="D231" s="717"/>
      <c r="E231" s="314">
        <f t="shared" si="252"/>
        <v>46</v>
      </c>
      <c r="F231" s="750" t="str">
        <f t="shared" si="335"/>
        <v/>
      </c>
      <c r="G231" s="751"/>
      <c r="H231" s="421"/>
      <c r="I231" s="59" t="str">
        <f t="shared" si="336"/>
        <v/>
      </c>
      <c r="J231" s="62" t="str">
        <f t="shared" si="337"/>
        <v/>
      </c>
      <c r="K231" s="421"/>
      <c r="L231" s="59" t="str">
        <f t="shared" si="338"/>
        <v/>
      </c>
      <c r="M231" s="62" t="str">
        <f t="shared" si="339"/>
        <v/>
      </c>
      <c r="N231" s="421"/>
      <c r="O231" s="59" t="str">
        <f t="shared" si="340"/>
        <v/>
      </c>
      <c r="P231" s="62" t="str">
        <f t="shared" si="341"/>
        <v/>
      </c>
      <c r="Q231" s="421"/>
      <c r="R231" s="59" t="str">
        <f t="shared" si="342"/>
        <v/>
      </c>
      <c r="S231" s="60" t="str">
        <f t="shared" si="343"/>
        <v/>
      </c>
      <c r="T231" s="421"/>
      <c r="U231" s="59" t="str">
        <f t="shared" si="344"/>
        <v/>
      </c>
      <c r="V231" s="60" t="str">
        <f t="shared" si="345"/>
        <v/>
      </c>
      <c r="W231" s="421"/>
      <c r="X231" s="59" t="str">
        <f t="shared" si="346"/>
        <v/>
      </c>
      <c r="Y231" s="60" t="str">
        <f t="shared" si="347"/>
        <v/>
      </c>
      <c r="Z231" s="421"/>
      <c r="AA231" s="59" t="str">
        <f t="shared" si="348"/>
        <v/>
      </c>
      <c r="AB231" s="60" t="str">
        <f t="shared" si="349"/>
        <v/>
      </c>
      <c r="AC231" s="421"/>
      <c r="AD231" s="59" t="str">
        <f t="shared" si="350"/>
        <v/>
      </c>
      <c r="AE231" s="60" t="str">
        <f t="shared" si="351"/>
        <v/>
      </c>
      <c r="AF231" s="421"/>
      <c r="AG231" s="59" t="str">
        <f t="shared" si="352"/>
        <v/>
      </c>
      <c r="AH231" s="60" t="str">
        <f t="shared" si="353"/>
        <v/>
      </c>
      <c r="AI231" s="421"/>
      <c r="AJ231" s="59" t="str">
        <f t="shared" si="354"/>
        <v/>
      </c>
      <c r="AK231" s="60" t="str">
        <f t="shared" si="355"/>
        <v/>
      </c>
      <c r="AL231" s="421"/>
      <c r="AM231" s="59" t="str">
        <f t="shared" si="356"/>
        <v/>
      </c>
      <c r="AN231" s="60" t="str">
        <f t="shared" si="357"/>
        <v/>
      </c>
      <c r="AO231" s="421"/>
      <c r="AP231" s="59" t="str">
        <f t="shared" si="358"/>
        <v/>
      </c>
      <c r="AQ231" s="60" t="str">
        <f t="shared" si="359"/>
        <v/>
      </c>
      <c r="AR231" s="421"/>
      <c r="AS231" s="59" t="str">
        <f t="shared" si="360"/>
        <v/>
      </c>
      <c r="AT231" s="60" t="str">
        <f t="shared" si="361"/>
        <v/>
      </c>
      <c r="AU231" s="421"/>
      <c r="AV231" s="59" t="str">
        <f t="shared" si="362"/>
        <v/>
      </c>
      <c r="AW231" s="60" t="str">
        <f t="shared" si="363"/>
        <v/>
      </c>
      <c r="AX231" s="421"/>
      <c r="AY231" s="59" t="str">
        <f t="shared" si="364"/>
        <v/>
      </c>
      <c r="AZ231" s="60" t="str">
        <f t="shared" si="365"/>
        <v/>
      </c>
      <c r="BA231" s="421"/>
      <c r="BB231" s="59" t="str">
        <f t="shared" si="366"/>
        <v/>
      </c>
      <c r="BC231" s="60" t="str">
        <f t="shared" si="367"/>
        <v/>
      </c>
      <c r="BD231" s="421"/>
      <c r="BE231" s="59" t="str">
        <f t="shared" si="368"/>
        <v/>
      </c>
      <c r="BF231" s="60" t="str">
        <f t="shared" si="369"/>
        <v/>
      </c>
      <c r="BG231" s="421"/>
      <c r="BH231" s="59" t="str">
        <f t="shared" si="370"/>
        <v/>
      </c>
      <c r="BI231" s="60" t="str">
        <f t="shared" si="371"/>
        <v/>
      </c>
      <c r="BJ231" s="421"/>
      <c r="BK231" s="59" t="str">
        <f t="shared" si="372"/>
        <v/>
      </c>
      <c r="BL231" s="60" t="str">
        <f t="shared" si="373"/>
        <v/>
      </c>
      <c r="BM231" s="421"/>
      <c r="BN231" s="59" t="str">
        <f t="shared" si="374"/>
        <v/>
      </c>
      <c r="BO231" s="60" t="str">
        <f t="shared" si="375"/>
        <v/>
      </c>
      <c r="BP231" s="421"/>
      <c r="BQ231" s="59" t="str">
        <f t="shared" si="376"/>
        <v/>
      </c>
      <c r="BR231" s="60" t="str">
        <f t="shared" si="377"/>
        <v/>
      </c>
      <c r="BS231" s="421"/>
      <c r="BT231" s="59" t="str">
        <f t="shared" si="378"/>
        <v/>
      </c>
      <c r="BU231" s="60" t="str">
        <f t="shared" si="379"/>
        <v/>
      </c>
      <c r="BV231" s="421"/>
      <c r="BW231" s="59" t="str">
        <f t="shared" si="380"/>
        <v/>
      </c>
      <c r="BX231" s="60" t="str">
        <f t="shared" si="381"/>
        <v/>
      </c>
      <c r="BY231" s="421"/>
      <c r="BZ231" s="59" t="str">
        <f t="shared" si="382"/>
        <v/>
      </c>
      <c r="CA231" s="60" t="str">
        <f t="shared" si="383"/>
        <v/>
      </c>
      <c r="CB231" s="421"/>
      <c r="CC231" s="59" t="str">
        <f t="shared" si="384"/>
        <v/>
      </c>
      <c r="CD231" s="60" t="str">
        <f t="shared" si="385"/>
        <v/>
      </c>
      <c r="CE231" s="421"/>
      <c r="CF231" s="59" t="str">
        <f t="shared" si="386"/>
        <v/>
      </c>
      <c r="CG231" s="60" t="str">
        <f t="shared" si="387"/>
        <v/>
      </c>
      <c r="CH231" s="421"/>
      <c r="CI231" s="59" t="str">
        <f t="shared" si="388"/>
        <v/>
      </c>
      <c r="CJ231" s="60" t="str">
        <f t="shared" si="389"/>
        <v/>
      </c>
      <c r="CK231" s="421"/>
      <c r="CL231" s="59" t="str">
        <f t="shared" si="390"/>
        <v/>
      </c>
      <c r="CM231" s="60" t="str">
        <f t="shared" si="391"/>
        <v/>
      </c>
      <c r="CN231" s="421"/>
      <c r="CO231" s="59" t="str">
        <f t="shared" si="392"/>
        <v/>
      </c>
      <c r="CP231" s="60" t="str">
        <f t="shared" si="393"/>
        <v/>
      </c>
      <c r="CQ231" s="421"/>
      <c r="CR231" s="59" t="str">
        <f t="shared" si="394"/>
        <v/>
      </c>
      <c r="CS231" s="60" t="str">
        <f t="shared" si="395"/>
        <v/>
      </c>
      <c r="CT231" s="421"/>
      <c r="CU231" s="59" t="str">
        <f t="shared" si="396"/>
        <v/>
      </c>
      <c r="CV231" s="60" t="str">
        <f t="shared" si="397"/>
        <v/>
      </c>
      <c r="CW231" s="421"/>
      <c r="CX231" s="59" t="str">
        <f t="shared" si="398"/>
        <v/>
      </c>
      <c r="CY231" s="60" t="str">
        <f t="shared" si="399"/>
        <v/>
      </c>
      <c r="CZ231" s="421"/>
      <c r="DA231" s="59" t="str">
        <f t="shared" si="400"/>
        <v/>
      </c>
      <c r="DB231" s="60" t="str">
        <f t="shared" si="401"/>
        <v/>
      </c>
      <c r="DC231" s="421"/>
      <c r="DD231" s="59" t="str">
        <f t="shared" si="402"/>
        <v/>
      </c>
      <c r="DE231" s="60" t="str">
        <f t="shared" si="403"/>
        <v/>
      </c>
      <c r="DF231" s="421"/>
      <c r="DG231" s="59" t="str">
        <f t="shared" si="404"/>
        <v/>
      </c>
      <c r="DH231" s="60" t="str">
        <f t="shared" si="405"/>
        <v/>
      </c>
      <c r="DI231" s="421"/>
      <c r="DJ231" s="59" t="str">
        <f t="shared" si="406"/>
        <v/>
      </c>
      <c r="DK231" s="60" t="str">
        <f t="shared" si="407"/>
        <v/>
      </c>
      <c r="DL231" s="421"/>
      <c r="DM231" s="59" t="str">
        <f t="shared" si="408"/>
        <v/>
      </c>
      <c r="DN231" s="60" t="str">
        <f t="shared" si="409"/>
        <v/>
      </c>
      <c r="DO231" s="421"/>
      <c r="DP231" s="59" t="str">
        <f t="shared" si="410"/>
        <v/>
      </c>
      <c r="DQ231" s="60" t="str">
        <f t="shared" si="411"/>
        <v/>
      </c>
      <c r="DR231" s="421"/>
      <c r="DS231" s="59" t="str">
        <f t="shared" si="412"/>
        <v/>
      </c>
      <c r="DT231" s="60" t="str">
        <f t="shared" si="413"/>
        <v/>
      </c>
      <c r="DU231" s="421"/>
      <c r="DV231" s="59" t="str">
        <f t="shared" si="414"/>
        <v/>
      </c>
      <c r="DW231" s="60" t="str">
        <f t="shared" si="415"/>
        <v/>
      </c>
      <c r="DX231" s="161"/>
    </row>
    <row r="232" spans="2:128" ht="23.25" customHeight="1" x14ac:dyDescent="0.2">
      <c r="B232" s="716"/>
      <c r="C232" s="717"/>
      <c r="D232" s="717"/>
      <c r="E232" s="314">
        <f t="shared" si="252"/>
        <v>47</v>
      </c>
      <c r="F232" s="750" t="str">
        <f t="shared" si="335"/>
        <v/>
      </c>
      <c r="G232" s="751"/>
      <c r="H232" s="421"/>
      <c r="I232" s="59" t="str">
        <f t="shared" si="336"/>
        <v/>
      </c>
      <c r="J232" s="62" t="str">
        <f t="shared" si="337"/>
        <v/>
      </c>
      <c r="K232" s="421"/>
      <c r="L232" s="59" t="str">
        <f t="shared" si="338"/>
        <v/>
      </c>
      <c r="M232" s="62" t="str">
        <f t="shared" si="339"/>
        <v/>
      </c>
      <c r="N232" s="421"/>
      <c r="O232" s="59" t="str">
        <f t="shared" si="340"/>
        <v/>
      </c>
      <c r="P232" s="62" t="str">
        <f t="shared" si="341"/>
        <v/>
      </c>
      <c r="Q232" s="421"/>
      <c r="R232" s="59" t="str">
        <f t="shared" si="342"/>
        <v/>
      </c>
      <c r="S232" s="60" t="str">
        <f t="shared" si="343"/>
        <v/>
      </c>
      <c r="T232" s="421"/>
      <c r="U232" s="59" t="str">
        <f t="shared" si="344"/>
        <v/>
      </c>
      <c r="V232" s="60" t="str">
        <f t="shared" si="345"/>
        <v/>
      </c>
      <c r="W232" s="421"/>
      <c r="X232" s="59" t="str">
        <f t="shared" si="346"/>
        <v/>
      </c>
      <c r="Y232" s="60" t="str">
        <f t="shared" si="347"/>
        <v/>
      </c>
      <c r="Z232" s="421"/>
      <c r="AA232" s="59" t="str">
        <f t="shared" si="348"/>
        <v/>
      </c>
      <c r="AB232" s="60" t="str">
        <f t="shared" si="349"/>
        <v/>
      </c>
      <c r="AC232" s="421"/>
      <c r="AD232" s="59" t="str">
        <f t="shared" si="350"/>
        <v/>
      </c>
      <c r="AE232" s="60" t="str">
        <f t="shared" si="351"/>
        <v/>
      </c>
      <c r="AF232" s="421"/>
      <c r="AG232" s="59" t="str">
        <f t="shared" si="352"/>
        <v/>
      </c>
      <c r="AH232" s="60" t="str">
        <f t="shared" si="353"/>
        <v/>
      </c>
      <c r="AI232" s="421"/>
      <c r="AJ232" s="59" t="str">
        <f t="shared" si="354"/>
        <v/>
      </c>
      <c r="AK232" s="60" t="str">
        <f t="shared" si="355"/>
        <v/>
      </c>
      <c r="AL232" s="421"/>
      <c r="AM232" s="59" t="str">
        <f t="shared" si="356"/>
        <v/>
      </c>
      <c r="AN232" s="60" t="str">
        <f t="shared" si="357"/>
        <v/>
      </c>
      <c r="AO232" s="421"/>
      <c r="AP232" s="59" t="str">
        <f t="shared" si="358"/>
        <v/>
      </c>
      <c r="AQ232" s="60" t="str">
        <f t="shared" si="359"/>
        <v/>
      </c>
      <c r="AR232" s="421"/>
      <c r="AS232" s="59" t="str">
        <f t="shared" si="360"/>
        <v/>
      </c>
      <c r="AT232" s="60" t="str">
        <f t="shared" si="361"/>
        <v/>
      </c>
      <c r="AU232" s="421"/>
      <c r="AV232" s="59" t="str">
        <f t="shared" si="362"/>
        <v/>
      </c>
      <c r="AW232" s="60" t="str">
        <f t="shared" si="363"/>
        <v/>
      </c>
      <c r="AX232" s="421"/>
      <c r="AY232" s="59" t="str">
        <f t="shared" si="364"/>
        <v/>
      </c>
      <c r="AZ232" s="60" t="str">
        <f t="shared" si="365"/>
        <v/>
      </c>
      <c r="BA232" s="421"/>
      <c r="BB232" s="59" t="str">
        <f t="shared" si="366"/>
        <v/>
      </c>
      <c r="BC232" s="60" t="str">
        <f t="shared" si="367"/>
        <v/>
      </c>
      <c r="BD232" s="421"/>
      <c r="BE232" s="59" t="str">
        <f t="shared" si="368"/>
        <v/>
      </c>
      <c r="BF232" s="60" t="str">
        <f t="shared" si="369"/>
        <v/>
      </c>
      <c r="BG232" s="421"/>
      <c r="BH232" s="59" t="str">
        <f t="shared" si="370"/>
        <v/>
      </c>
      <c r="BI232" s="60" t="str">
        <f t="shared" si="371"/>
        <v/>
      </c>
      <c r="BJ232" s="421"/>
      <c r="BK232" s="59" t="str">
        <f t="shared" si="372"/>
        <v/>
      </c>
      <c r="BL232" s="60" t="str">
        <f t="shared" si="373"/>
        <v/>
      </c>
      <c r="BM232" s="421"/>
      <c r="BN232" s="59" t="str">
        <f t="shared" si="374"/>
        <v/>
      </c>
      <c r="BO232" s="60" t="str">
        <f t="shared" si="375"/>
        <v/>
      </c>
      <c r="BP232" s="421"/>
      <c r="BQ232" s="59" t="str">
        <f t="shared" si="376"/>
        <v/>
      </c>
      <c r="BR232" s="60" t="str">
        <f t="shared" si="377"/>
        <v/>
      </c>
      <c r="BS232" s="421"/>
      <c r="BT232" s="59" t="str">
        <f t="shared" si="378"/>
        <v/>
      </c>
      <c r="BU232" s="60" t="str">
        <f t="shared" si="379"/>
        <v/>
      </c>
      <c r="BV232" s="421"/>
      <c r="BW232" s="59" t="str">
        <f t="shared" si="380"/>
        <v/>
      </c>
      <c r="BX232" s="60" t="str">
        <f t="shared" si="381"/>
        <v/>
      </c>
      <c r="BY232" s="421"/>
      <c r="BZ232" s="59" t="str">
        <f t="shared" si="382"/>
        <v/>
      </c>
      <c r="CA232" s="60" t="str">
        <f t="shared" si="383"/>
        <v/>
      </c>
      <c r="CB232" s="421"/>
      <c r="CC232" s="59" t="str">
        <f t="shared" si="384"/>
        <v/>
      </c>
      <c r="CD232" s="60" t="str">
        <f t="shared" si="385"/>
        <v/>
      </c>
      <c r="CE232" s="421"/>
      <c r="CF232" s="59" t="str">
        <f t="shared" si="386"/>
        <v/>
      </c>
      <c r="CG232" s="60" t="str">
        <f t="shared" si="387"/>
        <v/>
      </c>
      <c r="CH232" s="421"/>
      <c r="CI232" s="59" t="str">
        <f t="shared" si="388"/>
        <v/>
      </c>
      <c r="CJ232" s="60" t="str">
        <f t="shared" si="389"/>
        <v/>
      </c>
      <c r="CK232" s="421"/>
      <c r="CL232" s="59" t="str">
        <f t="shared" si="390"/>
        <v/>
      </c>
      <c r="CM232" s="60" t="str">
        <f t="shared" si="391"/>
        <v/>
      </c>
      <c r="CN232" s="421"/>
      <c r="CO232" s="59" t="str">
        <f t="shared" si="392"/>
        <v/>
      </c>
      <c r="CP232" s="60" t="str">
        <f t="shared" si="393"/>
        <v/>
      </c>
      <c r="CQ232" s="421"/>
      <c r="CR232" s="59" t="str">
        <f t="shared" si="394"/>
        <v/>
      </c>
      <c r="CS232" s="60" t="str">
        <f t="shared" si="395"/>
        <v/>
      </c>
      <c r="CT232" s="421"/>
      <c r="CU232" s="59" t="str">
        <f t="shared" si="396"/>
        <v/>
      </c>
      <c r="CV232" s="60" t="str">
        <f t="shared" si="397"/>
        <v/>
      </c>
      <c r="CW232" s="421"/>
      <c r="CX232" s="59" t="str">
        <f t="shared" si="398"/>
        <v/>
      </c>
      <c r="CY232" s="60" t="str">
        <f t="shared" si="399"/>
        <v/>
      </c>
      <c r="CZ232" s="421"/>
      <c r="DA232" s="59" t="str">
        <f t="shared" si="400"/>
        <v/>
      </c>
      <c r="DB232" s="60" t="str">
        <f t="shared" si="401"/>
        <v/>
      </c>
      <c r="DC232" s="421"/>
      <c r="DD232" s="59" t="str">
        <f t="shared" si="402"/>
        <v/>
      </c>
      <c r="DE232" s="60" t="str">
        <f t="shared" si="403"/>
        <v/>
      </c>
      <c r="DF232" s="421"/>
      <c r="DG232" s="59" t="str">
        <f t="shared" si="404"/>
        <v/>
      </c>
      <c r="DH232" s="60" t="str">
        <f t="shared" si="405"/>
        <v/>
      </c>
      <c r="DI232" s="421"/>
      <c r="DJ232" s="59" t="str">
        <f t="shared" si="406"/>
        <v/>
      </c>
      <c r="DK232" s="60" t="str">
        <f t="shared" si="407"/>
        <v/>
      </c>
      <c r="DL232" s="421"/>
      <c r="DM232" s="59" t="str">
        <f t="shared" si="408"/>
        <v/>
      </c>
      <c r="DN232" s="60" t="str">
        <f t="shared" si="409"/>
        <v/>
      </c>
      <c r="DO232" s="421"/>
      <c r="DP232" s="59" t="str">
        <f t="shared" si="410"/>
        <v/>
      </c>
      <c r="DQ232" s="60" t="str">
        <f t="shared" si="411"/>
        <v/>
      </c>
      <c r="DR232" s="421"/>
      <c r="DS232" s="59" t="str">
        <f t="shared" si="412"/>
        <v/>
      </c>
      <c r="DT232" s="60" t="str">
        <f t="shared" si="413"/>
        <v/>
      </c>
      <c r="DU232" s="421"/>
      <c r="DV232" s="59" t="str">
        <f t="shared" si="414"/>
        <v/>
      </c>
      <c r="DW232" s="60" t="str">
        <f t="shared" si="415"/>
        <v/>
      </c>
      <c r="DX232" s="161"/>
    </row>
    <row r="233" spans="2:128" ht="23.25" customHeight="1" x14ac:dyDescent="0.2">
      <c r="B233" s="716"/>
      <c r="C233" s="717"/>
      <c r="D233" s="717"/>
      <c r="E233" s="314">
        <f t="shared" si="252"/>
        <v>48</v>
      </c>
      <c r="F233" s="750" t="str">
        <f t="shared" si="335"/>
        <v/>
      </c>
      <c r="G233" s="751"/>
      <c r="H233" s="421"/>
      <c r="I233" s="59" t="str">
        <f t="shared" si="336"/>
        <v/>
      </c>
      <c r="J233" s="62" t="str">
        <f t="shared" si="337"/>
        <v/>
      </c>
      <c r="K233" s="421"/>
      <c r="L233" s="59" t="str">
        <f t="shared" si="338"/>
        <v/>
      </c>
      <c r="M233" s="62" t="str">
        <f t="shared" si="339"/>
        <v/>
      </c>
      <c r="N233" s="421"/>
      <c r="O233" s="59" t="str">
        <f t="shared" si="340"/>
        <v/>
      </c>
      <c r="P233" s="62" t="str">
        <f t="shared" si="341"/>
        <v/>
      </c>
      <c r="Q233" s="421"/>
      <c r="R233" s="59" t="str">
        <f t="shared" si="342"/>
        <v/>
      </c>
      <c r="S233" s="60" t="str">
        <f t="shared" si="343"/>
        <v/>
      </c>
      <c r="T233" s="421"/>
      <c r="U233" s="59" t="str">
        <f t="shared" si="344"/>
        <v/>
      </c>
      <c r="V233" s="60" t="str">
        <f t="shared" si="345"/>
        <v/>
      </c>
      <c r="W233" s="421"/>
      <c r="X233" s="59" t="str">
        <f t="shared" si="346"/>
        <v/>
      </c>
      <c r="Y233" s="60" t="str">
        <f t="shared" si="347"/>
        <v/>
      </c>
      <c r="Z233" s="421"/>
      <c r="AA233" s="59" t="str">
        <f t="shared" si="348"/>
        <v/>
      </c>
      <c r="AB233" s="60" t="str">
        <f t="shared" si="349"/>
        <v/>
      </c>
      <c r="AC233" s="421"/>
      <c r="AD233" s="59" t="str">
        <f t="shared" si="350"/>
        <v/>
      </c>
      <c r="AE233" s="60" t="str">
        <f t="shared" si="351"/>
        <v/>
      </c>
      <c r="AF233" s="421"/>
      <c r="AG233" s="59" t="str">
        <f t="shared" si="352"/>
        <v/>
      </c>
      <c r="AH233" s="60" t="str">
        <f t="shared" si="353"/>
        <v/>
      </c>
      <c r="AI233" s="421"/>
      <c r="AJ233" s="59" t="str">
        <f t="shared" si="354"/>
        <v/>
      </c>
      <c r="AK233" s="60" t="str">
        <f t="shared" si="355"/>
        <v/>
      </c>
      <c r="AL233" s="421"/>
      <c r="AM233" s="59" t="str">
        <f t="shared" si="356"/>
        <v/>
      </c>
      <c r="AN233" s="60" t="str">
        <f t="shared" si="357"/>
        <v/>
      </c>
      <c r="AO233" s="421"/>
      <c r="AP233" s="59" t="str">
        <f t="shared" si="358"/>
        <v/>
      </c>
      <c r="AQ233" s="60" t="str">
        <f t="shared" si="359"/>
        <v/>
      </c>
      <c r="AR233" s="421"/>
      <c r="AS233" s="59" t="str">
        <f t="shared" si="360"/>
        <v/>
      </c>
      <c r="AT233" s="60" t="str">
        <f t="shared" si="361"/>
        <v/>
      </c>
      <c r="AU233" s="421"/>
      <c r="AV233" s="59" t="str">
        <f t="shared" si="362"/>
        <v/>
      </c>
      <c r="AW233" s="60" t="str">
        <f t="shared" si="363"/>
        <v/>
      </c>
      <c r="AX233" s="421"/>
      <c r="AY233" s="59" t="str">
        <f t="shared" si="364"/>
        <v/>
      </c>
      <c r="AZ233" s="60" t="str">
        <f t="shared" si="365"/>
        <v/>
      </c>
      <c r="BA233" s="421"/>
      <c r="BB233" s="59" t="str">
        <f t="shared" si="366"/>
        <v/>
      </c>
      <c r="BC233" s="60" t="str">
        <f t="shared" si="367"/>
        <v/>
      </c>
      <c r="BD233" s="421"/>
      <c r="BE233" s="59" t="str">
        <f t="shared" si="368"/>
        <v/>
      </c>
      <c r="BF233" s="60" t="str">
        <f t="shared" si="369"/>
        <v/>
      </c>
      <c r="BG233" s="421"/>
      <c r="BH233" s="59" t="str">
        <f t="shared" si="370"/>
        <v/>
      </c>
      <c r="BI233" s="60" t="str">
        <f t="shared" si="371"/>
        <v/>
      </c>
      <c r="BJ233" s="421"/>
      <c r="BK233" s="59" t="str">
        <f t="shared" si="372"/>
        <v/>
      </c>
      <c r="BL233" s="60" t="str">
        <f t="shared" si="373"/>
        <v/>
      </c>
      <c r="BM233" s="421"/>
      <c r="BN233" s="59" t="str">
        <f t="shared" si="374"/>
        <v/>
      </c>
      <c r="BO233" s="60" t="str">
        <f t="shared" si="375"/>
        <v/>
      </c>
      <c r="BP233" s="421"/>
      <c r="BQ233" s="59" t="str">
        <f t="shared" si="376"/>
        <v/>
      </c>
      <c r="BR233" s="60" t="str">
        <f t="shared" si="377"/>
        <v/>
      </c>
      <c r="BS233" s="421"/>
      <c r="BT233" s="59" t="str">
        <f t="shared" si="378"/>
        <v/>
      </c>
      <c r="BU233" s="60" t="str">
        <f t="shared" si="379"/>
        <v/>
      </c>
      <c r="BV233" s="421"/>
      <c r="BW233" s="59" t="str">
        <f t="shared" si="380"/>
        <v/>
      </c>
      <c r="BX233" s="60" t="str">
        <f t="shared" si="381"/>
        <v/>
      </c>
      <c r="BY233" s="421"/>
      <c r="BZ233" s="59" t="str">
        <f t="shared" si="382"/>
        <v/>
      </c>
      <c r="CA233" s="60" t="str">
        <f t="shared" si="383"/>
        <v/>
      </c>
      <c r="CB233" s="421"/>
      <c r="CC233" s="59" t="str">
        <f t="shared" si="384"/>
        <v/>
      </c>
      <c r="CD233" s="60" t="str">
        <f t="shared" si="385"/>
        <v/>
      </c>
      <c r="CE233" s="421"/>
      <c r="CF233" s="59" t="str">
        <f t="shared" si="386"/>
        <v/>
      </c>
      <c r="CG233" s="60" t="str">
        <f t="shared" si="387"/>
        <v/>
      </c>
      <c r="CH233" s="421"/>
      <c r="CI233" s="59" t="str">
        <f t="shared" si="388"/>
        <v/>
      </c>
      <c r="CJ233" s="60" t="str">
        <f t="shared" si="389"/>
        <v/>
      </c>
      <c r="CK233" s="421"/>
      <c r="CL233" s="59" t="str">
        <f t="shared" si="390"/>
        <v/>
      </c>
      <c r="CM233" s="60" t="str">
        <f t="shared" si="391"/>
        <v/>
      </c>
      <c r="CN233" s="421"/>
      <c r="CO233" s="59" t="str">
        <f t="shared" si="392"/>
        <v/>
      </c>
      <c r="CP233" s="60" t="str">
        <f t="shared" si="393"/>
        <v/>
      </c>
      <c r="CQ233" s="421"/>
      <c r="CR233" s="59" t="str">
        <f t="shared" si="394"/>
        <v/>
      </c>
      <c r="CS233" s="60" t="str">
        <f t="shared" si="395"/>
        <v/>
      </c>
      <c r="CT233" s="421"/>
      <c r="CU233" s="59" t="str">
        <f t="shared" si="396"/>
        <v/>
      </c>
      <c r="CV233" s="60" t="str">
        <f t="shared" si="397"/>
        <v/>
      </c>
      <c r="CW233" s="421"/>
      <c r="CX233" s="59" t="str">
        <f t="shared" si="398"/>
        <v/>
      </c>
      <c r="CY233" s="60" t="str">
        <f t="shared" si="399"/>
        <v/>
      </c>
      <c r="CZ233" s="421"/>
      <c r="DA233" s="59" t="str">
        <f t="shared" si="400"/>
        <v/>
      </c>
      <c r="DB233" s="60" t="str">
        <f t="shared" si="401"/>
        <v/>
      </c>
      <c r="DC233" s="421"/>
      <c r="DD233" s="59" t="str">
        <f t="shared" si="402"/>
        <v/>
      </c>
      <c r="DE233" s="60" t="str">
        <f t="shared" si="403"/>
        <v/>
      </c>
      <c r="DF233" s="421"/>
      <c r="DG233" s="59" t="str">
        <f t="shared" si="404"/>
        <v/>
      </c>
      <c r="DH233" s="60" t="str">
        <f t="shared" si="405"/>
        <v/>
      </c>
      <c r="DI233" s="421"/>
      <c r="DJ233" s="59" t="str">
        <f t="shared" si="406"/>
        <v/>
      </c>
      <c r="DK233" s="60" t="str">
        <f t="shared" si="407"/>
        <v/>
      </c>
      <c r="DL233" s="421"/>
      <c r="DM233" s="59" t="str">
        <f t="shared" si="408"/>
        <v/>
      </c>
      <c r="DN233" s="60" t="str">
        <f t="shared" si="409"/>
        <v/>
      </c>
      <c r="DO233" s="421"/>
      <c r="DP233" s="59" t="str">
        <f t="shared" si="410"/>
        <v/>
      </c>
      <c r="DQ233" s="60" t="str">
        <f t="shared" si="411"/>
        <v/>
      </c>
      <c r="DR233" s="421"/>
      <c r="DS233" s="59" t="str">
        <f t="shared" si="412"/>
        <v/>
      </c>
      <c r="DT233" s="60" t="str">
        <f t="shared" si="413"/>
        <v/>
      </c>
      <c r="DU233" s="421"/>
      <c r="DV233" s="59" t="str">
        <f t="shared" si="414"/>
        <v/>
      </c>
      <c r="DW233" s="60" t="str">
        <f t="shared" si="415"/>
        <v/>
      </c>
      <c r="DX233" s="161"/>
    </row>
    <row r="234" spans="2:128" ht="23.25" customHeight="1" x14ac:dyDescent="0.2">
      <c r="B234" s="716"/>
      <c r="C234" s="717"/>
      <c r="D234" s="717"/>
      <c r="E234" s="314">
        <f t="shared" si="252"/>
        <v>49</v>
      </c>
      <c r="F234" s="750" t="str">
        <f t="shared" si="335"/>
        <v/>
      </c>
      <c r="G234" s="751"/>
      <c r="H234" s="421"/>
      <c r="I234" s="59" t="str">
        <f t="shared" si="336"/>
        <v/>
      </c>
      <c r="J234" s="62" t="str">
        <f t="shared" si="337"/>
        <v/>
      </c>
      <c r="K234" s="421"/>
      <c r="L234" s="59" t="str">
        <f t="shared" si="338"/>
        <v/>
      </c>
      <c r="M234" s="62" t="str">
        <f t="shared" si="339"/>
        <v/>
      </c>
      <c r="N234" s="421"/>
      <c r="O234" s="59" t="str">
        <f t="shared" si="340"/>
        <v/>
      </c>
      <c r="P234" s="62" t="str">
        <f t="shared" si="341"/>
        <v/>
      </c>
      <c r="Q234" s="421"/>
      <c r="R234" s="59" t="str">
        <f t="shared" si="342"/>
        <v/>
      </c>
      <c r="S234" s="60" t="str">
        <f t="shared" si="343"/>
        <v/>
      </c>
      <c r="T234" s="421"/>
      <c r="U234" s="59" t="str">
        <f t="shared" si="344"/>
        <v/>
      </c>
      <c r="V234" s="60" t="str">
        <f t="shared" si="345"/>
        <v/>
      </c>
      <c r="W234" s="421"/>
      <c r="X234" s="59" t="str">
        <f t="shared" si="346"/>
        <v/>
      </c>
      <c r="Y234" s="60" t="str">
        <f t="shared" si="347"/>
        <v/>
      </c>
      <c r="Z234" s="421"/>
      <c r="AA234" s="59" t="str">
        <f t="shared" si="348"/>
        <v/>
      </c>
      <c r="AB234" s="60" t="str">
        <f t="shared" si="349"/>
        <v/>
      </c>
      <c r="AC234" s="421"/>
      <c r="AD234" s="59" t="str">
        <f t="shared" si="350"/>
        <v/>
      </c>
      <c r="AE234" s="60" t="str">
        <f t="shared" si="351"/>
        <v/>
      </c>
      <c r="AF234" s="421"/>
      <c r="AG234" s="59" t="str">
        <f t="shared" si="352"/>
        <v/>
      </c>
      <c r="AH234" s="60" t="str">
        <f t="shared" si="353"/>
        <v/>
      </c>
      <c r="AI234" s="421"/>
      <c r="AJ234" s="59" t="str">
        <f t="shared" si="354"/>
        <v/>
      </c>
      <c r="AK234" s="60" t="str">
        <f t="shared" si="355"/>
        <v/>
      </c>
      <c r="AL234" s="421"/>
      <c r="AM234" s="59" t="str">
        <f t="shared" si="356"/>
        <v/>
      </c>
      <c r="AN234" s="60" t="str">
        <f t="shared" si="357"/>
        <v/>
      </c>
      <c r="AO234" s="421"/>
      <c r="AP234" s="59" t="str">
        <f t="shared" si="358"/>
        <v/>
      </c>
      <c r="AQ234" s="60" t="str">
        <f t="shared" si="359"/>
        <v/>
      </c>
      <c r="AR234" s="421"/>
      <c r="AS234" s="59" t="str">
        <f t="shared" si="360"/>
        <v/>
      </c>
      <c r="AT234" s="60" t="str">
        <f t="shared" si="361"/>
        <v/>
      </c>
      <c r="AU234" s="421"/>
      <c r="AV234" s="59" t="str">
        <f t="shared" si="362"/>
        <v/>
      </c>
      <c r="AW234" s="60" t="str">
        <f t="shared" si="363"/>
        <v/>
      </c>
      <c r="AX234" s="421"/>
      <c r="AY234" s="59" t="str">
        <f t="shared" si="364"/>
        <v/>
      </c>
      <c r="AZ234" s="60" t="str">
        <f t="shared" si="365"/>
        <v/>
      </c>
      <c r="BA234" s="421"/>
      <c r="BB234" s="59" t="str">
        <f t="shared" si="366"/>
        <v/>
      </c>
      <c r="BC234" s="60" t="str">
        <f t="shared" si="367"/>
        <v/>
      </c>
      <c r="BD234" s="421"/>
      <c r="BE234" s="59" t="str">
        <f t="shared" si="368"/>
        <v/>
      </c>
      <c r="BF234" s="60" t="str">
        <f t="shared" si="369"/>
        <v/>
      </c>
      <c r="BG234" s="421"/>
      <c r="BH234" s="59" t="str">
        <f t="shared" si="370"/>
        <v/>
      </c>
      <c r="BI234" s="60" t="str">
        <f t="shared" si="371"/>
        <v/>
      </c>
      <c r="BJ234" s="421"/>
      <c r="BK234" s="59" t="str">
        <f t="shared" si="372"/>
        <v/>
      </c>
      <c r="BL234" s="60" t="str">
        <f t="shared" si="373"/>
        <v/>
      </c>
      <c r="BM234" s="421"/>
      <c r="BN234" s="59" t="str">
        <f t="shared" si="374"/>
        <v/>
      </c>
      <c r="BO234" s="60" t="str">
        <f t="shared" si="375"/>
        <v/>
      </c>
      <c r="BP234" s="421"/>
      <c r="BQ234" s="59" t="str">
        <f t="shared" si="376"/>
        <v/>
      </c>
      <c r="BR234" s="60" t="str">
        <f t="shared" si="377"/>
        <v/>
      </c>
      <c r="BS234" s="421"/>
      <c r="BT234" s="59" t="str">
        <f t="shared" si="378"/>
        <v/>
      </c>
      <c r="BU234" s="60" t="str">
        <f t="shared" si="379"/>
        <v/>
      </c>
      <c r="BV234" s="421"/>
      <c r="BW234" s="59" t="str">
        <f t="shared" si="380"/>
        <v/>
      </c>
      <c r="BX234" s="60" t="str">
        <f t="shared" si="381"/>
        <v/>
      </c>
      <c r="BY234" s="421"/>
      <c r="BZ234" s="59" t="str">
        <f t="shared" si="382"/>
        <v/>
      </c>
      <c r="CA234" s="60" t="str">
        <f t="shared" si="383"/>
        <v/>
      </c>
      <c r="CB234" s="421"/>
      <c r="CC234" s="59" t="str">
        <f t="shared" si="384"/>
        <v/>
      </c>
      <c r="CD234" s="60" t="str">
        <f t="shared" si="385"/>
        <v/>
      </c>
      <c r="CE234" s="421"/>
      <c r="CF234" s="59" t="str">
        <f t="shared" si="386"/>
        <v/>
      </c>
      <c r="CG234" s="60" t="str">
        <f t="shared" si="387"/>
        <v/>
      </c>
      <c r="CH234" s="421"/>
      <c r="CI234" s="59" t="str">
        <f t="shared" si="388"/>
        <v/>
      </c>
      <c r="CJ234" s="60" t="str">
        <f t="shared" si="389"/>
        <v/>
      </c>
      <c r="CK234" s="421"/>
      <c r="CL234" s="59" t="str">
        <f t="shared" si="390"/>
        <v/>
      </c>
      <c r="CM234" s="60" t="str">
        <f t="shared" si="391"/>
        <v/>
      </c>
      <c r="CN234" s="421"/>
      <c r="CO234" s="59" t="str">
        <f t="shared" si="392"/>
        <v/>
      </c>
      <c r="CP234" s="60" t="str">
        <f t="shared" si="393"/>
        <v/>
      </c>
      <c r="CQ234" s="421"/>
      <c r="CR234" s="59" t="str">
        <f t="shared" si="394"/>
        <v/>
      </c>
      <c r="CS234" s="60" t="str">
        <f t="shared" si="395"/>
        <v/>
      </c>
      <c r="CT234" s="421"/>
      <c r="CU234" s="59" t="str">
        <f t="shared" si="396"/>
        <v/>
      </c>
      <c r="CV234" s="60" t="str">
        <f t="shared" si="397"/>
        <v/>
      </c>
      <c r="CW234" s="421"/>
      <c r="CX234" s="59" t="str">
        <f t="shared" si="398"/>
        <v/>
      </c>
      <c r="CY234" s="60" t="str">
        <f t="shared" si="399"/>
        <v/>
      </c>
      <c r="CZ234" s="421"/>
      <c r="DA234" s="59" t="str">
        <f t="shared" si="400"/>
        <v/>
      </c>
      <c r="DB234" s="60" t="str">
        <f t="shared" si="401"/>
        <v/>
      </c>
      <c r="DC234" s="421"/>
      <c r="DD234" s="59" t="str">
        <f t="shared" si="402"/>
        <v/>
      </c>
      <c r="DE234" s="60" t="str">
        <f t="shared" si="403"/>
        <v/>
      </c>
      <c r="DF234" s="421"/>
      <c r="DG234" s="59" t="str">
        <f t="shared" si="404"/>
        <v/>
      </c>
      <c r="DH234" s="60" t="str">
        <f t="shared" si="405"/>
        <v/>
      </c>
      <c r="DI234" s="421"/>
      <c r="DJ234" s="59" t="str">
        <f t="shared" si="406"/>
        <v/>
      </c>
      <c r="DK234" s="60" t="str">
        <f t="shared" si="407"/>
        <v/>
      </c>
      <c r="DL234" s="421"/>
      <c r="DM234" s="59" t="str">
        <f t="shared" si="408"/>
        <v/>
      </c>
      <c r="DN234" s="60" t="str">
        <f t="shared" si="409"/>
        <v/>
      </c>
      <c r="DO234" s="421"/>
      <c r="DP234" s="59" t="str">
        <f t="shared" si="410"/>
        <v/>
      </c>
      <c r="DQ234" s="60" t="str">
        <f t="shared" si="411"/>
        <v/>
      </c>
      <c r="DR234" s="421"/>
      <c r="DS234" s="59" t="str">
        <f t="shared" si="412"/>
        <v/>
      </c>
      <c r="DT234" s="60" t="str">
        <f t="shared" si="413"/>
        <v/>
      </c>
      <c r="DU234" s="421"/>
      <c r="DV234" s="59" t="str">
        <f t="shared" si="414"/>
        <v/>
      </c>
      <c r="DW234" s="60" t="str">
        <f t="shared" si="415"/>
        <v/>
      </c>
      <c r="DX234" s="161"/>
    </row>
    <row r="235" spans="2:128" ht="23.25" customHeight="1" x14ac:dyDescent="0.2">
      <c r="B235" s="716"/>
      <c r="C235" s="717"/>
      <c r="D235" s="717"/>
      <c r="E235" s="314">
        <f t="shared" si="252"/>
        <v>50</v>
      </c>
      <c r="F235" s="750" t="str">
        <f t="shared" si="335"/>
        <v/>
      </c>
      <c r="G235" s="751"/>
      <c r="H235" s="421"/>
      <c r="I235" s="59" t="str">
        <f t="shared" si="336"/>
        <v/>
      </c>
      <c r="J235" s="62" t="str">
        <f t="shared" si="337"/>
        <v/>
      </c>
      <c r="K235" s="421"/>
      <c r="L235" s="59" t="str">
        <f t="shared" si="338"/>
        <v/>
      </c>
      <c r="M235" s="62" t="str">
        <f t="shared" si="339"/>
        <v/>
      </c>
      <c r="N235" s="421"/>
      <c r="O235" s="59" t="str">
        <f t="shared" si="340"/>
        <v/>
      </c>
      <c r="P235" s="62" t="str">
        <f t="shared" si="341"/>
        <v/>
      </c>
      <c r="Q235" s="421"/>
      <c r="R235" s="59" t="str">
        <f t="shared" si="342"/>
        <v/>
      </c>
      <c r="S235" s="60" t="str">
        <f t="shared" si="343"/>
        <v/>
      </c>
      <c r="T235" s="421"/>
      <c r="U235" s="59" t="str">
        <f t="shared" si="344"/>
        <v/>
      </c>
      <c r="V235" s="60" t="str">
        <f t="shared" si="345"/>
        <v/>
      </c>
      <c r="W235" s="421"/>
      <c r="X235" s="59" t="str">
        <f t="shared" si="346"/>
        <v/>
      </c>
      <c r="Y235" s="60" t="str">
        <f t="shared" si="347"/>
        <v/>
      </c>
      <c r="Z235" s="421"/>
      <c r="AA235" s="59" t="str">
        <f t="shared" si="348"/>
        <v/>
      </c>
      <c r="AB235" s="60" t="str">
        <f t="shared" si="349"/>
        <v/>
      </c>
      <c r="AC235" s="421"/>
      <c r="AD235" s="59" t="str">
        <f t="shared" si="350"/>
        <v/>
      </c>
      <c r="AE235" s="60" t="str">
        <f t="shared" si="351"/>
        <v/>
      </c>
      <c r="AF235" s="421"/>
      <c r="AG235" s="59" t="str">
        <f t="shared" si="352"/>
        <v/>
      </c>
      <c r="AH235" s="60" t="str">
        <f t="shared" si="353"/>
        <v/>
      </c>
      <c r="AI235" s="421"/>
      <c r="AJ235" s="59" t="str">
        <f t="shared" si="354"/>
        <v/>
      </c>
      <c r="AK235" s="60" t="str">
        <f t="shared" si="355"/>
        <v/>
      </c>
      <c r="AL235" s="421"/>
      <c r="AM235" s="59" t="str">
        <f t="shared" si="356"/>
        <v/>
      </c>
      <c r="AN235" s="60" t="str">
        <f t="shared" si="357"/>
        <v/>
      </c>
      <c r="AO235" s="421"/>
      <c r="AP235" s="59" t="str">
        <f t="shared" si="358"/>
        <v/>
      </c>
      <c r="AQ235" s="60" t="str">
        <f t="shared" si="359"/>
        <v/>
      </c>
      <c r="AR235" s="421"/>
      <c r="AS235" s="59" t="str">
        <f t="shared" si="360"/>
        <v/>
      </c>
      <c r="AT235" s="60" t="str">
        <f t="shared" si="361"/>
        <v/>
      </c>
      <c r="AU235" s="421"/>
      <c r="AV235" s="59" t="str">
        <f t="shared" si="362"/>
        <v/>
      </c>
      <c r="AW235" s="60" t="str">
        <f t="shared" si="363"/>
        <v/>
      </c>
      <c r="AX235" s="421"/>
      <c r="AY235" s="59" t="str">
        <f t="shared" si="364"/>
        <v/>
      </c>
      <c r="AZ235" s="60" t="str">
        <f t="shared" si="365"/>
        <v/>
      </c>
      <c r="BA235" s="421"/>
      <c r="BB235" s="59" t="str">
        <f t="shared" si="366"/>
        <v/>
      </c>
      <c r="BC235" s="60" t="str">
        <f t="shared" si="367"/>
        <v/>
      </c>
      <c r="BD235" s="421"/>
      <c r="BE235" s="59" t="str">
        <f t="shared" si="368"/>
        <v/>
      </c>
      <c r="BF235" s="60" t="str">
        <f t="shared" si="369"/>
        <v/>
      </c>
      <c r="BG235" s="421"/>
      <c r="BH235" s="59" t="str">
        <f t="shared" si="370"/>
        <v/>
      </c>
      <c r="BI235" s="60" t="str">
        <f t="shared" si="371"/>
        <v/>
      </c>
      <c r="BJ235" s="421"/>
      <c r="BK235" s="59" t="str">
        <f t="shared" si="372"/>
        <v/>
      </c>
      <c r="BL235" s="60" t="str">
        <f t="shared" si="373"/>
        <v/>
      </c>
      <c r="BM235" s="421"/>
      <c r="BN235" s="59" t="str">
        <f t="shared" si="374"/>
        <v/>
      </c>
      <c r="BO235" s="60" t="str">
        <f t="shared" si="375"/>
        <v/>
      </c>
      <c r="BP235" s="421"/>
      <c r="BQ235" s="59" t="str">
        <f t="shared" si="376"/>
        <v/>
      </c>
      <c r="BR235" s="60" t="str">
        <f t="shared" si="377"/>
        <v/>
      </c>
      <c r="BS235" s="421"/>
      <c r="BT235" s="59" t="str">
        <f t="shared" si="378"/>
        <v/>
      </c>
      <c r="BU235" s="60" t="str">
        <f t="shared" si="379"/>
        <v/>
      </c>
      <c r="BV235" s="421"/>
      <c r="BW235" s="59" t="str">
        <f t="shared" si="380"/>
        <v/>
      </c>
      <c r="BX235" s="60" t="str">
        <f t="shared" si="381"/>
        <v/>
      </c>
      <c r="BY235" s="421"/>
      <c r="BZ235" s="59" t="str">
        <f t="shared" si="382"/>
        <v/>
      </c>
      <c r="CA235" s="60" t="str">
        <f t="shared" si="383"/>
        <v/>
      </c>
      <c r="CB235" s="421"/>
      <c r="CC235" s="59" t="str">
        <f t="shared" si="384"/>
        <v/>
      </c>
      <c r="CD235" s="60" t="str">
        <f t="shared" si="385"/>
        <v/>
      </c>
      <c r="CE235" s="421"/>
      <c r="CF235" s="59" t="str">
        <f t="shared" si="386"/>
        <v/>
      </c>
      <c r="CG235" s="60" t="str">
        <f t="shared" si="387"/>
        <v/>
      </c>
      <c r="CH235" s="421"/>
      <c r="CI235" s="59" t="str">
        <f t="shared" si="388"/>
        <v/>
      </c>
      <c r="CJ235" s="60" t="str">
        <f t="shared" si="389"/>
        <v/>
      </c>
      <c r="CK235" s="421"/>
      <c r="CL235" s="59" t="str">
        <f t="shared" si="390"/>
        <v/>
      </c>
      <c r="CM235" s="60" t="str">
        <f t="shared" si="391"/>
        <v/>
      </c>
      <c r="CN235" s="421"/>
      <c r="CO235" s="59" t="str">
        <f t="shared" si="392"/>
        <v/>
      </c>
      <c r="CP235" s="60" t="str">
        <f t="shared" si="393"/>
        <v/>
      </c>
      <c r="CQ235" s="421"/>
      <c r="CR235" s="59" t="str">
        <f t="shared" si="394"/>
        <v/>
      </c>
      <c r="CS235" s="60" t="str">
        <f t="shared" si="395"/>
        <v/>
      </c>
      <c r="CT235" s="421"/>
      <c r="CU235" s="59" t="str">
        <f t="shared" si="396"/>
        <v/>
      </c>
      <c r="CV235" s="60" t="str">
        <f t="shared" si="397"/>
        <v/>
      </c>
      <c r="CW235" s="421"/>
      <c r="CX235" s="59" t="str">
        <f t="shared" si="398"/>
        <v/>
      </c>
      <c r="CY235" s="60" t="str">
        <f t="shared" si="399"/>
        <v/>
      </c>
      <c r="CZ235" s="421"/>
      <c r="DA235" s="59" t="str">
        <f t="shared" si="400"/>
        <v/>
      </c>
      <c r="DB235" s="60" t="str">
        <f t="shared" si="401"/>
        <v/>
      </c>
      <c r="DC235" s="421"/>
      <c r="DD235" s="59" t="str">
        <f t="shared" si="402"/>
        <v/>
      </c>
      <c r="DE235" s="60" t="str">
        <f t="shared" si="403"/>
        <v/>
      </c>
      <c r="DF235" s="421"/>
      <c r="DG235" s="59" t="str">
        <f t="shared" si="404"/>
        <v/>
      </c>
      <c r="DH235" s="60" t="str">
        <f t="shared" si="405"/>
        <v/>
      </c>
      <c r="DI235" s="421"/>
      <c r="DJ235" s="59" t="str">
        <f t="shared" si="406"/>
        <v/>
      </c>
      <c r="DK235" s="60" t="str">
        <f t="shared" si="407"/>
        <v/>
      </c>
      <c r="DL235" s="421"/>
      <c r="DM235" s="59" t="str">
        <f t="shared" si="408"/>
        <v/>
      </c>
      <c r="DN235" s="60" t="str">
        <f t="shared" si="409"/>
        <v/>
      </c>
      <c r="DO235" s="421"/>
      <c r="DP235" s="59" t="str">
        <f t="shared" si="410"/>
        <v/>
      </c>
      <c r="DQ235" s="60" t="str">
        <f t="shared" si="411"/>
        <v/>
      </c>
      <c r="DR235" s="421"/>
      <c r="DS235" s="59" t="str">
        <f t="shared" si="412"/>
        <v/>
      </c>
      <c r="DT235" s="60" t="str">
        <f t="shared" si="413"/>
        <v/>
      </c>
      <c r="DU235" s="421"/>
      <c r="DV235" s="59" t="str">
        <f t="shared" si="414"/>
        <v/>
      </c>
      <c r="DW235" s="60" t="str">
        <f t="shared" si="415"/>
        <v/>
      </c>
      <c r="DX235" s="161"/>
    </row>
    <row r="236" spans="2:128" ht="23.25" customHeight="1" x14ac:dyDescent="0.2">
      <c r="B236" s="716"/>
      <c r="C236" s="717"/>
      <c r="D236" s="717"/>
      <c r="E236" s="724"/>
      <c r="F236" s="925" t="s">
        <v>26</v>
      </c>
      <c r="G236" s="926"/>
      <c r="H236" s="63">
        <f t="shared" ref="H236:AM236" si="416">SUM(H186:H235)</f>
        <v>990.00019999999995</v>
      </c>
      <c r="I236" s="66">
        <f t="shared" si="416"/>
        <v>3.332861458656494</v>
      </c>
      <c r="J236" s="67">
        <f t="shared" si="416"/>
        <v>1</v>
      </c>
      <c r="K236" s="63">
        <f t="shared" si="416"/>
        <v>104.1443</v>
      </c>
      <c r="L236" s="66">
        <f t="shared" si="416"/>
        <v>1.1444415516704145</v>
      </c>
      <c r="M236" s="67">
        <f t="shared" si="416"/>
        <v>0.99999999999999978</v>
      </c>
      <c r="N236" s="63">
        <f t="shared" si="416"/>
        <v>21.109400000000001</v>
      </c>
      <c r="O236" s="66">
        <f t="shared" si="416"/>
        <v>0.31708154911849373</v>
      </c>
      <c r="P236" s="67">
        <f t="shared" si="416"/>
        <v>1</v>
      </c>
      <c r="Q236" s="63">
        <f t="shared" si="416"/>
        <v>55.496900000000004</v>
      </c>
      <c r="R236" s="66">
        <f t="shared" si="416"/>
        <v>0.21652970234016133</v>
      </c>
      <c r="S236" s="67">
        <f t="shared" si="416"/>
        <v>1</v>
      </c>
      <c r="T236" s="63">
        <f t="shared" si="416"/>
        <v>15.479800000000001</v>
      </c>
      <c r="U236" s="66">
        <f t="shared" si="416"/>
        <v>0.69308011474184561</v>
      </c>
      <c r="V236" s="67">
        <f t="shared" si="416"/>
        <v>1</v>
      </c>
      <c r="W236" s="63">
        <f t="shared" si="416"/>
        <v>11.9826</v>
      </c>
      <c r="X236" s="66">
        <f t="shared" si="416"/>
        <v>0.10204555103873716</v>
      </c>
      <c r="Y236" s="67">
        <f t="shared" si="416"/>
        <v>1</v>
      </c>
      <c r="Z236" s="63">
        <f t="shared" si="416"/>
        <v>144.458</v>
      </c>
      <c r="AA236" s="66">
        <f t="shared" si="416"/>
        <v>2.3488020756811467</v>
      </c>
      <c r="AB236" s="67">
        <f t="shared" si="416"/>
        <v>1</v>
      </c>
      <c r="AC236" s="63">
        <f t="shared" si="416"/>
        <v>14.5</v>
      </c>
      <c r="AD236" s="66">
        <f t="shared" si="416"/>
        <v>0.10208392002252888</v>
      </c>
      <c r="AE236" s="67">
        <f t="shared" si="416"/>
        <v>1</v>
      </c>
      <c r="AF236" s="63">
        <f t="shared" si="416"/>
        <v>0</v>
      </c>
      <c r="AG236" s="66">
        <f t="shared" si="416"/>
        <v>0</v>
      </c>
      <c r="AH236" s="67">
        <f t="shared" si="416"/>
        <v>0</v>
      </c>
      <c r="AI236" s="63">
        <f t="shared" si="416"/>
        <v>0</v>
      </c>
      <c r="AJ236" s="66">
        <f t="shared" si="416"/>
        <v>0</v>
      </c>
      <c r="AK236" s="67">
        <f t="shared" si="416"/>
        <v>0</v>
      </c>
      <c r="AL236" s="63">
        <f t="shared" si="416"/>
        <v>0</v>
      </c>
      <c r="AM236" s="66">
        <f t="shared" si="416"/>
        <v>0</v>
      </c>
      <c r="AN236" s="67">
        <f t="shared" ref="AN236:BS236" si="417">SUM(AN186:AN235)</f>
        <v>0</v>
      </c>
      <c r="AO236" s="63">
        <f t="shared" si="417"/>
        <v>0</v>
      </c>
      <c r="AP236" s="66">
        <f t="shared" si="417"/>
        <v>0</v>
      </c>
      <c r="AQ236" s="67">
        <f t="shared" si="417"/>
        <v>0</v>
      </c>
      <c r="AR236" s="63">
        <f t="shared" si="417"/>
        <v>0</v>
      </c>
      <c r="AS236" s="66">
        <f t="shared" si="417"/>
        <v>0</v>
      </c>
      <c r="AT236" s="67">
        <f t="shared" si="417"/>
        <v>0</v>
      </c>
      <c r="AU236" s="63">
        <f t="shared" si="417"/>
        <v>0</v>
      </c>
      <c r="AV236" s="66">
        <f t="shared" si="417"/>
        <v>0</v>
      </c>
      <c r="AW236" s="67">
        <f t="shared" si="417"/>
        <v>0</v>
      </c>
      <c r="AX236" s="63">
        <f t="shared" si="417"/>
        <v>0</v>
      </c>
      <c r="AY236" s="66">
        <f t="shared" si="417"/>
        <v>0</v>
      </c>
      <c r="AZ236" s="67">
        <f t="shared" si="417"/>
        <v>0</v>
      </c>
      <c r="BA236" s="63">
        <f t="shared" si="417"/>
        <v>0</v>
      </c>
      <c r="BB236" s="66">
        <f t="shared" si="417"/>
        <v>0</v>
      </c>
      <c r="BC236" s="67">
        <f t="shared" si="417"/>
        <v>0</v>
      </c>
      <c r="BD236" s="63">
        <f t="shared" si="417"/>
        <v>0</v>
      </c>
      <c r="BE236" s="66">
        <f t="shared" si="417"/>
        <v>0</v>
      </c>
      <c r="BF236" s="67">
        <f t="shared" si="417"/>
        <v>0</v>
      </c>
      <c r="BG236" s="63">
        <f t="shared" si="417"/>
        <v>0</v>
      </c>
      <c r="BH236" s="66">
        <f t="shared" si="417"/>
        <v>0</v>
      </c>
      <c r="BI236" s="67">
        <f t="shared" si="417"/>
        <v>0</v>
      </c>
      <c r="BJ236" s="63">
        <f t="shared" si="417"/>
        <v>0</v>
      </c>
      <c r="BK236" s="66">
        <f t="shared" si="417"/>
        <v>0</v>
      </c>
      <c r="BL236" s="67">
        <f t="shared" si="417"/>
        <v>0</v>
      </c>
      <c r="BM236" s="63">
        <f t="shared" si="417"/>
        <v>0</v>
      </c>
      <c r="BN236" s="66">
        <f t="shared" si="417"/>
        <v>0</v>
      </c>
      <c r="BO236" s="67">
        <f t="shared" si="417"/>
        <v>0</v>
      </c>
      <c r="BP236" s="63">
        <f t="shared" si="417"/>
        <v>0</v>
      </c>
      <c r="BQ236" s="66">
        <f t="shared" si="417"/>
        <v>0</v>
      </c>
      <c r="BR236" s="67">
        <f t="shared" si="417"/>
        <v>0</v>
      </c>
      <c r="BS236" s="63">
        <f t="shared" si="417"/>
        <v>0</v>
      </c>
      <c r="BT236" s="66">
        <f t="shared" ref="BT236:CY236" si="418">SUM(BT186:BT235)</f>
        <v>0</v>
      </c>
      <c r="BU236" s="67">
        <f t="shared" si="418"/>
        <v>0</v>
      </c>
      <c r="BV236" s="63">
        <f t="shared" si="418"/>
        <v>0</v>
      </c>
      <c r="BW236" s="66">
        <f t="shared" si="418"/>
        <v>0</v>
      </c>
      <c r="BX236" s="67">
        <f t="shared" si="418"/>
        <v>0</v>
      </c>
      <c r="BY236" s="63">
        <f t="shared" si="418"/>
        <v>0</v>
      </c>
      <c r="BZ236" s="66">
        <f t="shared" si="418"/>
        <v>0</v>
      </c>
      <c r="CA236" s="67">
        <f t="shared" si="418"/>
        <v>0</v>
      </c>
      <c r="CB236" s="63">
        <f t="shared" si="418"/>
        <v>0</v>
      </c>
      <c r="CC236" s="66">
        <f t="shared" si="418"/>
        <v>0</v>
      </c>
      <c r="CD236" s="67">
        <f t="shared" si="418"/>
        <v>0</v>
      </c>
      <c r="CE236" s="63">
        <f t="shared" si="418"/>
        <v>0</v>
      </c>
      <c r="CF236" s="66">
        <f t="shared" si="418"/>
        <v>0</v>
      </c>
      <c r="CG236" s="67">
        <f t="shared" si="418"/>
        <v>0</v>
      </c>
      <c r="CH236" s="63">
        <f t="shared" si="418"/>
        <v>0</v>
      </c>
      <c r="CI236" s="66">
        <f t="shared" si="418"/>
        <v>0</v>
      </c>
      <c r="CJ236" s="67">
        <f t="shared" si="418"/>
        <v>0</v>
      </c>
      <c r="CK236" s="63">
        <f t="shared" si="418"/>
        <v>0</v>
      </c>
      <c r="CL236" s="66">
        <f t="shared" si="418"/>
        <v>0</v>
      </c>
      <c r="CM236" s="67">
        <f t="shared" si="418"/>
        <v>0</v>
      </c>
      <c r="CN236" s="63">
        <f t="shared" si="418"/>
        <v>0</v>
      </c>
      <c r="CO236" s="66">
        <f t="shared" si="418"/>
        <v>0</v>
      </c>
      <c r="CP236" s="67">
        <f t="shared" si="418"/>
        <v>0</v>
      </c>
      <c r="CQ236" s="63">
        <f t="shared" si="418"/>
        <v>0</v>
      </c>
      <c r="CR236" s="66">
        <f t="shared" si="418"/>
        <v>0</v>
      </c>
      <c r="CS236" s="67">
        <f t="shared" si="418"/>
        <v>0</v>
      </c>
      <c r="CT236" s="63">
        <f t="shared" si="418"/>
        <v>0</v>
      </c>
      <c r="CU236" s="66">
        <f t="shared" si="418"/>
        <v>0</v>
      </c>
      <c r="CV236" s="67">
        <f t="shared" si="418"/>
        <v>0</v>
      </c>
      <c r="CW236" s="63">
        <f t="shared" si="418"/>
        <v>0</v>
      </c>
      <c r="CX236" s="66">
        <f t="shared" si="418"/>
        <v>0</v>
      </c>
      <c r="CY236" s="67">
        <f t="shared" si="418"/>
        <v>0</v>
      </c>
      <c r="CZ236" s="63">
        <f t="shared" ref="CZ236:DW236" si="419">SUM(CZ186:CZ235)</f>
        <v>0</v>
      </c>
      <c r="DA236" s="66">
        <f t="shared" si="419"/>
        <v>0</v>
      </c>
      <c r="DB236" s="67">
        <f t="shared" si="419"/>
        <v>0</v>
      </c>
      <c r="DC236" s="63">
        <f t="shared" si="419"/>
        <v>0</v>
      </c>
      <c r="DD236" s="66">
        <f t="shared" si="419"/>
        <v>0</v>
      </c>
      <c r="DE236" s="67">
        <f t="shared" si="419"/>
        <v>0</v>
      </c>
      <c r="DF236" s="63">
        <f t="shared" si="419"/>
        <v>0</v>
      </c>
      <c r="DG236" s="66">
        <f t="shared" si="419"/>
        <v>0</v>
      </c>
      <c r="DH236" s="67">
        <f t="shared" si="419"/>
        <v>0</v>
      </c>
      <c r="DI236" s="63">
        <f t="shared" si="419"/>
        <v>0</v>
      </c>
      <c r="DJ236" s="66">
        <f t="shared" si="419"/>
        <v>0</v>
      </c>
      <c r="DK236" s="67">
        <f t="shared" si="419"/>
        <v>0</v>
      </c>
      <c r="DL236" s="63">
        <f t="shared" si="419"/>
        <v>0</v>
      </c>
      <c r="DM236" s="66">
        <f t="shared" si="419"/>
        <v>0</v>
      </c>
      <c r="DN236" s="67">
        <f t="shared" si="419"/>
        <v>0</v>
      </c>
      <c r="DO236" s="63">
        <f t="shared" si="419"/>
        <v>0</v>
      </c>
      <c r="DP236" s="66">
        <f t="shared" si="419"/>
        <v>0</v>
      </c>
      <c r="DQ236" s="67">
        <f t="shared" si="419"/>
        <v>0</v>
      </c>
      <c r="DR236" s="63">
        <f t="shared" si="419"/>
        <v>0</v>
      </c>
      <c r="DS236" s="66">
        <f t="shared" si="419"/>
        <v>0</v>
      </c>
      <c r="DT236" s="67">
        <f t="shared" si="419"/>
        <v>0</v>
      </c>
      <c r="DU236" s="63">
        <f t="shared" si="419"/>
        <v>0</v>
      </c>
      <c r="DV236" s="66">
        <f t="shared" si="419"/>
        <v>0</v>
      </c>
      <c r="DW236" s="67">
        <f t="shared" si="419"/>
        <v>0</v>
      </c>
      <c r="DX236" s="161"/>
    </row>
    <row r="237" spans="2:128" ht="23.25" customHeight="1" x14ac:dyDescent="0.2">
      <c r="B237" s="716"/>
      <c r="C237" s="717"/>
      <c r="D237" s="717"/>
      <c r="E237" s="717"/>
      <c r="F237" s="859" t="s">
        <v>770</v>
      </c>
      <c r="G237" s="860"/>
      <c r="H237" s="747">
        <v>208.584</v>
      </c>
      <c r="I237" s="748"/>
      <c r="J237" s="749"/>
      <c r="K237" s="747">
        <v>112</v>
      </c>
      <c r="L237" s="748"/>
      <c r="M237" s="749"/>
      <c r="N237" s="747">
        <v>208.584</v>
      </c>
      <c r="O237" s="748"/>
      <c r="P237" s="749"/>
      <c r="Q237" s="747">
        <v>541.85199999999998</v>
      </c>
      <c r="R237" s="748"/>
      <c r="S237" s="749"/>
      <c r="T237" s="747">
        <v>38.746000000000002</v>
      </c>
      <c r="U237" s="748"/>
      <c r="V237" s="749"/>
      <c r="W237" s="747">
        <v>60</v>
      </c>
      <c r="X237" s="748"/>
      <c r="Y237" s="749"/>
      <c r="Z237" s="747">
        <v>53.3</v>
      </c>
      <c r="AA237" s="748"/>
      <c r="AB237" s="749"/>
      <c r="AC237" s="747">
        <v>77.8</v>
      </c>
      <c r="AD237" s="748"/>
      <c r="AE237" s="749"/>
      <c r="AF237" s="747"/>
      <c r="AG237" s="748"/>
      <c r="AH237" s="749"/>
      <c r="AI237" s="747"/>
      <c r="AJ237" s="748"/>
      <c r="AK237" s="749"/>
      <c r="AL237" s="747"/>
      <c r="AM237" s="748"/>
      <c r="AN237" s="749"/>
      <c r="AO237" s="747"/>
      <c r="AP237" s="748"/>
      <c r="AQ237" s="749"/>
      <c r="AR237" s="747"/>
      <c r="AS237" s="748"/>
      <c r="AT237" s="749"/>
      <c r="AU237" s="747"/>
      <c r="AV237" s="748"/>
      <c r="AW237" s="749"/>
      <c r="AX237" s="747"/>
      <c r="AY237" s="748"/>
      <c r="AZ237" s="749"/>
      <c r="BA237" s="747"/>
      <c r="BB237" s="748"/>
      <c r="BC237" s="749"/>
      <c r="BD237" s="747"/>
      <c r="BE237" s="748"/>
      <c r="BF237" s="749"/>
      <c r="BG237" s="747"/>
      <c r="BH237" s="748"/>
      <c r="BI237" s="749"/>
      <c r="BJ237" s="747"/>
      <c r="BK237" s="748"/>
      <c r="BL237" s="749"/>
      <c r="BM237" s="747"/>
      <c r="BN237" s="748"/>
      <c r="BO237" s="749"/>
      <c r="BP237" s="747"/>
      <c r="BQ237" s="748"/>
      <c r="BR237" s="749"/>
      <c r="BS237" s="747"/>
      <c r="BT237" s="748"/>
      <c r="BU237" s="749"/>
      <c r="BV237" s="747"/>
      <c r="BW237" s="748"/>
      <c r="BX237" s="749"/>
      <c r="BY237" s="747"/>
      <c r="BZ237" s="748"/>
      <c r="CA237" s="749"/>
      <c r="CB237" s="747"/>
      <c r="CC237" s="748"/>
      <c r="CD237" s="749"/>
      <c r="CE237" s="747"/>
      <c r="CF237" s="748"/>
      <c r="CG237" s="749"/>
      <c r="CH237" s="747"/>
      <c r="CI237" s="748"/>
      <c r="CJ237" s="749"/>
      <c r="CK237" s="747"/>
      <c r="CL237" s="748"/>
      <c r="CM237" s="749"/>
      <c r="CN237" s="747"/>
      <c r="CO237" s="748"/>
      <c r="CP237" s="749"/>
      <c r="CQ237" s="747"/>
      <c r="CR237" s="748"/>
      <c r="CS237" s="749"/>
      <c r="CT237" s="747"/>
      <c r="CU237" s="748"/>
      <c r="CV237" s="749"/>
      <c r="CW237" s="747"/>
      <c r="CX237" s="748"/>
      <c r="CY237" s="749"/>
      <c r="CZ237" s="747"/>
      <c r="DA237" s="748"/>
      <c r="DB237" s="749"/>
      <c r="DC237" s="747"/>
      <c r="DD237" s="748"/>
      <c r="DE237" s="749"/>
      <c r="DF237" s="747"/>
      <c r="DG237" s="748"/>
      <c r="DH237" s="749"/>
      <c r="DI237" s="747"/>
      <c r="DJ237" s="748"/>
      <c r="DK237" s="749"/>
      <c r="DL237" s="747"/>
      <c r="DM237" s="748"/>
      <c r="DN237" s="749"/>
      <c r="DO237" s="747"/>
      <c r="DP237" s="748"/>
      <c r="DQ237" s="749"/>
      <c r="DR237" s="747"/>
      <c r="DS237" s="748"/>
      <c r="DT237" s="749"/>
      <c r="DU237" s="747"/>
      <c r="DV237" s="748"/>
      <c r="DW237" s="749"/>
      <c r="DX237" s="161"/>
    </row>
    <row r="238" spans="2:128" ht="23.25" customHeight="1" x14ac:dyDescent="0.2">
      <c r="B238" s="716"/>
      <c r="C238" s="717"/>
      <c r="D238" s="717"/>
      <c r="E238" s="717"/>
      <c r="F238" s="859" t="s">
        <v>771</v>
      </c>
      <c r="G238" s="860"/>
      <c r="H238" s="747">
        <v>10</v>
      </c>
      <c r="I238" s="748"/>
      <c r="J238" s="749"/>
      <c r="K238" s="747">
        <v>50</v>
      </c>
      <c r="L238" s="748"/>
      <c r="M238" s="749"/>
      <c r="N238" s="747">
        <v>10</v>
      </c>
      <c r="O238" s="748"/>
      <c r="P238" s="749"/>
      <c r="Q238" s="747">
        <v>20</v>
      </c>
      <c r="R238" s="748"/>
      <c r="S238" s="749"/>
      <c r="T238" s="747">
        <v>40</v>
      </c>
      <c r="U238" s="748"/>
      <c r="V238" s="749"/>
      <c r="W238" s="747">
        <v>100</v>
      </c>
      <c r="X238" s="748"/>
      <c r="Y238" s="749"/>
      <c r="Z238" s="747">
        <v>30</v>
      </c>
      <c r="AA238" s="748"/>
      <c r="AB238" s="749"/>
      <c r="AC238" s="747">
        <v>90</v>
      </c>
      <c r="AD238" s="748"/>
      <c r="AE238" s="749"/>
      <c r="AF238" s="747"/>
      <c r="AG238" s="748"/>
      <c r="AH238" s="749"/>
      <c r="AI238" s="747"/>
      <c r="AJ238" s="748"/>
      <c r="AK238" s="749"/>
      <c r="AL238" s="747"/>
      <c r="AM238" s="748"/>
      <c r="AN238" s="749"/>
      <c r="AO238" s="747"/>
      <c r="AP238" s="748"/>
      <c r="AQ238" s="749"/>
      <c r="AR238" s="747"/>
      <c r="AS238" s="748"/>
      <c r="AT238" s="749"/>
      <c r="AU238" s="747"/>
      <c r="AV238" s="748"/>
      <c r="AW238" s="749"/>
      <c r="AX238" s="747"/>
      <c r="AY238" s="748"/>
      <c r="AZ238" s="749"/>
      <c r="BA238" s="747"/>
      <c r="BB238" s="748"/>
      <c r="BC238" s="749"/>
      <c r="BD238" s="747"/>
      <c r="BE238" s="748"/>
      <c r="BF238" s="749"/>
      <c r="BG238" s="747"/>
      <c r="BH238" s="748"/>
      <c r="BI238" s="749"/>
      <c r="BJ238" s="747"/>
      <c r="BK238" s="748"/>
      <c r="BL238" s="749"/>
      <c r="BM238" s="747"/>
      <c r="BN238" s="748"/>
      <c r="BO238" s="749"/>
      <c r="BP238" s="747"/>
      <c r="BQ238" s="748"/>
      <c r="BR238" s="749"/>
      <c r="BS238" s="747"/>
      <c r="BT238" s="748"/>
      <c r="BU238" s="749"/>
      <c r="BV238" s="747"/>
      <c r="BW238" s="748"/>
      <c r="BX238" s="749"/>
      <c r="BY238" s="747"/>
      <c r="BZ238" s="748"/>
      <c r="CA238" s="749"/>
      <c r="CB238" s="747"/>
      <c r="CC238" s="748"/>
      <c r="CD238" s="749"/>
      <c r="CE238" s="747"/>
      <c r="CF238" s="748"/>
      <c r="CG238" s="749"/>
      <c r="CH238" s="747"/>
      <c r="CI238" s="748"/>
      <c r="CJ238" s="749"/>
      <c r="CK238" s="747"/>
      <c r="CL238" s="748"/>
      <c r="CM238" s="749"/>
      <c r="CN238" s="747"/>
      <c r="CO238" s="748"/>
      <c r="CP238" s="749"/>
      <c r="CQ238" s="747"/>
      <c r="CR238" s="748"/>
      <c r="CS238" s="749"/>
      <c r="CT238" s="747"/>
      <c r="CU238" s="748"/>
      <c r="CV238" s="749"/>
      <c r="CW238" s="747"/>
      <c r="CX238" s="748"/>
      <c r="CY238" s="749"/>
      <c r="CZ238" s="747"/>
      <c r="DA238" s="748"/>
      <c r="DB238" s="749"/>
      <c r="DC238" s="747"/>
      <c r="DD238" s="748"/>
      <c r="DE238" s="749"/>
      <c r="DF238" s="747"/>
      <c r="DG238" s="748"/>
      <c r="DH238" s="749"/>
      <c r="DI238" s="747"/>
      <c r="DJ238" s="748"/>
      <c r="DK238" s="749"/>
      <c r="DL238" s="747"/>
      <c r="DM238" s="748"/>
      <c r="DN238" s="749"/>
      <c r="DO238" s="747"/>
      <c r="DP238" s="748"/>
      <c r="DQ238" s="749"/>
      <c r="DR238" s="747"/>
      <c r="DS238" s="748"/>
      <c r="DT238" s="749"/>
      <c r="DU238" s="747"/>
      <c r="DV238" s="748"/>
      <c r="DW238" s="749"/>
      <c r="DX238" s="161"/>
    </row>
    <row r="239" spans="2:128" ht="23.25" customHeight="1" x14ac:dyDescent="0.2">
      <c r="B239" s="716"/>
      <c r="C239" s="717"/>
      <c r="D239" s="717"/>
      <c r="E239" s="717"/>
      <c r="F239" s="859" t="s">
        <v>3</v>
      </c>
      <c r="G239" s="860"/>
      <c r="H239" s="747">
        <v>0</v>
      </c>
      <c r="I239" s="748"/>
      <c r="J239" s="749"/>
      <c r="K239" s="747">
        <v>0</v>
      </c>
      <c r="L239" s="748"/>
      <c r="M239" s="749"/>
      <c r="N239" s="747">
        <v>1</v>
      </c>
      <c r="O239" s="748"/>
      <c r="P239" s="749"/>
      <c r="Q239" s="747">
        <v>0</v>
      </c>
      <c r="R239" s="748"/>
      <c r="S239" s="749"/>
      <c r="T239" s="747">
        <v>0</v>
      </c>
      <c r="U239" s="748"/>
      <c r="V239" s="749"/>
      <c r="W239" s="747">
        <v>0</v>
      </c>
      <c r="X239" s="748"/>
      <c r="Y239" s="749"/>
      <c r="Z239" s="747">
        <v>0</v>
      </c>
      <c r="AA239" s="748"/>
      <c r="AB239" s="749"/>
      <c r="AC239" s="747">
        <v>0</v>
      </c>
      <c r="AD239" s="748"/>
      <c r="AE239" s="749"/>
      <c r="AF239" s="747"/>
      <c r="AG239" s="748"/>
      <c r="AH239" s="749"/>
      <c r="AI239" s="747"/>
      <c r="AJ239" s="748"/>
      <c r="AK239" s="749"/>
      <c r="AL239" s="747"/>
      <c r="AM239" s="748"/>
      <c r="AN239" s="749"/>
      <c r="AO239" s="747"/>
      <c r="AP239" s="748"/>
      <c r="AQ239" s="749"/>
      <c r="AR239" s="747"/>
      <c r="AS239" s="748"/>
      <c r="AT239" s="749"/>
      <c r="AU239" s="747"/>
      <c r="AV239" s="748"/>
      <c r="AW239" s="749"/>
      <c r="AX239" s="747"/>
      <c r="AY239" s="748"/>
      <c r="AZ239" s="749"/>
      <c r="BA239" s="747"/>
      <c r="BB239" s="748"/>
      <c r="BC239" s="749"/>
      <c r="BD239" s="747"/>
      <c r="BE239" s="748"/>
      <c r="BF239" s="749"/>
      <c r="BG239" s="747"/>
      <c r="BH239" s="748"/>
      <c r="BI239" s="749"/>
      <c r="BJ239" s="747"/>
      <c r="BK239" s="748"/>
      <c r="BL239" s="749"/>
      <c r="BM239" s="747"/>
      <c r="BN239" s="748"/>
      <c r="BO239" s="749"/>
      <c r="BP239" s="747"/>
      <c r="BQ239" s="748"/>
      <c r="BR239" s="749"/>
      <c r="BS239" s="747"/>
      <c r="BT239" s="748"/>
      <c r="BU239" s="749"/>
      <c r="BV239" s="747"/>
      <c r="BW239" s="748"/>
      <c r="BX239" s="749"/>
      <c r="BY239" s="747"/>
      <c r="BZ239" s="748"/>
      <c r="CA239" s="749"/>
      <c r="CB239" s="747"/>
      <c r="CC239" s="748"/>
      <c r="CD239" s="749"/>
      <c r="CE239" s="747"/>
      <c r="CF239" s="748"/>
      <c r="CG239" s="749"/>
      <c r="CH239" s="747"/>
      <c r="CI239" s="748"/>
      <c r="CJ239" s="749"/>
      <c r="CK239" s="747"/>
      <c r="CL239" s="748"/>
      <c r="CM239" s="749"/>
      <c r="CN239" s="747"/>
      <c r="CO239" s="748"/>
      <c r="CP239" s="749"/>
      <c r="CQ239" s="747"/>
      <c r="CR239" s="748"/>
      <c r="CS239" s="749"/>
      <c r="CT239" s="747"/>
      <c r="CU239" s="748"/>
      <c r="CV239" s="749"/>
      <c r="CW239" s="747"/>
      <c r="CX239" s="748"/>
      <c r="CY239" s="749"/>
      <c r="CZ239" s="747"/>
      <c r="DA239" s="748"/>
      <c r="DB239" s="749"/>
      <c r="DC239" s="747"/>
      <c r="DD239" s="748"/>
      <c r="DE239" s="749"/>
      <c r="DF239" s="747"/>
      <c r="DG239" s="748"/>
      <c r="DH239" s="749"/>
      <c r="DI239" s="747"/>
      <c r="DJ239" s="748"/>
      <c r="DK239" s="749"/>
      <c r="DL239" s="747"/>
      <c r="DM239" s="748"/>
      <c r="DN239" s="749"/>
      <c r="DO239" s="747"/>
      <c r="DP239" s="748"/>
      <c r="DQ239" s="749"/>
      <c r="DR239" s="747"/>
      <c r="DS239" s="748"/>
      <c r="DT239" s="749"/>
      <c r="DU239" s="747"/>
      <c r="DV239" s="748"/>
      <c r="DW239" s="749"/>
      <c r="DX239" s="161"/>
    </row>
    <row r="240" spans="2:128" ht="23.25" customHeight="1" x14ac:dyDescent="0.2">
      <c r="B240" s="716"/>
      <c r="C240" s="717"/>
      <c r="D240" s="717"/>
      <c r="E240" s="717"/>
      <c r="F240" s="859" t="s">
        <v>772</v>
      </c>
      <c r="G240" s="860"/>
      <c r="H240" s="747">
        <v>-2007</v>
      </c>
      <c r="I240" s="748"/>
      <c r="J240" s="749"/>
      <c r="K240" s="747">
        <v>-733.1</v>
      </c>
      <c r="L240" s="748"/>
      <c r="M240" s="749"/>
      <c r="N240" s="747">
        <v>-86.89</v>
      </c>
      <c r="O240" s="748"/>
      <c r="P240" s="749"/>
      <c r="Q240" s="747">
        <v>-191.6</v>
      </c>
      <c r="R240" s="748"/>
      <c r="S240" s="749"/>
      <c r="T240" s="747">
        <v>-187.4</v>
      </c>
      <c r="U240" s="748"/>
      <c r="V240" s="749"/>
      <c r="W240" s="747">
        <v>-155.6</v>
      </c>
      <c r="X240" s="748"/>
      <c r="Y240" s="749"/>
      <c r="Z240" s="747">
        <v>-1089.8</v>
      </c>
      <c r="AA240" s="748"/>
      <c r="AB240" s="749"/>
      <c r="AC240" s="747">
        <v>-147</v>
      </c>
      <c r="AD240" s="748"/>
      <c r="AE240" s="749"/>
      <c r="AF240" s="747"/>
      <c r="AG240" s="748"/>
      <c r="AH240" s="749"/>
      <c r="AI240" s="747"/>
      <c r="AJ240" s="748"/>
      <c r="AK240" s="749"/>
      <c r="AL240" s="747"/>
      <c r="AM240" s="748"/>
      <c r="AN240" s="749"/>
      <c r="AO240" s="747"/>
      <c r="AP240" s="748"/>
      <c r="AQ240" s="749"/>
      <c r="AR240" s="747"/>
      <c r="AS240" s="748"/>
      <c r="AT240" s="749"/>
      <c r="AU240" s="747"/>
      <c r="AV240" s="748"/>
      <c r="AW240" s="749"/>
      <c r="AX240" s="747"/>
      <c r="AY240" s="748"/>
      <c r="AZ240" s="749"/>
      <c r="BA240" s="747"/>
      <c r="BB240" s="748"/>
      <c r="BC240" s="749"/>
      <c r="BD240" s="747"/>
      <c r="BE240" s="748"/>
      <c r="BF240" s="749"/>
      <c r="BG240" s="747"/>
      <c r="BH240" s="748"/>
      <c r="BI240" s="749"/>
      <c r="BJ240" s="747"/>
      <c r="BK240" s="748"/>
      <c r="BL240" s="749"/>
      <c r="BM240" s="747"/>
      <c r="BN240" s="748"/>
      <c r="BO240" s="749"/>
      <c r="BP240" s="747"/>
      <c r="BQ240" s="748"/>
      <c r="BR240" s="749"/>
      <c r="BS240" s="747"/>
      <c r="BT240" s="748"/>
      <c r="BU240" s="749"/>
      <c r="BV240" s="747"/>
      <c r="BW240" s="748"/>
      <c r="BX240" s="749"/>
      <c r="BY240" s="747"/>
      <c r="BZ240" s="748"/>
      <c r="CA240" s="749"/>
      <c r="CB240" s="747"/>
      <c r="CC240" s="748"/>
      <c r="CD240" s="749"/>
      <c r="CE240" s="747"/>
      <c r="CF240" s="748"/>
      <c r="CG240" s="749"/>
      <c r="CH240" s="747"/>
      <c r="CI240" s="748"/>
      <c r="CJ240" s="749"/>
      <c r="CK240" s="747"/>
      <c r="CL240" s="748"/>
      <c r="CM240" s="749"/>
      <c r="CN240" s="747"/>
      <c r="CO240" s="748"/>
      <c r="CP240" s="749"/>
      <c r="CQ240" s="747"/>
      <c r="CR240" s="748"/>
      <c r="CS240" s="749"/>
      <c r="CT240" s="747"/>
      <c r="CU240" s="748"/>
      <c r="CV240" s="749"/>
      <c r="CW240" s="747"/>
      <c r="CX240" s="748"/>
      <c r="CY240" s="749"/>
      <c r="CZ240" s="747"/>
      <c r="DA240" s="748"/>
      <c r="DB240" s="749"/>
      <c r="DC240" s="747"/>
      <c r="DD240" s="748"/>
      <c r="DE240" s="749"/>
      <c r="DF240" s="747"/>
      <c r="DG240" s="748"/>
      <c r="DH240" s="749"/>
      <c r="DI240" s="747"/>
      <c r="DJ240" s="748"/>
      <c r="DK240" s="749"/>
      <c r="DL240" s="747"/>
      <c r="DM240" s="748"/>
      <c r="DN240" s="749"/>
      <c r="DO240" s="747"/>
      <c r="DP240" s="748"/>
      <c r="DQ240" s="749"/>
      <c r="DR240" s="747"/>
      <c r="DS240" s="748"/>
      <c r="DT240" s="749"/>
      <c r="DU240" s="747"/>
      <c r="DV240" s="748"/>
      <c r="DW240" s="749"/>
      <c r="DX240" s="161"/>
    </row>
    <row r="241" spans="2:128" ht="23.25" customHeight="1" x14ac:dyDescent="0.2">
      <c r="B241" s="716"/>
      <c r="C241" s="717"/>
      <c r="D241" s="717"/>
      <c r="E241" s="717"/>
      <c r="F241" s="859" t="s">
        <v>773</v>
      </c>
      <c r="G241" s="860"/>
      <c r="H241" s="747">
        <v>-5.5570000000000004</v>
      </c>
      <c r="I241" s="748"/>
      <c r="J241" s="749"/>
      <c r="K241" s="747">
        <v>-0.61450000000000005</v>
      </c>
      <c r="L241" s="748"/>
      <c r="M241" s="749"/>
      <c r="N241" s="747">
        <v>-8.3199999999999996E-2</v>
      </c>
      <c r="O241" s="748"/>
      <c r="P241" s="749"/>
      <c r="Q241" s="747">
        <v>-3.45</v>
      </c>
      <c r="R241" s="748"/>
      <c r="S241" s="749"/>
      <c r="T241" s="747">
        <v>-0.12939999999999999</v>
      </c>
      <c r="U241" s="748"/>
      <c r="V241" s="749"/>
      <c r="W241" s="747">
        <v>-7.0459999999999995E-2</v>
      </c>
      <c r="X241" s="748"/>
      <c r="Y241" s="749"/>
      <c r="Z241" s="747">
        <v>-0.94299999999999995</v>
      </c>
      <c r="AA241" s="748"/>
      <c r="AB241" s="749"/>
      <c r="AC241" s="747">
        <v>-0.1</v>
      </c>
      <c r="AD241" s="748"/>
      <c r="AE241" s="749"/>
      <c r="AF241" s="747"/>
      <c r="AG241" s="748"/>
      <c r="AH241" s="749"/>
      <c r="AI241" s="747"/>
      <c r="AJ241" s="748"/>
      <c r="AK241" s="749"/>
      <c r="AL241" s="747"/>
      <c r="AM241" s="748"/>
      <c r="AN241" s="749"/>
      <c r="AO241" s="747"/>
      <c r="AP241" s="748"/>
      <c r="AQ241" s="749"/>
      <c r="AR241" s="747"/>
      <c r="AS241" s="748"/>
      <c r="AT241" s="749"/>
      <c r="AU241" s="747"/>
      <c r="AV241" s="748"/>
      <c r="AW241" s="749"/>
      <c r="AX241" s="747"/>
      <c r="AY241" s="748"/>
      <c r="AZ241" s="749"/>
      <c r="BA241" s="747"/>
      <c r="BB241" s="748"/>
      <c r="BC241" s="749"/>
      <c r="BD241" s="747"/>
      <c r="BE241" s="748"/>
      <c r="BF241" s="749"/>
      <c r="BG241" s="747"/>
      <c r="BH241" s="748"/>
      <c r="BI241" s="749"/>
      <c r="BJ241" s="747"/>
      <c r="BK241" s="748"/>
      <c r="BL241" s="749"/>
      <c r="BM241" s="747"/>
      <c r="BN241" s="748"/>
      <c r="BO241" s="749"/>
      <c r="BP241" s="747"/>
      <c r="BQ241" s="748"/>
      <c r="BR241" s="749"/>
      <c r="BS241" s="747"/>
      <c r="BT241" s="748"/>
      <c r="BU241" s="749"/>
      <c r="BV241" s="747"/>
      <c r="BW241" s="748"/>
      <c r="BX241" s="749"/>
      <c r="BY241" s="747"/>
      <c r="BZ241" s="748"/>
      <c r="CA241" s="749"/>
      <c r="CB241" s="747"/>
      <c r="CC241" s="748"/>
      <c r="CD241" s="749"/>
      <c r="CE241" s="747"/>
      <c r="CF241" s="748"/>
      <c r="CG241" s="749"/>
      <c r="CH241" s="747"/>
      <c r="CI241" s="748"/>
      <c r="CJ241" s="749"/>
      <c r="CK241" s="747"/>
      <c r="CL241" s="748"/>
      <c r="CM241" s="749"/>
      <c r="CN241" s="747"/>
      <c r="CO241" s="748"/>
      <c r="CP241" s="749"/>
      <c r="CQ241" s="747"/>
      <c r="CR241" s="748"/>
      <c r="CS241" s="749"/>
      <c r="CT241" s="747"/>
      <c r="CU241" s="748"/>
      <c r="CV241" s="749"/>
      <c r="CW241" s="747"/>
      <c r="CX241" s="748"/>
      <c r="CY241" s="749"/>
      <c r="CZ241" s="747"/>
      <c r="DA241" s="748"/>
      <c r="DB241" s="749"/>
      <c r="DC241" s="747"/>
      <c r="DD241" s="748"/>
      <c r="DE241" s="749"/>
      <c r="DF241" s="747"/>
      <c r="DG241" s="748"/>
      <c r="DH241" s="749"/>
      <c r="DI241" s="747"/>
      <c r="DJ241" s="748"/>
      <c r="DK241" s="749"/>
      <c r="DL241" s="747"/>
      <c r="DM241" s="748"/>
      <c r="DN241" s="749"/>
      <c r="DO241" s="747"/>
      <c r="DP241" s="748"/>
      <c r="DQ241" s="749"/>
      <c r="DR241" s="747"/>
      <c r="DS241" s="748"/>
      <c r="DT241" s="749"/>
      <c r="DU241" s="747"/>
      <c r="DV241" s="748"/>
      <c r="DW241" s="749"/>
      <c r="DX241" s="161"/>
    </row>
    <row r="242" spans="2:128" ht="23.25" customHeight="1" x14ac:dyDescent="0.2">
      <c r="B242" s="716"/>
      <c r="C242" s="717"/>
      <c r="D242" s="717"/>
      <c r="E242" s="717"/>
      <c r="F242" s="861" t="s">
        <v>774</v>
      </c>
      <c r="G242" s="862"/>
      <c r="H242" s="732">
        <f>IF(I$178="","",SUM(H186:H235))</f>
        <v>990.00019999999995</v>
      </c>
      <c r="I242" s="733"/>
      <c r="J242" s="734"/>
      <c r="K242" s="732">
        <f t="shared" ref="K242" si="420">IF(L$178="","",SUM(K186:K235))</f>
        <v>104.1443</v>
      </c>
      <c r="L242" s="733"/>
      <c r="M242" s="734"/>
      <c r="N242" s="732">
        <f t="shared" ref="N242" si="421">IF(O$178="","",SUM(N186:N235))</f>
        <v>21.109400000000001</v>
      </c>
      <c r="O242" s="733"/>
      <c r="P242" s="734"/>
      <c r="Q242" s="732">
        <f t="shared" ref="Q242" si="422">IF(R$178="","",SUM(Q186:Q235))</f>
        <v>55.496900000000004</v>
      </c>
      <c r="R242" s="733"/>
      <c r="S242" s="734"/>
      <c r="T242" s="732">
        <f t="shared" ref="T242" si="423">IF(U$178="","",SUM(T186:T235))</f>
        <v>15.479800000000001</v>
      </c>
      <c r="U242" s="733"/>
      <c r="V242" s="734"/>
      <c r="W242" s="732">
        <f t="shared" ref="W242" si="424">IF(X$178="","",SUM(W186:W235))</f>
        <v>11.9826</v>
      </c>
      <c r="X242" s="733"/>
      <c r="Y242" s="734"/>
      <c r="Z242" s="732">
        <f t="shared" ref="Z242" si="425">IF(AA$178="","",SUM(Z186:Z235))</f>
        <v>144.458</v>
      </c>
      <c r="AA242" s="733"/>
      <c r="AB242" s="734"/>
      <c r="AC242" s="732">
        <f t="shared" ref="AC242" si="426">IF(AD$178="","",SUM(AC186:AC235))</f>
        <v>14.5</v>
      </c>
      <c r="AD242" s="733"/>
      <c r="AE242" s="734"/>
      <c r="AF242" s="732" t="str">
        <f t="shared" ref="AF242" si="427">IF(AG$178="","",SUM(AF186:AF235))</f>
        <v/>
      </c>
      <c r="AG242" s="733"/>
      <c r="AH242" s="734"/>
      <c r="AI242" s="732" t="str">
        <f t="shared" ref="AI242" si="428">IF(AJ$178="","",SUM(AI186:AI235))</f>
        <v/>
      </c>
      <c r="AJ242" s="733"/>
      <c r="AK242" s="734"/>
      <c r="AL242" s="732" t="str">
        <f t="shared" ref="AL242" si="429">IF(AM$178="","",SUM(AL186:AL235))</f>
        <v/>
      </c>
      <c r="AM242" s="733"/>
      <c r="AN242" s="734"/>
      <c r="AO242" s="732" t="str">
        <f t="shared" ref="AO242" si="430">IF(AP$178="","",SUM(AO186:AO235))</f>
        <v/>
      </c>
      <c r="AP242" s="733"/>
      <c r="AQ242" s="734"/>
      <c r="AR242" s="732" t="str">
        <f t="shared" ref="AR242" si="431">IF(AS$178="","",SUM(AR186:AR235))</f>
        <v/>
      </c>
      <c r="AS242" s="733"/>
      <c r="AT242" s="734"/>
      <c r="AU242" s="732" t="str">
        <f t="shared" ref="AU242" si="432">IF(AV$178="","",SUM(AU186:AU235))</f>
        <v/>
      </c>
      <c r="AV242" s="733"/>
      <c r="AW242" s="734"/>
      <c r="AX242" s="732" t="str">
        <f t="shared" ref="AX242" si="433">IF(AY$178="","",SUM(AX186:AX235))</f>
        <v/>
      </c>
      <c r="AY242" s="733"/>
      <c r="AZ242" s="734"/>
      <c r="BA242" s="732" t="str">
        <f t="shared" ref="BA242" si="434">IF(BB$178="","",SUM(BA186:BA235))</f>
        <v/>
      </c>
      <c r="BB242" s="733"/>
      <c r="BC242" s="734"/>
      <c r="BD242" s="732" t="str">
        <f t="shared" ref="BD242" si="435">IF(BE$178="","",SUM(BD186:BD235))</f>
        <v/>
      </c>
      <c r="BE242" s="733"/>
      <c r="BF242" s="734"/>
      <c r="BG242" s="732" t="str">
        <f t="shared" ref="BG242" si="436">IF(BH$178="","",SUM(BG186:BG235))</f>
        <v/>
      </c>
      <c r="BH242" s="733"/>
      <c r="BI242" s="734"/>
      <c r="BJ242" s="732" t="str">
        <f t="shared" ref="BJ242" si="437">IF(BK$178="","",SUM(BJ186:BJ235))</f>
        <v/>
      </c>
      <c r="BK242" s="733"/>
      <c r="BL242" s="734"/>
      <c r="BM242" s="732" t="str">
        <f t="shared" ref="BM242" si="438">IF(BN$178="","",SUM(BM186:BM235))</f>
        <v/>
      </c>
      <c r="BN242" s="733"/>
      <c r="BO242" s="734"/>
      <c r="BP242" s="732" t="str">
        <f t="shared" ref="BP242" si="439">IF(BQ$178="","",SUM(BP186:BP235))</f>
        <v/>
      </c>
      <c r="BQ242" s="733"/>
      <c r="BR242" s="734"/>
      <c r="BS242" s="732" t="str">
        <f t="shared" ref="BS242" si="440">IF(BT$178="","",SUM(BS186:BS235))</f>
        <v/>
      </c>
      <c r="BT242" s="733"/>
      <c r="BU242" s="734"/>
      <c r="BV242" s="732" t="str">
        <f t="shared" ref="BV242" si="441">IF(BW$178="","",SUM(BV186:BV235))</f>
        <v/>
      </c>
      <c r="BW242" s="733"/>
      <c r="BX242" s="734"/>
      <c r="BY242" s="732" t="str">
        <f t="shared" ref="BY242" si="442">IF(BZ$178="","",SUM(BY186:BY235))</f>
        <v/>
      </c>
      <c r="BZ242" s="733"/>
      <c r="CA242" s="734"/>
      <c r="CB242" s="732" t="str">
        <f t="shared" ref="CB242" si="443">IF(CC$178="","",SUM(CB186:CB235))</f>
        <v/>
      </c>
      <c r="CC242" s="733"/>
      <c r="CD242" s="734"/>
      <c r="CE242" s="732" t="str">
        <f t="shared" ref="CE242" si="444">IF(CF$178="","",SUM(CE186:CE235))</f>
        <v/>
      </c>
      <c r="CF242" s="733"/>
      <c r="CG242" s="734"/>
      <c r="CH242" s="732" t="str">
        <f t="shared" ref="CH242" si="445">IF(CI$178="","",SUM(CH186:CH235))</f>
        <v/>
      </c>
      <c r="CI242" s="733"/>
      <c r="CJ242" s="734"/>
      <c r="CK242" s="732" t="str">
        <f t="shared" ref="CK242" si="446">IF(CL$178="","",SUM(CK186:CK235))</f>
        <v/>
      </c>
      <c r="CL242" s="733"/>
      <c r="CM242" s="734"/>
      <c r="CN242" s="732" t="str">
        <f t="shared" ref="CN242" si="447">IF(CO$178="","",SUM(CN186:CN235))</f>
        <v/>
      </c>
      <c r="CO242" s="733"/>
      <c r="CP242" s="734"/>
      <c r="CQ242" s="732" t="str">
        <f t="shared" ref="CQ242" si="448">IF(CR$178="","",SUM(CQ186:CQ235))</f>
        <v/>
      </c>
      <c r="CR242" s="733"/>
      <c r="CS242" s="734"/>
      <c r="CT242" s="732" t="str">
        <f t="shared" ref="CT242" si="449">IF(CU$178="","",SUM(CT186:CT235))</f>
        <v/>
      </c>
      <c r="CU242" s="733"/>
      <c r="CV242" s="734"/>
      <c r="CW242" s="732" t="str">
        <f t="shared" ref="CW242" si="450">IF(CX$178="","",SUM(CW186:CW235))</f>
        <v/>
      </c>
      <c r="CX242" s="733"/>
      <c r="CY242" s="734"/>
      <c r="CZ242" s="732" t="str">
        <f t="shared" ref="CZ242" si="451">IF(DA$178="","",SUM(CZ186:CZ235))</f>
        <v/>
      </c>
      <c r="DA242" s="733"/>
      <c r="DB242" s="734"/>
      <c r="DC242" s="732" t="str">
        <f t="shared" ref="DC242" si="452">IF(DD$178="","",SUM(DC186:DC235))</f>
        <v/>
      </c>
      <c r="DD242" s="733"/>
      <c r="DE242" s="734"/>
      <c r="DF242" s="732" t="str">
        <f t="shared" ref="DF242" si="453">IF(DG$178="","",SUM(DF186:DF235))</f>
        <v/>
      </c>
      <c r="DG242" s="733"/>
      <c r="DH242" s="734"/>
      <c r="DI242" s="732" t="str">
        <f t="shared" ref="DI242" si="454">IF(DJ$178="","",SUM(DI186:DI235))</f>
        <v/>
      </c>
      <c r="DJ242" s="733"/>
      <c r="DK242" s="734"/>
      <c r="DL242" s="732" t="str">
        <f t="shared" ref="DL242" si="455">IF(DM$178="","",SUM(DL186:DL235))</f>
        <v/>
      </c>
      <c r="DM242" s="733"/>
      <c r="DN242" s="734"/>
      <c r="DO242" s="732" t="str">
        <f t="shared" ref="DO242" si="456">IF(DP$178="","",SUM(DO186:DO235))</f>
        <v/>
      </c>
      <c r="DP242" s="733"/>
      <c r="DQ242" s="734"/>
      <c r="DR242" s="732" t="str">
        <f t="shared" ref="DR242" si="457">IF(DS$178="","",SUM(DR186:DR235))</f>
        <v/>
      </c>
      <c r="DS242" s="733"/>
      <c r="DT242" s="734"/>
      <c r="DU242" s="732" t="str">
        <f t="shared" ref="DU242" si="458">IF(DV$178="","",SUM(DU186:DU235))</f>
        <v/>
      </c>
      <c r="DV242" s="733"/>
      <c r="DW242" s="734"/>
      <c r="DX242" s="161"/>
    </row>
    <row r="243" spans="2:128" ht="23.25" customHeight="1" x14ac:dyDescent="0.2">
      <c r="B243" s="716"/>
      <c r="C243" s="717"/>
      <c r="D243" s="717"/>
      <c r="E243" s="717"/>
      <c r="F243" s="890" t="s">
        <v>800</v>
      </c>
      <c r="G243" s="891"/>
      <c r="H243" s="732">
        <v>1.3540000000000001</v>
      </c>
      <c r="I243" s="733"/>
      <c r="J243" s="734"/>
      <c r="K243" s="732">
        <v>8.6999999999999994E-2</v>
      </c>
      <c r="L243" s="733"/>
      <c r="M243" s="734"/>
      <c r="N243" s="732">
        <v>126.813</v>
      </c>
      <c r="O243" s="733"/>
      <c r="P243" s="734"/>
      <c r="Q243" s="732">
        <v>9.2999999999999999E-2</v>
      </c>
      <c r="R243" s="733"/>
      <c r="S243" s="734"/>
      <c r="T243" s="732">
        <v>1.7999999999999999E-2</v>
      </c>
      <c r="U243" s="733"/>
      <c r="V243" s="734"/>
      <c r="W243" s="732">
        <v>5.0000000000000001E-3</v>
      </c>
      <c r="X243" s="733"/>
      <c r="Y243" s="734"/>
      <c r="Z243" s="732">
        <v>0.13109999999999999</v>
      </c>
      <c r="AA243" s="733"/>
      <c r="AB243" s="734"/>
      <c r="AC243" s="732">
        <v>6.0000000000000001E-3</v>
      </c>
      <c r="AD243" s="733"/>
      <c r="AE243" s="734"/>
      <c r="AF243" s="732"/>
      <c r="AG243" s="733"/>
      <c r="AH243" s="734"/>
      <c r="AI243" s="732"/>
      <c r="AJ243" s="733"/>
      <c r="AK243" s="734"/>
      <c r="AL243" s="732"/>
      <c r="AM243" s="733"/>
      <c r="AN243" s="734"/>
      <c r="AO243" s="732"/>
      <c r="AP243" s="733"/>
      <c r="AQ243" s="734"/>
      <c r="AR243" s="732"/>
      <c r="AS243" s="733"/>
      <c r="AT243" s="734"/>
      <c r="AU243" s="732"/>
      <c r="AV243" s="733"/>
      <c r="AW243" s="734"/>
      <c r="AX243" s="732"/>
      <c r="AY243" s="733"/>
      <c r="AZ243" s="734"/>
      <c r="BA243" s="732"/>
      <c r="BB243" s="733"/>
      <c r="BC243" s="734"/>
      <c r="BD243" s="732"/>
      <c r="BE243" s="733"/>
      <c r="BF243" s="734"/>
      <c r="BG243" s="732"/>
      <c r="BH243" s="733"/>
      <c r="BI243" s="734"/>
      <c r="BJ243" s="732"/>
      <c r="BK243" s="733"/>
      <c r="BL243" s="734"/>
      <c r="BM243" s="732"/>
      <c r="BN243" s="733"/>
      <c r="BO243" s="734"/>
      <c r="BP243" s="732"/>
      <c r="BQ243" s="733"/>
      <c r="BR243" s="734"/>
      <c r="BS243" s="732"/>
      <c r="BT243" s="733"/>
      <c r="BU243" s="734"/>
      <c r="BV243" s="732"/>
      <c r="BW243" s="733"/>
      <c r="BX243" s="734"/>
      <c r="BY243" s="732"/>
      <c r="BZ243" s="733"/>
      <c r="CA243" s="734"/>
      <c r="CB243" s="732"/>
      <c r="CC243" s="733"/>
      <c r="CD243" s="734"/>
      <c r="CE243" s="732"/>
      <c r="CF243" s="733"/>
      <c r="CG243" s="734"/>
      <c r="CH243" s="732"/>
      <c r="CI243" s="733"/>
      <c r="CJ243" s="734"/>
      <c r="CK243" s="732"/>
      <c r="CL243" s="733"/>
      <c r="CM243" s="734"/>
      <c r="CN243" s="732"/>
      <c r="CO243" s="733"/>
      <c r="CP243" s="734"/>
      <c r="CQ243" s="732"/>
      <c r="CR243" s="733"/>
      <c r="CS243" s="734"/>
      <c r="CT243" s="732"/>
      <c r="CU243" s="733"/>
      <c r="CV243" s="734"/>
      <c r="CW243" s="732"/>
      <c r="CX243" s="733"/>
      <c r="CY243" s="734"/>
      <c r="CZ243" s="732"/>
      <c r="DA243" s="733"/>
      <c r="DB243" s="734"/>
      <c r="DC243" s="732"/>
      <c r="DD243" s="733"/>
      <c r="DE243" s="734"/>
      <c r="DF243" s="732"/>
      <c r="DG243" s="733"/>
      <c r="DH243" s="734"/>
      <c r="DI243" s="732"/>
      <c r="DJ243" s="733"/>
      <c r="DK243" s="734"/>
      <c r="DL243" s="732"/>
      <c r="DM243" s="733"/>
      <c r="DN243" s="734"/>
      <c r="DO243" s="732"/>
      <c r="DP243" s="733"/>
      <c r="DQ243" s="734"/>
      <c r="DR243" s="732"/>
      <c r="DS243" s="733"/>
      <c r="DT243" s="734"/>
      <c r="DU243" s="732"/>
      <c r="DV243" s="733"/>
      <c r="DW243" s="734"/>
      <c r="DX243" s="161"/>
    </row>
    <row r="244" spans="2:128" ht="23.25" customHeight="1" x14ac:dyDescent="0.2">
      <c r="B244" s="716"/>
      <c r="C244" s="717"/>
      <c r="D244" s="717"/>
      <c r="E244" s="717"/>
      <c r="F244" s="863" t="s">
        <v>775</v>
      </c>
      <c r="G244" s="864"/>
      <c r="H244" s="732">
        <f>IF(H242="","",H236/I236)</f>
        <v>297.04210999489845</v>
      </c>
      <c r="I244" s="733"/>
      <c r="J244" s="734"/>
      <c r="K244" s="732">
        <f>IF(K242="","",K236/L236)</f>
        <v>91.000103804333307</v>
      </c>
      <c r="L244" s="733"/>
      <c r="M244" s="734"/>
      <c r="N244" s="732">
        <f>IF(N242="","",N236/O236)</f>
        <v>66.574040838028694</v>
      </c>
      <c r="O244" s="733"/>
      <c r="P244" s="734"/>
      <c r="Q244" s="732">
        <f>IF(Q242="","",Q236/R236)</f>
        <v>256.30155770877161</v>
      </c>
      <c r="R244" s="733"/>
      <c r="S244" s="734"/>
      <c r="T244" s="732">
        <f>IF(T242="","",T236/U236)</f>
        <v>22.334791708409966</v>
      </c>
      <c r="U244" s="733"/>
      <c r="V244" s="734"/>
      <c r="W244" s="732">
        <f>IF(W242="","",W236/X236)</f>
        <v>117.42403150384602</v>
      </c>
      <c r="X244" s="733"/>
      <c r="Y244" s="734"/>
      <c r="Z244" s="732">
        <f>IF(Z242="","",Z236/AA236)</f>
        <v>61.502840744087614</v>
      </c>
      <c r="AA244" s="733"/>
      <c r="AB244" s="734"/>
      <c r="AC244" s="732">
        <f>IF(AC242="","",AC236/AD236)</f>
        <v>142.04</v>
      </c>
      <c r="AD244" s="733"/>
      <c r="AE244" s="734"/>
      <c r="AF244" s="732" t="str">
        <f>IF(AF242="","",AF236/AG236)</f>
        <v/>
      </c>
      <c r="AG244" s="733"/>
      <c r="AH244" s="734"/>
      <c r="AI244" s="732" t="str">
        <f>IF(AI242="","",AI236/AJ236)</f>
        <v/>
      </c>
      <c r="AJ244" s="733"/>
      <c r="AK244" s="734"/>
      <c r="AL244" s="732" t="str">
        <f>IF(AL242="","",AL236/AM236)</f>
        <v/>
      </c>
      <c r="AM244" s="733"/>
      <c r="AN244" s="734"/>
      <c r="AO244" s="732" t="str">
        <f>IF(AO242="","",AO236/AP236)</f>
        <v/>
      </c>
      <c r="AP244" s="733"/>
      <c r="AQ244" s="734"/>
      <c r="AR244" s="732" t="str">
        <f>IF(AR242="","",AR236/AS236)</f>
        <v/>
      </c>
      <c r="AS244" s="733"/>
      <c r="AT244" s="734"/>
      <c r="AU244" s="732" t="str">
        <f>IF(AU242="","",AU236/AV236)</f>
        <v/>
      </c>
      <c r="AV244" s="733"/>
      <c r="AW244" s="734"/>
      <c r="AX244" s="732" t="str">
        <f>IF(AX242="","",AX236/AY236)</f>
        <v/>
      </c>
      <c r="AY244" s="733"/>
      <c r="AZ244" s="734"/>
      <c r="BA244" s="732" t="str">
        <f>IF(BA242="","",BA236/BB236)</f>
        <v/>
      </c>
      <c r="BB244" s="733"/>
      <c r="BC244" s="734"/>
      <c r="BD244" s="732" t="str">
        <f>IF(BD242="","",BD236/BE236)</f>
        <v/>
      </c>
      <c r="BE244" s="733"/>
      <c r="BF244" s="734"/>
      <c r="BG244" s="732" t="str">
        <f>IF(BG242="","",BG236/BH236)</f>
        <v/>
      </c>
      <c r="BH244" s="733"/>
      <c r="BI244" s="734"/>
      <c r="BJ244" s="732" t="str">
        <f>IF(BJ242="","",BJ236/BK236)</f>
        <v/>
      </c>
      <c r="BK244" s="733"/>
      <c r="BL244" s="734"/>
      <c r="BM244" s="732" t="str">
        <f>IF(BM242="","",BM236/BN236)</f>
        <v/>
      </c>
      <c r="BN244" s="733"/>
      <c r="BO244" s="734"/>
      <c r="BP244" s="732" t="str">
        <f>IF(BP242="","",BP236/BQ236)</f>
        <v/>
      </c>
      <c r="BQ244" s="733"/>
      <c r="BR244" s="734"/>
      <c r="BS244" s="732" t="str">
        <f>IF(BS242="","",BS236/BT236)</f>
        <v/>
      </c>
      <c r="BT244" s="733"/>
      <c r="BU244" s="734"/>
      <c r="BV244" s="732" t="str">
        <f>IF(BV242="","",BV236/BW236)</f>
        <v/>
      </c>
      <c r="BW244" s="733"/>
      <c r="BX244" s="734"/>
      <c r="BY244" s="732" t="str">
        <f>IF(BY242="","",BY236/BZ236)</f>
        <v/>
      </c>
      <c r="BZ244" s="733"/>
      <c r="CA244" s="734"/>
      <c r="CB244" s="732" t="str">
        <f>IF(CB242="","",CB236/CC236)</f>
        <v/>
      </c>
      <c r="CC244" s="733"/>
      <c r="CD244" s="734"/>
      <c r="CE244" s="732" t="str">
        <f>IF(CE242="","",CE236/CF236)</f>
        <v/>
      </c>
      <c r="CF244" s="733"/>
      <c r="CG244" s="734"/>
      <c r="CH244" s="732" t="str">
        <f>IF(CH242="","",CH236/CI236)</f>
        <v/>
      </c>
      <c r="CI244" s="733"/>
      <c r="CJ244" s="734"/>
      <c r="CK244" s="732" t="str">
        <f>IF(CK242="","",CK236/CL236)</f>
        <v/>
      </c>
      <c r="CL244" s="733"/>
      <c r="CM244" s="734"/>
      <c r="CN244" s="732" t="str">
        <f>IF(CN242="","",CN236/CO236)</f>
        <v/>
      </c>
      <c r="CO244" s="733"/>
      <c r="CP244" s="734"/>
      <c r="CQ244" s="732" t="str">
        <f>IF(CQ242="","",CQ236/CR236)</f>
        <v/>
      </c>
      <c r="CR244" s="733"/>
      <c r="CS244" s="734"/>
      <c r="CT244" s="732" t="str">
        <f>IF(CT242="","",CT236/CU236)</f>
        <v/>
      </c>
      <c r="CU244" s="733"/>
      <c r="CV244" s="734"/>
      <c r="CW244" s="732" t="str">
        <f>IF(CW242="","",CW236/CX236)</f>
        <v/>
      </c>
      <c r="CX244" s="733"/>
      <c r="CY244" s="734"/>
      <c r="CZ244" s="732" t="str">
        <f>IF(CZ242="","",CZ236/DA236)</f>
        <v/>
      </c>
      <c r="DA244" s="733"/>
      <c r="DB244" s="734"/>
      <c r="DC244" s="732" t="str">
        <f>IF(DC242="","",DC236/DD236)</f>
        <v/>
      </c>
      <c r="DD244" s="733"/>
      <c r="DE244" s="734"/>
      <c r="DF244" s="732" t="str">
        <f>IF(DF242="","",DF236/DG236)</f>
        <v/>
      </c>
      <c r="DG244" s="733"/>
      <c r="DH244" s="734"/>
      <c r="DI244" s="732" t="str">
        <f>IF(DI242="","",DI236/DJ236)</f>
        <v/>
      </c>
      <c r="DJ244" s="733"/>
      <c r="DK244" s="734"/>
      <c r="DL244" s="732" t="str">
        <f>IF(DL242="","",DL236/DM236)</f>
        <v/>
      </c>
      <c r="DM244" s="733"/>
      <c r="DN244" s="734"/>
      <c r="DO244" s="732" t="str">
        <f>IF(DO242="","",DO236/DP236)</f>
        <v/>
      </c>
      <c r="DP244" s="733"/>
      <c r="DQ244" s="734"/>
      <c r="DR244" s="732" t="str">
        <f>IF(DR242="","",DR236/DS236)</f>
        <v/>
      </c>
      <c r="DS244" s="733"/>
      <c r="DT244" s="734"/>
      <c r="DU244" s="732" t="str">
        <f>IF(DU242="","",DU236/DV236)</f>
        <v/>
      </c>
      <c r="DV244" s="733"/>
      <c r="DW244" s="734"/>
      <c r="DX244" s="161"/>
    </row>
    <row r="245" spans="2:128" ht="23.25" customHeight="1" x14ac:dyDescent="0.2">
      <c r="B245" s="716"/>
      <c r="C245" s="717"/>
      <c r="D245" s="717"/>
      <c r="E245" s="717"/>
      <c r="F245" s="865" t="s">
        <v>776</v>
      </c>
      <c r="G245" s="866"/>
      <c r="H245" s="732">
        <f>IF(H242="","",H242/H244)</f>
        <v>3.332861458656494</v>
      </c>
      <c r="I245" s="733"/>
      <c r="J245" s="734"/>
      <c r="K245" s="732">
        <f>IF(K242="","",K242/K244)</f>
        <v>1.1444415516704145</v>
      </c>
      <c r="L245" s="733"/>
      <c r="M245" s="734"/>
      <c r="N245" s="732">
        <f>IF(N242="","",N242/N244)</f>
        <v>0.31708154911849368</v>
      </c>
      <c r="O245" s="733"/>
      <c r="P245" s="734"/>
      <c r="Q245" s="732">
        <f>IF(Q242="","",Q242/Q244)</f>
        <v>0.21652970234016136</v>
      </c>
      <c r="R245" s="733"/>
      <c r="S245" s="734"/>
      <c r="T245" s="732">
        <f>IF(T242="","",T242/T244)</f>
        <v>0.69308011474184561</v>
      </c>
      <c r="U245" s="733"/>
      <c r="V245" s="734"/>
      <c r="W245" s="732">
        <f>IF(W242="","",W242/W244)</f>
        <v>0.10204555103873716</v>
      </c>
      <c r="X245" s="733"/>
      <c r="Y245" s="734"/>
      <c r="Z245" s="732">
        <f>IF(Z242="","",Z242/Z244)</f>
        <v>2.3488020756811467</v>
      </c>
      <c r="AA245" s="733"/>
      <c r="AB245" s="734"/>
      <c r="AC245" s="732">
        <f>IF(AC242="","",AC242/AC244)</f>
        <v>0.10208392002252888</v>
      </c>
      <c r="AD245" s="733"/>
      <c r="AE245" s="734"/>
      <c r="AF245" s="732" t="str">
        <f>IF(AF242="","",AF242/AF244)</f>
        <v/>
      </c>
      <c r="AG245" s="733"/>
      <c r="AH245" s="734"/>
      <c r="AI245" s="732" t="str">
        <f>IF(AI242="","",AI242/AI244)</f>
        <v/>
      </c>
      <c r="AJ245" s="733"/>
      <c r="AK245" s="734"/>
      <c r="AL245" s="732" t="str">
        <f>IF(AL242="","",AL242/AL244)</f>
        <v/>
      </c>
      <c r="AM245" s="733"/>
      <c r="AN245" s="734"/>
      <c r="AO245" s="732" t="str">
        <f>IF(AO242="","",AO242/AO244)</f>
        <v/>
      </c>
      <c r="AP245" s="733"/>
      <c r="AQ245" s="734"/>
      <c r="AR245" s="732" t="str">
        <f>IF(AR242="","",AR242/AR244)</f>
        <v/>
      </c>
      <c r="AS245" s="733"/>
      <c r="AT245" s="734"/>
      <c r="AU245" s="732" t="str">
        <f>IF(AU242="","",AU242/AU244)</f>
        <v/>
      </c>
      <c r="AV245" s="733"/>
      <c r="AW245" s="734"/>
      <c r="AX245" s="732" t="str">
        <f>IF(AX242="","",AX242/AX244)</f>
        <v/>
      </c>
      <c r="AY245" s="733"/>
      <c r="AZ245" s="734"/>
      <c r="BA245" s="732" t="str">
        <f>IF(BA242="","",BA242/BA244)</f>
        <v/>
      </c>
      <c r="BB245" s="733"/>
      <c r="BC245" s="734"/>
      <c r="BD245" s="732" t="str">
        <f>IF(BD242="","",BD242/BD244)</f>
        <v/>
      </c>
      <c r="BE245" s="733"/>
      <c r="BF245" s="734"/>
      <c r="BG245" s="732" t="str">
        <f>IF(BG242="","",BG242/BG244)</f>
        <v/>
      </c>
      <c r="BH245" s="733"/>
      <c r="BI245" s="734"/>
      <c r="BJ245" s="732" t="str">
        <f>IF(BJ242="","",BJ242/BJ244)</f>
        <v/>
      </c>
      <c r="BK245" s="733"/>
      <c r="BL245" s="734"/>
      <c r="BM245" s="732" t="str">
        <f>IF(BM242="","",BM242/BM244)</f>
        <v/>
      </c>
      <c r="BN245" s="733"/>
      <c r="BO245" s="734"/>
      <c r="BP245" s="732" t="str">
        <f>IF(BP242="","",BP242/BP244)</f>
        <v/>
      </c>
      <c r="BQ245" s="733"/>
      <c r="BR245" s="734"/>
      <c r="BS245" s="732" t="str">
        <f>IF(BS242="","",BS242/BS244)</f>
        <v/>
      </c>
      <c r="BT245" s="733"/>
      <c r="BU245" s="734"/>
      <c r="BV245" s="732" t="str">
        <f>IF(BV242="","",BV242/BV244)</f>
        <v/>
      </c>
      <c r="BW245" s="733"/>
      <c r="BX245" s="734"/>
      <c r="BY245" s="732" t="str">
        <f>IF(BY242="","",BY242/BY244)</f>
        <v/>
      </c>
      <c r="BZ245" s="733"/>
      <c r="CA245" s="734"/>
      <c r="CB245" s="732" t="str">
        <f>IF(CB242="","",CB242/CB244)</f>
        <v/>
      </c>
      <c r="CC245" s="733"/>
      <c r="CD245" s="734"/>
      <c r="CE245" s="732" t="str">
        <f>IF(CE242="","",CE242/CE244)</f>
        <v/>
      </c>
      <c r="CF245" s="733"/>
      <c r="CG245" s="734"/>
      <c r="CH245" s="732" t="str">
        <f>IF(CH242="","",CH242/CH244)</f>
        <v/>
      </c>
      <c r="CI245" s="733"/>
      <c r="CJ245" s="734"/>
      <c r="CK245" s="732" t="str">
        <f>IF(CK242="","",CK242/CK244)</f>
        <v/>
      </c>
      <c r="CL245" s="733"/>
      <c r="CM245" s="734"/>
      <c r="CN245" s="732" t="str">
        <f>IF(CN242="","",CN242/CN244)</f>
        <v/>
      </c>
      <c r="CO245" s="733"/>
      <c r="CP245" s="734"/>
      <c r="CQ245" s="732" t="str">
        <f>IF(CQ242="","",CQ242/CQ244)</f>
        <v/>
      </c>
      <c r="CR245" s="733"/>
      <c r="CS245" s="734"/>
      <c r="CT245" s="732" t="str">
        <f>IF(CT242="","",CT242/CT244)</f>
        <v/>
      </c>
      <c r="CU245" s="733"/>
      <c r="CV245" s="734"/>
      <c r="CW245" s="732" t="str">
        <f>IF(CW242="","",CW242/CW244)</f>
        <v/>
      </c>
      <c r="CX245" s="733"/>
      <c r="CY245" s="734"/>
      <c r="CZ245" s="732" t="str">
        <f>IF(CZ242="","",CZ242/CZ244)</f>
        <v/>
      </c>
      <c r="DA245" s="733"/>
      <c r="DB245" s="734"/>
      <c r="DC245" s="732" t="str">
        <f>IF(DC242="","",DC242/DC244)</f>
        <v/>
      </c>
      <c r="DD245" s="733"/>
      <c r="DE245" s="734"/>
      <c r="DF245" s="732" t="str">
        <f>IF(DF242="","",DF242/DF244)</f>
        <v/>
      </c>
      <c r="DG245" s="733"/>
      <c r="DH245" s="734"/>
      <c r="DI245" s="732" t="str">
        <f>IF(DI242="","",DI242/DI244)</f>
        <v/>
      </c>
      <c r="DJ245" s="733"/>
      <c r="DK245" s="734"/>
      <c r="DL245" s="732" t="str">
        <f>IF(DL242="","",DL242/DL244)</f>
        <v/>
      </c>
      <c r="DM245" s="733"/>
      <c r="DN245" s="734"/>
      <c r="DO245" s="732" t="str">
        <f>IF(DO242="","",DO242/DO244)</f>
        <v/>
      </c>
      <c r="DP245" s="733"/>
      <c r="DQ245" s="734"/>
      <c r="DR245" s="732" t="str">
        <f>IF(DR242="","",DR242/DR244)</f>
        <v/>
      </c>
      <c r="DS245" s="733"/>
      <c r="DT245" s="734"/>
      <c r="DU245" s="732" t="str">
        <f>IF(DU242="","",DU242/DU244)</f>
        <v/>
      </c>
      <c r="DV245" s="733"/>
      <c r="DW245" s="734"/>
      <c r="DX245" s="161"/>
    </row>
    <row r="246" spans="2:128" ht="23.25" customHeight="1" x14ac:dyDescent="0.2">
      <c r="B246" s="716"/>
      <c r="C246" s="717"/>
      <c r="D246" s="717"/>
      <c r="E246" s="717"/>
      <c r="F246" s="888" t="s">
        <v>783</v>
      </c>
      <c r="G246" s="889"/>
      <c r="H246" s="735">
        <v>1.675</v>
      </c>
      <c r="I246" s="736"/>
      <c r="J246" s="737"/>
      <c r="K246" s="735">
        <v>0.88190000000000002</v>
      </c>
      <c r="L246" s="736"/>
      <c r="M246" s="737"/>
      <c r="N246" s="735"/>
      <c r="O246" s="736"/>
      <c r="P246" s="737"/>
      <c r="Q246" s="735"/>
      <c r="R246" s="736"/>
      <c r="S246" s="737"/>
      <c r="T246" s="735"/>
      <c r="U246" s="736"/>
      <c r="V246" s="737"/>
      <c r="W246" s="735"/>
      <c r="X246" s="736"/>
      <c r="Y246" s="737"/>
      <c r="Z246" s="735"/>
      <c r="AA246" s="736"/>
      <c r="AB246" s="737"/>
      <c r="AC246" s="735"/>
      <c r="AD246" s="736"/>
      <c r="AE246" s="737"/>
      <c r="AF246" s="735"/>
      <c r="AG246" s="736"/>
      <c r="AH246" s="737"/>
      <c r="AI246" s="735"/>
      <c r="AJ246" s="736"/>
      <c r="AK246" s="737"/>
      <c r="AL246" s="735"/>
      <c r="AM246" s="736"/>
      <c r="AN246" s="737"/>
      <c r="AO246" s="735"/>
      <c r="AP246" s="736"/>
      <c r="AQ246" s="737"/>
      <c r="AR246" s="735"/>
      <c r="AS246" s="736"/>
      <c r="AT246" s="737"/>
      <c r="AU246" s="735"/>
      <c r="AV246" s="736"/>
      <c r="AW246" s="737"/>
      <c r="AX246" s="735"/>
      <c r="AY246" s="736"/>
      <c r="AZ246" s="737"/>
      <c r="BA246" s="735"/>
      <c r="BB246" s="736"/>
      <c r="BC246" s="737"/>
      <c r="BD246" s="735"/>
      <c r="BE246" s="736"/>
      <c r="BF246" s="737"/>
      <c r="BG246" s="735"/>
      <c r="BH246" s="736"/>
      <c r="BI246" s="737"/>
      <c r="BJ246" s="735"/>
      <c r="BK246" s="736"/>
      <c r="BL246" s="737"/>
      <c r="BM246" s="735"/>
      <c r="BN246" s="736"/>
      <c r="BO246" s="737"/>
      <c r="BP246" s="735"/>
      <c r="BQ246" s="736"/>
      <c r="BR246" s="737"/>
      <c r="BS246" s="735"/>
      <c r="BT246" s="736"/>
      <c r="BU246" s="737"/>
      <c r="BV246" s="735"/>
      <c r="BW246" s="736"/>
      <c r="BX246" s="737"/>
      <c r="BY246" s="735"/>
      <c r="BZ246" s="736"/>
      <c r="CA246" s="737"/>
      <c r="CB246" s="735"/>
      <c r="CC246" s="736"/>
      <c r="CD246" s="737"/>
      <c r="CE246" s="735"/>
      <c r="CF246" s="736"/>
      <c r="CG246" s="737"/>
      <c r="CH246" s="735"/>
      <c r="CI246" s="736"/>
      <c r="CJ246" s="737"/>
      <c r="CK246" s="735"/>
      <c r="CL246" s="736"/>
      <c r="CM246" s="737"/>
      <c r="CN246" s="735"/>
      <c r="CO246" s="736"/>
      <c r="CP246" s="737"/>
      <c r="CQ246" s="735"/>
      <c r="CR246" s="736"/>
      <c r="CS246" s="737"/>
      <c r="CT246" s="735"/>
      <c r="CU246" s="736"/>
      <c r="CV246" s="737"/>
      <c r="CW246" s="735"/>
      <c r="CX246" s="736"/>
      <c r="CY246" s="737"/>
      <c r="CZ246" s="735"/>
      <c r="DA246" s="736"/>
      <c r="DB246" s="737"/>
      <c r="DC246" s="735"/>
      <c r="DD246" s="736"/>
      <c r="DE246" s="737"/>
      <c r="DF246" s="735"/>
      <c r="DG246" s="736"/>
      <c r="DH246" s="737"/>
      <c r="DI246" s="735"/>
      <c r="DJ246" s="736"/>
      <c r="DK246" s="737"/>
      <c r="DL246" s="735"/>
      <c r="DM246" s="736"/>
      <c r="DN246" s="737"/>
      <c r="DO246" s="735"/>
      <c r="DP246" s="736"/>
      <c r="DQ246" s="737"/>
      <c r="DR246" s="735"/>
      <c r="DS246" s="736"/>
      <c r="DT246" s="737"/>
      <c r="DU246" s="735"/>
      <c r="DV246" s="736"/>
      <c r="DW246" s="737"/>
      <c r="DX246" s="161"/>
    </row>
    <row r="247" spans="2:128" ht="23.25" customHeight="1" thickBot="1" x14ac:dyDescent="0.25">
      <c r="B247" s="716"/>
      <c r="C247" s="717"/>
      <c r="D247" s="717"/>
      <c r="E247" s="717"/>
      <c r="F247" s="871" t="s">
        <v>784</v>
      </c>
      <c r="G247" s="872"/>
      <c r="H247" s="738">
        <f>IF(H242="","",H242*H246)</f>
        <v>1658.250335</v>
      </c>
      <c r="I247" s="739"/>
      <c r="J247" s="740"/>
      <c r="K247" s="738">
        <f>IF(K242="","",K242*K246)</f>
        <v>91.844858170000009</v>
      </c>
      <c r="L247" s="739"/>
      <c r="M247" s="740"/>
      <c r="N247" s="738">
        <f>IF(N242="","",N242*N246)</f>
        <v>0</v>
      </c>
      <c r="O247" s="739"/>
      <c r="P247" s="740"/>
      <c r="Q247" s="738">
        <f>IF(Q242="","",Q242*Q246)</f>
        <v>0</v>
      </c>
      <c r="R247" s="739"/>
      <c r="S247" s="740"/>
      <c r="T247" s="738">
        <f>IF(T242="","",T242*T246)</f>
        <v>0</v>
      </c>
      <c r="U247" s="739"/>
      <c r="V247" s="740"/>
      <c r="W247" s="738">
        <f>IF(W242="","",W242*W246)</f>
        <v>0</v>
      </c>
      <c r="X247" s="739"/>
      <c r="Y247" s="740"/>
      <c r="Z247" s="738">
        <f>IF(Z242="","",Z242*Z246)</f>
        <v>0</v>
      </c>
      <c r="AA247" s="739"/>
      <c r="AB247" s="740"/>
      <c r="AC247" s="738">
        <f>IF(AC242="","",AC242*AC246)</f>
        <v>0</v>
      </c>
      <c r="AD247" s="739"/>
      <c r="AE247" s="740"/>
      <c r="AF247" s="738" t="str">
        <f>IF(AF242="","",AF242*AF246)</f>
        <v/>
      </c>
      <c r="AG247" s="739"/>
      <c r="AH247" s="740"/>
      <c r="AI247" s="738" t="str">
        <f>IF(AI242="","",AI242*AI246)</f>
        <v/>
      </c>
      <c r="AJ247" s="739"/>
      <c r="AK247" s="740"/>
      <c r="AL247" s="738" t="str">
        <f>IF(AL242="","",AL242*AL246)</f>
        <v/>
      </c>
      <c r="AM247" s="739"/>
      <c r="AN247" s="740"/>
      <c r="AO247" s="738" t="str">
        <f>IF(AO242="","",AO242*AO246)</f>
        <v/>
      </c>
      <c r="AP247" s="739"/>
      <c r="AQ247" s="740"/>
      <c r="AR247" s="738" t="str">
        <f>IF(AR242="","",AR242*AR246)</f>
        <v/>
      </c>
      <c r="AS247" s="739"/>
      <c r="AT247" s="740"/>
      <c r="AU247" s="738" t="str">
        <f>IF(AU242="","",AU242*AU246)</f>
        <v/>
      </c>
      <c r="AV247" s="739"/>
      <c r="AW247" s="740"/>
      <c r="AX247" s="738" t="str">
        <f>IF(AX242="","",AX242*AX246)</f>
        <v/>
      </c>
      <c r="AY247" s="739"/>
      <c r="AZ247" s="740"/>
      <c r="BA247" s="738" t="str">
        <f>IF(BA242="","",BA242*BA246)</f>
        <v/>
      </c>
      <c r="BB247" s="739"/>
      <c r="BC247" s="740"/>
      <c r="BD247" s="738" t="str">
        <f>IF(BD242="","",BD242*BD246)</f>
        <v/>
      </c>
      <c r="BE247" s="739"/>
      <c r="BF247" s="740"/>
      <c r="BG247" s="738" t="str">
        <f>IF(BG242="","",BG242*BG246)</f>
        <v/>
      </c>
      <c r="BH247" s="739"/>
      <c r="BI247" s="740"/>
      <c r="BJ247" s="738" t="str">
        <f>IF(BJ242="","",BJ242*BJ246)</f>
        <v/>
      </c>
      <c r="BK247" s="739"/>
      <c r="BL247" s="740"/>
      <c r="BM247" s="738" t="str">
        <f>IF(BM242="","",BM242*BM246)</f>
        <v/>
      </c>
      <c r="BN247" s="739"/>
      <c r="BO247" s="740"/>
      <c r="BP247" s="738" t="str">
        <f>IF(BP242="","",BP242*BP246)</f>
        <v/>
      </c>
      <c r="BQ247" s="739"/>
      <c r="BR247" s="740"/>
      <c r="BS247" s="738" t="str">
        <f>IF(BS242="","",BS242*BS246)</f>
        <v/>
      </c>
      <c r="BT247" s="739"/>
      <c r="BU247" s="740"/>
      <c r="BV247" s="738" t="str">
        <f>IF(BV242="","",BV242*BV246)</f>
        <v/>
      </c>
      <c r="BW247" s="739"/>
      <c r="BX247" s="740"/>
      <c r="BY247" s="738" t="str">
        <f>IF(BY242="","",BY242*BY246)</f>
        <v/>
      </c>
      <c r="BZ247" s="739"/>
      <c r="CA247" s="740"/>
      <c r="CB247" s="738" t="str">
        <f>IF(CB242="","",CB242*CB246)</f>
        <v/>
      </c>
      <c r="CC247" s="739"/>
      <c r="CD247" s="740"/>
      <c r="CE247" s="738" t="str">
        <f>IF(CE242="","",CE242*CE246)</f>
        <v/>
      </c>
      <c r="CF247" s="739"/>
      <c r="CG247" s="740"/>
      <c r="CH247" s="738" t="str">
        <f>IF(CH242="","",CH242*CH246)</f>
        <v/>
      </c>
      <c r="CI247" s="739"/>
      <c r="CJ247" s="740"/>
      <c r="CK247" s="738" t="str">
        <f>IF(CK242="","",CK242*CK246)</f>
        <v/>
      </c>
      <c r="CL247" s="739"/>
      <c r="CM247" s="740"/>
      <c r="CN247" s="738" t="str">
        <f>IF(CN242="","",CN242*CN246)</f>
        <v/>
      </c>
      <c r="CO247" s="739"/>
      <c r="CP247" s="740"/>
      <c r="CQ247" s="738" t="str">
        <f>IF(CQ242="","",CQ242*CQ246)</f>
        <v/>
      </c>
      <c r="CR247" s="739"/>
      <c r="CS247" s="740"/>
      <c r="CT247" s="738" t="str">
        <f>IF(CT242="","",CT242*CT246)</f>
        <v/>
      </c>
      <c r="CU247" s="739"/>
      <c r="CV247" s="740"/>
      <c r="CW247" s="738" t="str">
        <f>IF(CW242="","",CW242*CW246)</f>
        <v/>
      </c>
      <c r="CX247" s="739"/>
      <c r="CY247" s="740"/>
      <c r="CZ247" s="738" t="str">
        <f>IF(CZ242="","",CZ242*CZ246)</f>
        <v/>
      </c>
      <c r="DA247" s="739"/>
      <c r="DB247" s="740"/>
      <c r="DC247" s="738" t="str">
        <f>IF(DC242="","",DC242*DC246)</f>
        <v/>
      </c>
      <c r="DD247" s="739"/>
      <c r="DE247" s="740"/>
      <c r="DF247" s="738" t="str">
        <f>IF(DF242="","",DF242*DF246)</f>
        <v/>
      </c>
      <c r="DG247" s="739"/>
      <c r="DH247" s="740"/>
      <c r="DI247" s="738" t="str">
        <f>IF(DI242="","",DI242*DI246)</f>
        <v/>
      </c>
      <c r="DJ247" s="739"/>
      <c r="DK247" s="740"/>
      <c r="DL247" s="738" t="str">
        <f>IF(DL242="","",DL242*DL246)</f>
        <v/>
      </c>
      <c r="DM247" s="739"/>
      <c r="DN247" s="740"/>
      <c r="DO247" s="738" t="str">
        <f>IF(DO242="","",DO242*DO246)</f>
        <v/>
      </c>
      <c r="DP247" s="739"/>
      <c r="DQ247" s="740"/>
      <c r="DR247" s="738" t="str">
        <f>IF(DR242="","",DR242*DR246)</f>
        <v/>
      </c>
      <c r="DS247" s="739"/>
      <c r="DT247" s="740"/>
      <c r="DU247" s="738" t="str">
        <f>IF(DU242="","",DU242*DU246)</f>
        <v/>
      </c>
      <c r="DV247" s="739"/>
      <c r="DW247" s="740"/>
      <c r="DX247" s="161"/>
    </row>
    <row r="248" spans="2:128" ht="23.25" customHeight="1" thickBot="1" x14ac:dyDescent="0.25">
      <c r="B248" s="718"/>
      <c r="C248" s="719"/>
      <c r="D248" s="719"/>
      <c r="E248" s="719"/>
      <c r="F248" s="725"/>
      <c r="G248" s="725"/>
      <c r="H248" s="725"/>
      <c r="I248" s="725"/>
      <c r="J248" s="725"/>
      <c r="K248" s="725"/>
      <c r="L248" s="725"/>
      <c r="M248" s="725"/>
      <c r="N248" s="725"/>
      <c r="O248" s="725"/>
      <c r="P248" s="725"/>
      <c r="Q248" s="725"/>
      <c r="R248" s="725"/>
      <c r="S248" s="725"/>
      <c r="T248" s="725"/>
      <c r="U248" s="725"/>
      <c r="V248" s="725"/>
      <c r="W248" s="725"/>
      <c r="X248" s="725"/>
      <c r="Y248" s="725"/>
      <c r="Z248" s="725"/>
      <c r="AA248" s="725"/>
      <c r="AB248" s="725"/>
      <c r="AC248" s="725"/>
      <c r="AD248" s="725"/>
      <c r="AE248" s="725"/>
      <c r="AF248" s="725"/>
      <c r="AG248" s="725"/>
      <c r="AH248" s="725"/>
      <c r="AI248" s="725"/>
      <c r="AJ248" s="725"/>
      <c r="AK248" s="725"/>
      <c r="AL248" s="725"/>
      <c r="AM248" s="725"/>
      <c r="AN248" s="725"/>
      <c r="AO248" s="725"/>
      <c r="AP248" s="725"/>
      <c r="AQ248" s="725"/>
      <c r="AR248" s="725"/>
      <c r="AS248" s="725"/>
      <c r="AT248" s="725"/>
      <c r="AU248" s="725"/>
      <c r="AV248" s="725"/>
      <c r="AW248" s="725"/>
      <c r="AX248" s="725"/>
      <c r="AY248" s="725"/>
      <c r="AZ248" s="725"/>
      <c r="BA248" s="725"/>
      <c r="BB248" s="725"/>
      <c r="BC248" s="725"/>
      <c r="BD248" s="725"/>
      <c r="BE248" s="725"/>
      <c r="BF248" s="725"/>
      <c r="BG248" s="725"/>
      <c r="BH248" s="725"/>
      <c r="BI248" s="725"/>
      <c r="BJ248" s="725"/>
      <c r="BK248" s="725"/>
      <c r="BL248" s="725"/>
      <c r="BM248" s="725"/>
      <c r="BN248" s="725"/>
      <c r="BO248" s="725"/>
      <c r="BP248" s="725"/>
      <c r="BQ248" s="725"/>
      <c r="BR248" s="725"/>
      <c r="BS248" s="725"/>
      <c r="BT248" s="725"/>
      <c r="BU248" s="725"/>
      <c r="BV248" s="725"/>
      <c r="BW248" s="725"/>
      <c r="BX248" s="725"/>
      <c r="BY248" s="725"/>
      <c r="BZ248" s="725"/>
      <c r="CA248" s="725"/>
      <c r="CB248" s="725"/>
      <c r="CC248" s="725"/>
      <c r="CD248" s="725"/>
      <c r="CE248" s="725"/>
      <c r="CF248" s="725"/>
      <c r="CG248" s="725"/>
      <c r="CH248" s="725"/>
      <c r="CI248" s="725"/>
      <c r="CJ248" s="725"/>
      <c r="CK248" s="725"/>
      <c r="CL248" s="725"/>
      <c r="CM248" s="725"/>
      <c r="CN248" s="725"/>
      <c r="CO248" s="725"/>
      <c r="CP248" s="725"/>
      <c r="CQ248" s="725"/>
      <c r="CR248" s="725"/>
      <c r="CS248" s="725"/>
      <c r="CT248" s="725"/>
      <c r="CU248" s="725"/>
      <c r="CV248" s="725"/>
      <c r="CW248" s="725"/>
      <c r="CX248" s="725"/>
      <c r="CY248" s="725"/>
      <c r="CZ248" s="725"/>
      <c r="DA248" s="725"/>
      <c r="DB248" s="725"/>
      <c r="DC248" s="725"/>
      <c r="DD248" s="725"/>
      <c r="DE248" s="725"/>
      <c r="DF248" s="725"/>
      <c r="DG248" s="725"/>
      <c r="DH248" s="725"/>
      <c r="DI248" s="725"/>
      <c r="DJ248" s="725"/>
      <c r="DK248" s="725"/>
      <c r="DL248" s="725"/>
      <c r="DM248" s="725"/>
      <c r="DN248" s="725"/>
      <c r="DO248" s="725"/>
      <c r="DP248" s="725"/>
      <c r="DQ248" s="725"/>
      <c r="DR248" s="725"/>
      <c r="DS248" s="725"/>
      <c r="DT248" s="725"/>
      <c r="DU248" s="725"/>
      <c r="DV248" s="725"/>
      <c r="DW248" s="725"/>
      <c r="DX248" s="726"/>
    </row>
    <row r="249" spans="2:128" ht="23.25" customHeight="1" x14ac:dyDescent="0.2"/>
    <row r="250" spans="2:128" ht="23.25" customHeight="1" x14ac:dyDescent="0.2">
      <c r="E250" s="25"/>
      <c r="F250" s="25"/>
      <c r="G250" s="25"/>
      <c r="H250" s="99"/>
    </row>
    <row r="251" spans="2:128" ht="23.25" customHeight="1" x14ac:dyDescent="0.2">
      <c r="G251" s="25"/>
      <c r="H251" s="69"/>
    </row>
    <row r="252" spans="2:128" ht="23.25" customHeight="1" x14ac:dyDescent="0.2">
      <c r="G252" s="25"/>
      <c r="H252" s="69"/>
      <c r="W252" s="100"/>
      <c r="X252" s="100"/>
      <c r="Y252" s="100"/>
      <c r="Z252" s="100"/>
      <c r="AA252" s="100"/>
      <c r="AB252" s="100"/>
      <c r="AC252" s="433"/>
      <c r="AD252" s="100"/>
      <c r="AE252" s="25"/>
    </row>
    <row r="253" spans="2:128" ht="23.25" customHeight="1" x14ac:dyDescent="0.2">
      <c r="G253" s="25"/>
      <c r="H253" s="69"/>
      <c r="N253" s="445"/>
      <c r="U253" s="446"/>
      <c r="V253" s="446"/>
      <c r="W253" s="100"/>
      <c r="X253" s="100"/>
      <c r="Y253" s="100"/>
      <c r="Z253" s="100"/>
      <c r="AA253" s="100"/>
      <c r="AB253" s="100"/>
      <c r="AC253" s="433"/>
      <c r="AD253" s="100"/>
      <c r="AE253" s="25"/>
    </row>
    <row r="254" spans="2:128" ht="23.25" customHeight="1" x14ac:dyDescent="0.2">
      <c r="G254" s="25"/>
      <c r="H254" s="69"/>
      <c r="N254" s="445"/>
      <c r="U254" s="446"/>
      <c r="V254" s="446"/>
      <c r="W254" s="100"/>
      <c r="X254" s="100"/>
      <c r="Y254" s="100"/>
      <c r="Z254" s="100"/>
      <c r="AA254" s="100"/>
      <c r="AB254" s="100"/>
      <c r="AC254" s="433"/>
      <c r="AD254" s="100"/>
      <c r="AE254" s="25"/>
    </row>
    <row r="255" spans="2:128" ht="23.25" customHeight="1" x14ac:dyDescent="0.2">
      <c r="G255" s="25"/>
      <c r="H255" s="99"/>
      <c r="N255" s="445"/>
      <c r="U255" s="446"/>
      <c r="V255" s="446"/>
      <c r="W255" s="100"/>
      <c r="X255" s="100"/>
      <c r="Y255" s="100"/>
      <c r="Z255" s="100"/>
      <c r="AA255" s="100"/>
      <c r="AB255" s="100"/>
      <c r="AC255" s="433"/>
      <c r="AD255" s="100"/>
      <c r="AE255" s="25"/>
    </row>
    <row r="256" spans="2:128" ht="23.25" customHeight="1" thickBot="1" x14ac:dyDescent="0.25">
      <c r="E256" s="25"/>
      <c r="F256" s="25"/>
      <c r="G256" s="25"/>
      <c r="H256" s="99"/>
      <c r="I256" s="100"/>
      <c r="J256" s="100"/>
      <c r="N256" s="445"/>
      <c r="U256" s="446"/>
      <c r="V256" s="446"/>
      <c r="W256" s="100"/>
      <c r="X256" s="100"/>
      <c r="Y256" s="100"/>
      <c r="Z256" s="100"/>
      <c r="AA256" s="100"/>
      <c r="AB256" s="100"/>
      <c r="AC256" s="433"/>
      <c r="AD256" s="100"/>
      <c r="AE256" s="25"/>
    </row>
    <row r="257" spans="2:103" ht="38.25" thickBot="1" x14ac:dyDescent="0.55000000000000004">
      <c r="B257" s="376" t="s">
        <v>1285</v>
      </c>
      <c r="C257" s="155"/>
      <c r="D257" s="395"/>
      <c r="E257" s="783" t="s">
        <v>1258</v>
      </c>
      <c r="F257" s="783"/>
      <c r="G257" s="784" t="s">
        <v>1259</v>
      </c>
      <c r="H257" s="784"/>
      <c r="I257" s="784"/>
      <c r="J257" s="720"/>
      <c r="K257" s="720"/>
      <c r="L257" s="720"/>
      <c r="M257" s="720"/>
      <c r="N257" s="720"/>
      <c r="O257" s="720"/>
      <c r="P257" s="720"/>
      <c r="Q257" s="720"/>
      <c r="R257" s="720"/>
      <c r="S257" s="720"/>
      <c r="T257" s="720"/>
      <c r="U257" s="720"/>
      <c r="V257" s="720"/>
      <c r="W257" s="720"/>
      <c r="X257" s="720"/>
      <c r="Y257" s="720"/>
      <c r="Z257" s="720"/>
      <c r="AA257" s="720"/>
      <c r="AB257" s="720"/>
      <c r="AC257" s="720"/>
      <c r="AD257" s="720"/>
      <c r="AE257" s="720"/>
      <c r="AF257" s="720"/>
      <c r="AG257" s="720"/>
      <c r="AH257" s="720"/>
      <c r="AI257" s="720"/>
      <c r="AJ257" s="720"/>
      <c r="AK257" s="720"/>
      <c r="AL257" s="720"/>
      <c r="AM257" s="720"/>
      <c r="AN257" s="720"/>
      <c r="AO257" s="720"/>
      <c r="AP257" s="720"/>
      <c r="AQ257" s="720"/>
      <c r="AR257" s="720"/>
      <c r="AS257" s="720"/>
      <c r="AT257" s="720"/>
      <c r="AU257" s="720"/>
      <c r="AV257" s="720"/>
      <c r="AW257" s="720"/>
      <c r="AX257" s="720"/>
      <c r="AY257" s="720"/>
      <c r="AZ257" s="720"/>
      <c r="BA257" s="720"/>
      <c r="BB257" s="720"/>
      <c r="BC257" s="720"/>
      <c r="BD257" s="720"/>
      <c r="BE257" s="720"/>
      <c r="BF257" s="720"/>
      <c r="BG257" s="720"/>
      <c r="BH257" s="720"/>
      <c r="BI257" s="720"/>
      <c r="BJ257" s="720"/>
      <c r="BK257" s="720"/>
      <c r="BL257" s="720"/>
      <c r="BM257" s="720"/>
      <c r="BN257" s="720"/>
      <c r="BO257" s="720"/>
      <c r="BP257" s="720"/>
      <c r="BQ257" s="720"/>
      <c r="BR257" s="720"/>
      <c r="BS257" s="720"/>
      <c r="BT257" s="720"/>
      <c r="BU257" s="720"/>
      <c r="BV257" s="720"/>
      <c r="BW257" s="720"/>
      <c r="BX257" s="720"/>
      <c r="BY257" s="720"/>
      <c r="BZ257" s="720"/>
      <c r="CA257" s="720"/>
      <c r="CB257" s="720"/>
      <c r="CC257" s="720"/>
      <c r="CD257" s="720"/>
      <c r="CE257" s="720"/>
      <c r="CF257" s="720"/>
      <c r="CG257" s="720"/>
      <c r="CH257" s="720"/>
      <c r="CI257" s="720"/>
      <c r="CJ257" s="720"/>
      <c r="CK257" s="720"/>
      <c r="CL257" s="720"/>
      <c r="CM257" s="720"/>
      <c r="CN257" s="720"/>
      <c r="CO257" s="720"/>
      <c r="CP257" s="720"/>
      <c r="CQ257" s="720"/>
      <c r="CR257" s="720"/>
      <c r="CS257" s="720"/>
      <c r="CT257" s="720"/>
      <c r="CU257" s="728"/>
    </row>
    <row r="258" spans="2:103" ht="23.25" customHeight="1" thickBot="1" x14ac:dyDescent="0.55000000000000004">
      <c r="B258" s="716"/>
      <c r="C258" s="717"/>
      <c r="D258" s="717"/>
      <c r="E258" s="717"/>
      <c r="F258" s="346"/>
      <c r="G258" s="447"/>
      <c r="H258" s="349"/>
      <c r="I258" s="349"/>
      <c r="J258" s="722"/>
      <c r="K258" s="722"/>
      <c r="L258" s="722"/>
      <c r="M258" s="722"/>
      <c r="N258" s="722"/>
      <c r="O258" s="722"/>
      <c r="P258" s="722"/>
      <c r="Q258" s="722"/>
      <c r="R258" s="722"/>
      <c r="S258" s="722"/>
      <c r="T258" s="722"/>
      <c r="U258" s="722"/>
      <c r="V258" s="722"/>
      <c r="W258" s="722"/>
      <c r="X258" s="722"/>
      <c r="Y258" s="722"/>
      <c r="Z258" s="722"/>
      <c r="AA258" s="722"/>
      <c r="AB258" s="722"/>
      <c r="AC258" s="722"/>
      <c r="AD258" s="722"/>
      <c r="AE258" s="722"/>
      <c r="AF258" s="722"/>
      <c r="AG258" s="722"/>
      <c r="AH258" s="722"/>
      <c r="AI258" s="722"/>
      <c r="AJ258" s="722"/>
      <c r="AK258" s="722"/>
      <c r="AL258" s="722"/>
      <c r="AM258" s="722"/>
      <c r="AN258" s="722"/>
      <c r="AO258" s="722"/>
      <c r="AP258" s="722"/>
      <c r="AQ258" s="722"/>
      <c r="AR258" s="722"/>
      <c r="AS258" s="722"/>
      <c r="AT258" s="722"/>
      <c r="AU258" s="722"/>
      <c r="AV258" s="722"/>
      <c r="AW258" s="722"/>
      <c r="AX258" s="722"/>
      <c r="AY258" s="722"/>
      <c r="AZ258" s="722"/>
      <c r="BA258" s="722"/>
      <c r="BB258" s="722"/>
      <c r="BC258" s="722"/>
      <c r="BD258" s="722"/>
      <c r="BE258" s="722"/>
      <c r="BF258" s="722"/>
      <c r="BG258" s="722"/>
      <c r="BH258" s="722"/>
      <c r="BI258" s="722"/>
      <c r="BJ258" s="722"/>
      <c r="BK258" s="722"/>
      <c r="BL258" s="722"/>
      <c r="BM258" s="722"/>
      <c r="BN258" s="722"/>
      <c r="BO258" s="722"/>
      <c r="BP258" s="722"/>
      <c r="BQ258" s="722"/>
      <c r="BR258" s="722"/>
      <c r="BS258" s="722"/>
      <c r="BT258" s="722"/>
      <c r="BU258" s="722"/>
      <c r="BV258" s="722"/>
      <c r="BW258" s="722"/>
      <c r="BX258" s="722"/>
      <c r="BY258" s="722"/>
      <c r="BZ258" s="722"/>
      <c r="CA258" s="722"/>
      <c r="CB258" s="722"/>
      <c r="CC258" s="722"/>
      <c r="CD258" s="722"/>
      <c r="CE258" s="722"/>
      <c r="CF258" s="722"/>
      <c r="CG258" s="722"/>
      <c r="CH258" s="722"/>
      <c r="CI258" s="722"/>
      <c r="CJ258" s="722"/>
      <c r="CK258" s="722"/>
      <c r="CL258" s="722"/>
      <c r="CM258" s="722"/>
      <c r="CN258" s="722"/>
      <c r="CO258" s="722"/>
      <c r="CP258" s="722"/>
      <c r="CQ258" s="722"/>
      <c r="CR258" s="722"/>
      <c r="CS258" s="722"/>
      <c r="CT258" s="722"/>
      <c r="CU258" s="729"/>
    </row>
    <row r="259" spans="2:103" ht="22.5" customHeight="1" thickBot="1" x14ac:dyDescent="0.4">
      <c r="B259" s="716"/>
      <c r="C259" s="717"/>
      <c r="D259" s="717"/>
      <c r="E259" s="717"/>
      <c r="F259" s="153"/>
      <c r="G259" s="809" t="s">
        <v>943</v>
      </c>
      <c r="H259" s="810"/>
      <c r="I259" s="810"/>
      <c r="J259" s="811"/>
      <c r="K259" s="830" t="s">
        <v>1286</v>
      </c>
      <c r="L259" s="831"/>
      <c r="M259" s="831"/>
      <c r="N259" s="831"/>
      <c r="O259" s="831"/>
      <c r="P259" s="831"/>
      <c r="Q259" s="892"/>
      <c r="R259" s="842" t="s">
        <v>1287</v>
      </c>
      <c r="S259" s="843"/>
      <c r="T259" s="844"/>
      <c r="U259" s="842" t="s">
        <v>1288</v>
      </c>
      <c r="V259" s="843"/>
      <c r="W259" s="843"/>
      <c r="X259" s="844"/>
      <c r="Y259" s="839" t="s">
        <v>1289</v>
      </c>
      <c r="Z259" s="840"/>
      <c r="AA259" s="840"/>
      <c r="AB259" s="841"/>
      <c r="AC259" s="833" t="s">
        <v>1290</v>
      </c>
      <c r="AD259" s="834"/>
      <c r="AE259" s="834"/>
      <c r="AF259" s="835"/>
      <c r="AG259" s="830" t="s">
        <v>1291</v>
      </c>
      <c r="AH259" s="831"/>
      <c r="AI259" s="831"/>
      <c r="AJ259" s="831"/>
      <c r="AK259" s="831"/>
      <c r="AL259" s="832"/>
      <c r="AM259" s="836" t="s">
        <v>1292</v>
      </c>
      <c r="AN259" s="837"/>
      <c r="AO259" s="837"/>
      <c r="AP259" s="837"/>
      <c r="AQ259" s="837"/>
      <c r="AR259" s="837"/>
      <c r="AS259" s="837"/>
      <c r="AT259" s="837"/>
      <c r="AU259" s="837"/>
      <c r="AV259" s="837"/>
      <c r="AW259" s="837"/>
      <c r="AX259" s="838"/>
      <c r="AY259" s="830" t="s">
        <v>1293</v>
      </c>
      <c r="AZ259" s="831"/>
      <c r="BA259" s="831"/>
      <c r="BB259" s="831"/>
      <c r="BC259" s="831"/>
      <c r="BD259" s="831"/>
      <c r="BE259" s="831"/>
      <c r="BF259" s="831"/>
      <c r="BG259" s="831"/>
      <c r="BH259" s="831"/>
      <c r="BI259" s="831"/>
      <c r="BJ259" s="832"/>
      <c r="BK259" s="836" t="s">
        <v>1294</v>
      </c>
      <c r="BL259" s="918"/>
      <c r="BM259" s="918"/>
      <c r="BN259" s="918"/>
      <c r="BO259" s="806" t="s">
        <v>1295</v>
      </c>
      <c r="BP259" s="807"/>
      <c r="BQ259" s="807"/>
      <c r="BR259" s="807"/>
      <c r="BS259" s="807"/>
      <c r="BT259" s="807"/>
      <c r="BU259" s="807"/>
      <c r="BV259" s="807"/>
      <c r="BW259" s="807"/>
      <c r="BX259" s="807"/>
      <c r="BY259" s="807"/>
      <c r="BZ259" s="807"/>
      <c r="CA259" s="807"/>
      <c r="CB259" s="807"/>
      <c r="CC259" s="807"/>
      <c r="CD259" s="807"/>
      <c r="CE259" s="807"/>
      <c r="CF259" s="807"/>
      <c r="CG259" s="807"/>
      <c r="CH259" s="807"/>
      <c r="CI259" s="807"/>
      <c r="CJ259" s="807"/>
      <c r="CK259" s="807"/>
      <c r="CL259" s="807"/>
      <c r="CM259" s="807"/>
      <c r="CN259" s="807"/>
      <c r="CO259" s="807"/>
      <c r="CP259" s="807"/>
      <c r="CQ259" s="807"/>
      <c r="CR259" s="807"/>
      <c r="CS259" s="807"/>
      <c r="CT259" s="808"/>
      <c r="CU259" s="729"/>
    </row>
    <row r="260" spans="2:103" s="448" customFormat="1" ht="42" customHeight="1" x14ac:dyDescent="0.2">
      <c r="B260" s="716"/>
      <c r="C260" s="717"/>
      <c r="D260" s="717"/>
      <c r="E260" s="717"/>
      <c r="F260" s="851" t="s">
        <v>768</v>
      </c>
      <c r="G260" s="853" t="s">
        <v>1232</v>
      </c>
      <c r="H260" s="882" t="s">
        <v>33</v>
      </c>
      <c r="I260" s="882" t="s">
        <v>1231</v>
      </c>
      <c r="J260" s="886" t="s">
        <v>50</v>
      </c>
      <c r="K260" s="884" t="s">
        <v>1279</v>
      </c>
      <c r="L260" s="795" t="s">
        <v>2</v>
      </c>
      <c r="M260" s="795"/>
      <c r="N260" s="795" t="s">
        <v>10</v>
      </c>
      <c r="O260" s="795"/>
      <c r="P260" s="798" t="s">
        <v>684</v>
      </c>
      <c r="Q260" s="893" t="s">
        <v>685</v>
      </c>
      <c r="R260" s="796" t="s">
        <v>726</v>
      </c>
      <c r="S260" s="778" t="s">
        <v>796</v>
      </c>
      <c r="T260" s="820" t="s">
        <v>686</v>
      </c>
      <c r="U260" s="793" t="s">
        <v>683</v>
      </c>
      <c r="V260" s="763" t="s">
        <v>682</v>
      </c>
      <c r="W260" s="785" t="s">
        <v>162</v>
      </c>
      <c r="X260" s="820" t="s">
        <v>161</v>
      </c>
      <c r="Y260" s="796" t="s">
        <v>880</v>
      </c>
      <c r="Z260" s="778" t="s">
        <v>881</v>
      </c>
      <c r="AA260" s="769" t="s">
        <v>882</v>
      </c>
      <c r="AB260" s="822" t="s">
        <v>54</v>
      </c>
      <c r="AC260" s="818" t="s">
        <v>159</v>
      </c>
      <c r="AD260" s="769" t="s">
        <v>58</v>
      </c>
      <c r="AE260" s="769" t="s">
        <v>64</v>
      </c>
      <c r="AF260" s="771" t="s">
        <v>56</v>
      </c>
      <c r="AG260" s="802" t="s">
        <v>59</v>
      </c>
      <c r="AH260" s="798" t="s">
        <v>945</v>
      </c>
      <c r="AI260" s="778" t="s">
        <v>60</v>
      </c>
      <c r="AJ260" s="798" t="s">
        <v>945</v>
      </c>
      <c r="AK260" s="778" t="s">
        <v>61</v>
      </c>
      <c r="AL260" s="828" t="s">
        <v>945</v>
      </c>
      <c r="AM260" s="796" t="s">
        <v>34</v>
      </c>
      <c r="AN260" s="778" t="s">
        <v>1266</v>
      </c>
      <c r="AO260" s="778" t="s">
        <v>41</v>
      </c>
      <c r="AP260" s="769" t="s">
        <v>53</v>
      </c>
      <c r="AQ260" s="800" t="s">
        <v>895</v>
      </c>
      <c r="AR260" s="769" t="s">
        <v>51</v>
      </c>
      <c r="AS260" s="800" t="s">
        <v>896</v>
      </c>
      <c r="AT260" s="769" t="s">
        <v>67</v>
      </c>
      <c r="AU260" s="826" t="s">
        <v>897</v>
      </c>
      <c r="AV260" s="824" t="s">
        <v>62</v>
      </c>
      <c r="AW260" s="824" t="s">
        <v>63</v>
      </c>
      <c r="AX260" s="771" t="s">
        <v>55</v>
      </c>
      <c r="AY260" s="802" t="s">
        <v>1237</v>
      </c>
      <c r="AZ260" s="812" t="s">
        <v>1235</v>
      </c>
      <c r="BA260" s="769" t="s">
        <v>1236</v>
      </c>
      <c r="BB260" s="791" t="s">
        <v>1241</v>
      </c>
      <c r="BC260" s="769" t="s">
        <v>1317</v>
      </c>
      <c r="BD260" s="767" t="s">
        <v>1238</v>
      </c>
      <c r="BE260" s="767" t="s">
        <v>1318</v>
      </c>
      <c r="BF260" s="812" t="s">
        <v>1242</v>
      </c>
      <c r="BG260" s="791" t="s">
        <v>1243</v>
      </c>
      <c r="BH260" s="787" t="s">
        <v>1239</v>
      </c>
      <c r="BI260" s="789" t="s">
        <v>1244</v>
      </c>
      <c r="BJ260" s="848" t="s">
        <v>57</v>
      </c>
      <c r="BK260" s="776" t="s">
        <v>1278</v>
      </c>
      <c r="BL260" s="778" t="s">
        <v>719</v>
      </c>
      <c r="BM260" s="780" t="s">
        <v>1267</v>
      </c>
      <c r="BN260" s="780" t="s">
        <v>1268</v>
      </c>
      <c r="BO260" s="814" t="s">
        <v>1240</v>
      </c>
      <c r="BP260" s="855" t="s">
        <v>890</v>
      </c>
      <c r="BQ260" s="818" t="s">
        <v>361</v>
      </c>
      <c r="BR260" s="798" t="s">
        <v>891</v>
      </c>
      <c r="BS260" s="769" t="s">
        <v>43</v>
      </c>
      <c r="BT260" s="765" t="s">
        <v>1099</v>
      </c>
      <c r="BU260" s="769" t="s">
        <v>362</v>
      </c>
      <c r="BV260" s="765" t="s">
        <v>892</v>
      </c>
      <c r="BW260" s="816" t="s">
        <v>374</v>
      </c>
      <c r="BX260" s="785" t="s">
        <v>373</v>
      </c>
      <c r="BY260" s="816" t="s">
        <v>375</v>
      </c>
      <c r="BZ260" s="785" t="s">
        <v>376</v>
      </c>
      <c r="CA260" s="816" t="s">
        <v>1245</v>
      </c>
      <c r="CB260" s="763" t="s">
        <v>1246</v>
      </c>
      <c r="CC260" s="785" t="s">
        <v>377</v>
      </c>
      <c r="CD260" s="769" t="s">
        <v>899</v>
      </c>
      <c r="CE260" s="765" t="s">
        <v>893</v>
      </c>
      <c r="CF260" s="769" t="s">
        <v>661</v>
      </c>
      <c r="CG260" s="765" t="s">
        <v>894</v>
      </c>
      <c r="CH260" s="781" t="s">
        <v>397</v>
      </c>
      <c r="CI260" s="781" t="s">
        <v>398</v>
      </c>
      <c r="CJ260" s="781" t="s">
        <v>399</v>
      </c>
      <c r="CK260" s="781" t="s">
        <v>400</v>
      </c>
      <c r="CL260" s="781" t="s">
        <v>401</v>
      </c>
      <c r="CM260" s="781" t="s">
        <v>402</v>
      </c>
      <c r="CN260" s="781" t="s">
        <v>403</v>
      </c>
      <c r="CO260" s="781" t="s">
        <v>404</v>
      </c>
      <c r="CP260" s="785" t="s">
        <v>405</v>
      </c>
      <c r="CQ260" s="769" t="s">
        <v>681</v>
      </c>
      <c r="CR260" s="785" t="s">
        <v>681</v>
      </c>
      <c r="CS260" s="769" t="s">
        <v>44</v>
      </c>
      <c r="CT260" s="804" t="s">
        <v>44</v>
      </c>
      <c r="CU260" s="729"/>
      <c r="CY260" s="449"/>
    </row>
    <row r="261" spans="2:103" s="448" customFormat="1" ht="42" customHeight="1" x14ac:dyDescent="0.2">
      <c r="B261" s="716"/>
      <c r="C261" s="717"/>
      <c r="D261" s="717"/>
      <c r="E261" s="717"/>
      <c r="F261" s="852"/>
      <c r="G261" s="854"/>
      <c r="H261" s="883"/>
      <c r="I261" s="883"/>
      <c r="J261" s="887"/>
      <c r="K261" s="885"/>
      <c r="L261" s="43" t="s">
        <v>1</v>
      </c>
      <c r="M261" s="43" t="s">
        <v>31</v>
      </c>
      <c r="N261" s="307" t="s">
        <v>1</v>
      </c>
      <c r="O261" s="43" t="s">
        <v>31</v>
      </c>
      <c r="P261" s="799"/>
      <c r="Q261" s="894"/>
      <c r="R261" s="797"/>
      <c r="S261" s="779"/>
      <c r="T261" s="821"/>
      <c r="U261" s="794"/>
      <c r="V261" s="764"/>
      <c r="W261" s="786"/>
      <c r="X261" s="821"/>
      <c r="Y261" s="797"/>
      <c r="Z261" s="779"/>
      <c r="AA261" s="770"/>
      <c r="AB261" s="823"/>
      <c r="AC261" s="819"/>
      <c r="AD261" s="770"/>
      <c r="AE261" s="770"/>
      <c r="AF261" s="772"/>
      <c r="AG261" s="803"/>
      <c r="AH261" s="799"/>
      <c r="AI261" s="779"/>
      <c r="AJ261" s="799"/>
      <c r="AK261" s="779"/>
      <c r="AL261" s="829"/>
      <c r="AM261" s="797"/>
      <c r="AN261" s="779"/>
      <c r="AO261" s="779"/>
      <c r="AP261" s="770"/>
      <c r="AQ261" s="801"/>
      <c r="AR261" s="770"/>
      <c r="AS261" s="801"/>
      <c r="AT261" s="770"/>
      <c r="AU261" s="827"/>
      <c r="AV261" s="825"/>
      <c r="AW261" s="825"/>
      <c r="AX261" s="772"/>
      <c r="AY261" s="803"/>
      <c r="AZ261" s="813"/>
      <c r="BA261" s="770"/>
      <c r="BB261" s="792"/>
      <c r="BC261" s="770"/>
      <c r="BD261" s="768"/>
      <c r="BE261" s="768"/>
      <c r="BF261" s="813"/>
      <c r="BG261" s="792"/>
      <c r="BH261" s="788"/>
      <c r="BI261" s="790"/>
      <c r="BJ261" s="849"/>
      <c r="BK261" s="777"/>
      <c r="BL261" s="779"/>
      <c r="BM261" s="768"/>
      <c r="BN261" s="768"/>
      <c r="BO261" s="815"/>
      <c r="BP261" s="856"/>
      <c r="BQ261" s="819"/>
      <c r="BR261" s="799"/>
      <c r="BS261" s="770"/>
      <c r="BT261" s="766"/>
      <c r="BU261" s="770"/>
      <c r="BV261" s="766"/>
      <c r="BW261" s="817"/>
      <c r="BX261" s="786"/>
      <c r="BY261" s="817"/>
      <c r="BZ261" s="786"/>
      <c r="CA261" s="817"/>
      <c r="CB261" s="764"/>
      <c r="CC261" s="786"/>
      <c r="CD261" s="770"/>
      <c r="CE261" s="766"/>
      <c r="CF261" s="770"/>
      <c r="CG261" s="766"/>
      <c r="CH261" s="782"/>
      <c r="CI261" s="782"/>
      <c r="CJ261" s="782"/>
      <c r="CK261" s="782"/>
      <c r="CL261" s="782"/>
      <c r="CM261" s="782"/>
      <c r="CN261" s="782"/>
      <c r="CO261" s="782"/>
      <c r="CP261" s="786"/>
      <c r="CQ261" s="770"/>
      <c r="CR261" s="786"/>
      <c r="CS261" s="770"/>
      <c r="CT261" s="805"/>
      <c r="CU261" s="729"/>
      <c r="CY261" s="449"/>
    </row>
    <row r="262" spans="2:103" ht="23.25" customHeight="1" x14ac:dyDescent="0.2">
      <c r="B262" s="716"/>
      <c r="C262" s="717"/>
      <c r="D262" s="717"/>
      <c r="E262" s="717"/>
      <c r="F262" s="73">
        <f>C32</f>
        <v>1</v>
      </c>
      <c r="G262" s="74" t="str">
        <f t="shared" ref="G262:G280" si="459">IF(D32="","",D32)</f>
        <v>FAME (Methyl oleate)</v>
      </c>
      <c r="H262" s="75" t="str">
        <f t="shared" ref="H262:H280" si="460">IF(G32="","",G32)</f>
        <v>112-62-9</v>
      </c>
      <c r="I262" s="75" t="str">
        <f t="shared" ref="I262:I280" si="461">IF(E32="","",E32)</f>
        <v>C19H36O2</v>
      </c>
      <c r="J262" s="76">
        <f t="shared" ref="J262:J280" si="462">IF(F32="","",F32)</f>
        <v>296.488</v>
      </c>
      <c r="K262" s="450">
        <v>1</v>
      </c>
      <c r="L262" s="77">
        <f>IF(F32&lt;&gt;"",SUM(H32+Q32+T32+K32+N32+W32+Z32+AC32+AF32+AI32+AL32+AO32+AR32+AU32+AX32+BA32+BD32+BG32+BJ32+BM32+BP32+BS32+BV32+BY32+CB32+CE32+CH32+CK32+CN32+CQ32+CT32+CW32+CZ32+DC32+DF32+DI32+DL32+DO32+DR32+DU32),"")</f>
        <v>0</v>
      </c>
      <c r="M262" s="77">
        <f>IF(F32&lt;&gt;"",SUM(H186+K186+N186+Q186+T186+W186+Z186+AC186+AF186+AI186+AL186+AO186+AR186+AU186+AX186+BA186+BD186+BG186+BJ186+BM186+BP186+BS186+BV186+BY186+CB186+CE186+CH186+CK186+CN186+CQ186+CT186+CW186+CZ186+DC186+DF186+DI186+DL186+DO186+DR186+DU186),"")</f>
        <v>1005.9488</v>
      </c>
      <c r="N262" s="77">
        <f>IF(F32&lt;&gt;"",SUM(I32+R32+U32+L32+O32+X32+AA32+AD32+AG32+AJ32+AM32+AP32+AS32+AV32+AY32+BB32+BE32+BH32+BK32+BN32+BQ32+BT32+BW32+BZ32+CC32+CF32+CI32+CL32+CO32+CR32+CU32+CX32+DA32+DD32+DG32+DJ32+DM32+DP32+DS32+DV32),"")</f>
        <v>0</v>
      </c>
      <c r="O262" s="77">
        <f>IF(F32&lt;&gt;"",SUM(I186+L186+O186+R186+U186+X186+AA186+AD186+AG186+AJ186+AM186+AP186+AS186+AV186+AY186+BB186+BE186+BH186+BK186+BN186+BQ186+BT186+BW186+BZ186+CC186+CF186+CI186+CL186+CO186+CR186+CU186+CX186+DA186+DD186+DG186+DJ186+DM186+DP186+DS186+DV186),"")</f>
        <v>3.3928820053425439</v>
      </c>
      <c r="P262" s="78">
        <f>IF(M262="","",M262-Q262)</f>
        <v>19.897199999999998</v>
      </c>
      <c r="Q262" s="79">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986.05160000000001</v>
      </c>
      <c r="R262" s="450">
        <v>1</v>
      </c>
      <c r="S262" s="426">
        <v>0</v>
      </c>
      <c r="T262" s="451">
        <v>0</v>
      </c>
      <c r="U262" s="450">
        <v>1</v>
      </c>
      <c r="V262" s="426">
        <v>0</v>
      </c>
      <c r="W262" s="80">
        <f>IF(F262&gt;$F$18,"",IF(AZ262&gt;=25,1,0))</f>
        <v>0</v>
      </c>
      <c r="X262" s="452">
        <v>1</v>
      </c>
      <c r="Y262" s="453" t="s">
        <v>42</v>
      </c>
      <c r="Z262" s="77"/>
      <c r="AA262" s="77"/>
      <c r="AB262" s="454"/>
      <c r="AC262" s="81"/>
      <c r="AD262" s="77">
        <v>90.4</v>
      </c>
      <c r="AE262" s="77"/>
      <c r="AF262" s="454">
        <v>3</v>
      </c>
      <c r="AG262" s="453">
        <v>1000</v>
      </c>
      <c r="AH262" s="426"/>
      <c r="AI262" s="77">
        <v>5000</v>
      </c>
      <c r="AJ262" s="426"/>
      <c r="AK262" s="77">
        <v>5000</v>
      </c>
      <c r="AL262" s="96"/>
      <c r="AM262" s="450">
        <v>0</v>
      </c>
      <c r="AN262" s="426">
        <v>0</v>
      </c>
      <c r="AO262" s="426">
        <v>0</v>
      </c>
      <c r="AP262" s="455"/>
      <c r="AQ262" s="81" t="str">
        <f t="shared" ref="AQ262:AQ279" si="463">IF(F262&gt;$F$18,"",IF(AP262&lt;&gt;"","",IF(AI262&lt;25,"T+",IF(AND(AI262&gt;=25,AI262&lt;=200),"T",IF(AND(AI262&gt;200,AI262&lt;=2000),"Xn","")))))</f>
        <v/>
      </c>
      <c r="AR262" s="456"/>
      <c r="AS262" s="81" t="str">
        <f t="shared" ref="AS262:AS280" si="464">IF(F262&gt;$F$18,"",IF(AR262&lt;&gt;"","",IF(AI262&lt;25,"26/27/28",IF(AND(AI262&gt;=25,AI262&lt;=200),"23/24/25",IF(AND(AI262&gt;200,AI262&lt;=2000),"20/21/22","")))))</f>
        <v/>
      </c>
      <c r="AT262" s="456"/>
      <c r="AU262" s="81">
        <f t="shared" ref="AU262:AU280" si="465">IF(F262&gt;$F$18,"",IF(AT262&lt;&gt;"","",IF(AI262&lt;=5,1,IF(AND(AI262&gt;5,AI262&lt;=50),2,IF(AND(AI262&gt;50,AI262&lt;=500),3,IF(AND(AI262&gt;500,AI262&lt;=2000),4,IF(AND(AI262&gt;2000,AI262&lt;=5000),5,"NO")))))))</f>
        <v>5</v>
      </c>
      <c r="AV262" s="75"/>
      <c r="AW262" s="75"/>
      <c r="AX262" s="454">
        <v>1</v>
      </c>
      <c r="AY262" s="453">
        <v>343.85</v>
      </c>
      <c r="AZ262" s="77">
        <v>19.900000000000013</v>
      </c>
      <c r="BA262" s="77">
        <v>130</v>
      </c>
      <c r="BB262" s="457">
        <v>37570.829173524697</v>
      </c>
      <c r="BC262" s="77">
        <v>352.3</v>
      </c>
      <c r="BD262" s="458">
        <v>110.8</v>
      </c>
      <c r="BE262" s="95"/>
      <c r="BF262" s="82">
        <v>2.0259949812471332</v>
      </c>
      <c r="BG262" s="82">
        <v>214.59578167763846</v>
      </c>
      <c r="BH262" s="459">
        <v>870.20625889407654</v>
      </c>
      <c r="BI262" s="77">
        <v>6.543452028043177E-7</v>
      </c>
      <c r="BJ262" s="454"/>
      <c r="BK262" s="460">
        <v>52400000</v>
      </c>
      <c r="BL262" s="461">
        <v>12282.91</v>
      </c>
      <c r="BM262" s="461">
        <v>-2.4498000000000002</v>
      </c>
      <c r="BN262" s="462">
        <v>-6.4450000000000002E-3</v>
      </c>
      <c r="BO262" s="463"/>
      <c r="BP262" s="81">
        <f>IF(F262&gt;$F$18,"",IF(BO262&lt;&gt;"","",IF(ISNA(VLOOKUP('I. Stream &amp; Compound Data'!H262,'Potency Factors '!D$4:E$55,2,FALSE))=TRUE,0,VLOOKUP('I. Stream &amp; Compound Data'!H262,'Potency Factors '!D$4:E$55,2,FALSE))))</f>
        <v>0</v>
      </c>
      <c r="BQ262" s="456"/>
      <c r="BR262" s="81">
        <f>IF(F262&gt;$F$18,"",IF(BQ262&lt;&gt;"","",IF(ISNA(VLOOKUP('I. Stream &amp; Compound Data'!H262,'Potency Factors '!D$68:E$167,2,FALSE))=TRUE,0,VLOOKUP('I. Stream &amp; Compound Data'!H262,'Potency Factors '!D$68:E$167,2,FALSE))))</f>
        <v>0</v>
      </c>
      <c r="BS262" s="456"/>
      <c r="BT262" s="81">
        <f>IF(F262&gt;$F$18,"",IF(BS262&lt;&gt;"","",IF(ISNA(VLOOKUP('I. Stream &amp; Compound Data'!H262,'Potency Factors '!$D$412:$F$473,3,FALSE))=TRUE,0,VLOOKUP('I. Stream &amp; Compound Data'!H262,'Potency Factors '!$D$412:$F$473,3,FALSE))))</f>
        <v>0</v>
      </c>
      <c r="BU262" s="456"/>
      <c r="BV262" s="81">
        <f>IF(F262&gt;$F$18,"",IF(BU262&lt;&gt;"","",IF(ISNA(VLOOKUP('I. Stream &amp; Compound Data'!H262,'Potency Factors '!D$180:E$185,2,FALSE))=TRUE,0,VLOOKUP('I. Stream &amp; Compound Data'!H262,'Potency Factors '!D$180:E$185,2,FALSE))))</f>
        <v>0</v>
      </c>
      <c r="BW262" s="83">
        <v>0</v>
      </c>
      <c r="BX262" s="82">
        <f>IF(F262&gt;$F$18,"",BW262/F32)</f>
        <v>0</v>
      </c>
      <c r="BY262" s="83">
        <v>0</v>
      </c>
      <c r="BZ262" s="82">
        <f t="shared" ref="BZ262:BZ280" si="466">IF(F262&gt;$F$18,"",(BY262*17)/F32)</f>
        <v>0</v>
      </c>
      <c r="CA262" s="83">
        <v>0</v>
      </c>
      <c r="CB262" s="462">
        <v>0</v>
      </c>
      <c r="CC262" s="82">
        <f t="shared" ref="CC262:CC280" si="467">IF(F262&gt;$F$18,"",(CA262*CB262)/F32)</f>
        <v>0</v>
      </c>
      <c r="CD262" s="456"/>
      <c r="CE262" s="81">
        <f>IF(F262&gt;$F$18,"",IF(CD262&lt;&gt;"","",IF(ISNA(VLOOKUP('I. Stream &amp; Compound Data'!H262,'Potency Factors '!D$224:F$345,3,FALSE))=TRUE,0,VLOOKUP('I. Stream &amp; Compound Data'!H262,'Potency Factors '!D$224:F$345,3,FALSE))))</f>
        <v>0</v>
      </c>
      <c r="CF262" s="456"/>
      <c r="CG262" s="81">
        <f>IF(F262&gt;$F$18,"",IF(CF262&lt;&gt;"","",IF(ISNA(VLOOKUP('I. Stream &amp; Compound Data'!H262,'Potency Factors '!D$361:F$374,3,FALSE))=TRUE,0,VLOOKUP('I. Stream &amp; Compound Data'!H262,'Potency Factors '!D$361:F$374,3,FALSE))))</f>
        <v>0</v>
      </c>
      <c r="CH262" s="83">
        <v>19</v>
      </c>
      <c r="CI262" s="83">
        <v>36</v>
      </c>
      <c r="CJ262" s="83">
        <v>0</v>
      </c>
      <c r="CK262" s="83">
        <v>0</v>
      </c>
      <c r="CL262" s="83">
        <v>0</v>
      </c>
      <c r="CM262" s="83">
        <v>2</v>
      </c>
      <c r="CN262" s="83">
        <v>0</v>
      </c>
      <c r="CO262" s="83">
        <v>0</v>
      </c>
      <c r="CP262" s="83">
        <f t="shared" ref="CP262:CP280" si="468">IF(F262&gt;$F$18,"",ROUND(16*(2*CH262+0.5*(CI262-CK262)+2.5*CJ262+3*CO262+2.5*CN262+0.5*CL262-CM262)/F32,2))</f>
        <v>2.91</v>
      </c>
      <c r="CQ262" s="456"/>
      <c r="CR262" s="81">
        <f>IF(F262&gt;$F$18,"",IF(CQ262&lt;&gt;"","",IF(ISNA(VLOOKUP('I. Stream &amp; Compound Data'!H262,'Potency Factors '!D$387:E$399,2,FALSE))=FALSE,VLOOKUP('I. Stream &amp; Compound Data'!H262,'Potency Factors '!D$387:E$399,2,FALSE),IF(ISNUMBER(SEARCH("phosphate",G262))=TRUE,1,IF(ISNUMBER(SEARCH("nitrate",G262))=TRUE,0.1,0)))))</f>
        <v>0</v>
      </c>
      <c r="CS262" s="456"/>
      <c r="CT262" s="84">
        <f>IF(F262&gt;$F$18,"",IF(CS262&lt;&gt;"","",IF(ISNA(VLOOKUP('I. Stream &amp; Compound Data'!H262,'Potency Factors '!$D$485:$F$558,3,FALSE))=TRUE,0,VLOOKUP('I. Stream &amp; Compound Data'!H262,'Potency Factors '!$D$485:$F$558,3,FALSE))))</f>
        <v>0</v>
      </c>
      <c r="CU262" s="729"/>
    </row>
    <row r="263" spans="2:103" ht="23.25" customHeight="1" x14ac:dyDescent="0.2">
      <c r="B263" s="716"/>
      <c r="C263" s="717"/>
      <c r="D263" s="717"/>
      <c r="E263" s="717"/>
      <c r="F263" s="73">
        <f t="shared" ref="F263:F280" si="469">C33</f>
        <v>2</v>
      </c>
      <c r="G263" s="74" t="str">
        <f t="shared" si="459"/>
        <v>Glycerol</v>
      </c>
      <c r="H263" s="75" t="str">
        <f t="shared" si="460"/>
        <v>56-81-5</v>
      </c>
      <c r="I263" s="75" t="str">
        <f t="shared" si="461"/>
        <v>C3H8O3</v>
      </c>
      <c r="J263" s="76">
        <f t="shared" si="462"/>
        <v>92.093800000000002</v>
      </c>
      <c r="K263" s="450">
        <v>1</v>
      </c>
      <c r="L263" s="77">
        <f t="shared" ref="L263:L272" si="470">IF(F33&lt;&gt;"",SUM(H33+Q33+T33+K33+N33+W33+Z33+AC33+AF33+AI33+AL33+AO33+AR33+AU33+AX33+BA33+BD33+BG33+BJ33+BM33+BP33+BS33+BV33+BY33+CB33+CE33+CH33+CK33+CN33+CQ33+CT33+CW33+CZ33+DC33+DF33+DI33+DL33+DO33+DR33+DU33),"")</f>
        <v>110</v>
      </c>
      <c r="M263" s="77">
        <f t="shared" ref="M263:M311" si="471">IF(F33&lt;&gt;"",SUM(H187+K187+N187+Q187+T187+W187+Z187+AC187+AF187+AI187+AL187+AO187+AR187+AU187+AX187+BA187+BD187+BG187+BJ187+BM187+BP187+BS187+BV187+BY187+CB187+CE187+CH187+CK187+CN187+CQ187+CT187+CW187+CZ187+DC187+DF187+DI187+DL187+DO187+DR187+DU187),"")</f>
        <v>213.7534</v>
      </c>
      <c r="N263" s="77">
        <f t="shared" ref="N263:N311" si="472">IF(F33&lt;&gt;"",SUM(I33+R33+U33+L33+O33+X33+AA33+AD33+AG33+AJ33+AM33+AP33+AS33+AV33+AY33+BB33+BE33+BH33+BK33+BN33+BQ33+BT33+BW33+BZ33+CC33+CF33+CI33+CL33+CO33+CR33+CU33+CX33+DA33+DD33+DG33+DJ33+DM33+DP33+DS33+DV33),"")</f>
        <v>1.1944343701747566</v>
      </c>
      <c r="O263" s="77">
        <f t="shared" ref="O263:O311" si="473">IF(F33&lt;&gt;"",SUM(I187+L187+O187+R187+U187+X187+AA187+AD187+AG187+AJ187+AM187+AP187+AS187+AV187+AY187+BB187+BE187+BH187+BK187+BN187+BQ187+BT187+BW187+BZ187+CC187+CF187+CI187+CL187+CO187+CR187+CU187+CX187+DA187+DD187+DG187+DJ187+DM187+DP187+DS187+DV187),"")</f>
        <v>2.3210400700155711</v>
      </c>
      <c r="P263" s="78">
        <f t="shared" ref="P263:P311" si="474">IF(M263="","",M263-Q263)</f>
        <v>110.0103</v>
      </c>
      <c r="Q263" s="79">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103.7431</v>
      </c>
      <c r="R263" s="450">
        <v>1</v>
      </c>
      <c r="S263" s="426">
        <v>1</v>
      </c>
      <c r="T263" s="451">
        <v>0.8</v>
      </c>
      <c r="U263" s="450">
        <v>1</v>
      </c>
      <c r="V263" s="426">
        <v>0</v>
      </c>
      <c r="W263" s="80">
        <f t="shared" ref="W263:W310" si="475">IF(F263&gt;$F$18,"",IF(AZ263&gt;=25,1,0))</f>
        <v>0</v>
      </c>
      <c r="X263" s="452">
        <v>1</v>
      </c>
      <c r="Y263" s="453" t="s">
        <v>42</v>
      </c>
      <c r="Z263" s="77"/>
      <c r="AA263" s="77"/>
      <c r="AB263" s="454">
        <v>10000</v>
      </c>
      <c r="AC263" s="81"/>
      <c r="AD263" s="77">
        <v>93</v>
      </c>
      <c r="AE263" s="77"/>
      <c r="AF263" s="454">
        <v>-2.5649999999999999</v>
      </c>
      <c r="AG263" s="453">
        <v>5000</v>
      </c>
      <c r="AH263" s="426"/>
      <c r="AI263" s="77">
        <v>12600</v>
      </c>
      <c r="AJ263" s="426"/>
      <c r="AK263" s="77">
        <v>21900</v>
      </c>
      <c r="AL263" s="96"/>
      <c r="AM263" s="450">
        <v>0</v>
      </c>
      <c r="AN263" s="426">
        <v>0</v>
      </c>
      <c r="AO263" s="426">
        <v>0</v>
      </c>
      <c r="AP263" s="455"/>
      <c r="AQ263" s="81" t="str">
        <f t="shared" si="463"/>
        <v/>
      </c>
      <c r="AR263" s="456"/>
      <c r="AS263" s="81" t="str">
        <f t="shared" si="464"/>
        <v/>
      </c>
      <c r="AT263" s="456"/>
      <c r="AU263" s="81" t="str">
        <f t="shared" si="465"/>
        <v>NO</v>
      </c>
      <c r="AV263" s="75">
        <v>1</v>
      </c>
      <c r="AW263" s="75">
        <v>0</v>
      </c>
      <c r="AX263" s="454" t="s">
        <v>160</v>
      </c>
      <c r="AY263" s="453">
        <v>287.85000000000002</v>
      </c>
      <c r="AZ263" s="77">
        <v>18.179999999999986</v>
      </c>
      <c r="BA263" s="77">
        <v>177</v>
      </c>
      <c r="BB263" s="457">
        <v>16274.711218344801</v>
      </c>
      <c r="BC263" s="77">
        <v>290</v>
      </c>
      <c r="BD263" s="458">
        <v>13000</v>
      </c>
      <c r="BE263" s="95"/>
      <c r="BF263" s="82">
        <v>2.4083237579511318</v>
      </c>
      <c r="BG263" s="82">
        <v>713.53423398102927</v>
      </c>
      <c r="BH263" s="459">
        <v>1258.0653430189839</v>
      </c>
      <c r="BI263" s="77">
        <v>9.4422382762937988E-6</v>
      </c>
      <c r="BJ263" s="454">
        <v>7.25</v>
      </c>
      <c r="BK263" s="460">
        <v>449000000</v>
      </c>
      <c r="BL263" s="461">
        <v>1640.63</v>
      </c>
      <c r="BM263" s="461">
        <v>-7.2504</v>
      </c>
      <c r="BN263" s="462">
        <v>-6.4469999999999996E-3</v>
      </c>
      <c r="BO263" s="463"/>
      <c r="BP263" s="81">
        <f>IF(F263&gt;$F$18,"",IF(BO263&lt;&gt;"","",IF(ISNA(VLOOKUP('I. Stream &amp; Compound Data'!H263,'Potency Factors '!D$4:E$55,2,FALSE))=TRUE,0,VLOOKUP('I. Stream &amp; Compound Data'!H263,'Potency Factors '!D$4:E$55,2,FALSE))))</f>
        <v>0</v>
      </c>
      <c r="BQ263" s="456"/>
      <c r="BR263" s="81">
        <f>IF(F263&gt;$F$18,"",IF(BQ263&lt;&gt;"","",IF(ISNA(VLOOKUP('I. Stream &amp; Compound Data'!H263,'Potency Factors '!D$68:E$167,2,FALSE))=TRUE,0,VLOOKUP('I. Stream &amp; Compound Data'!H263,'Potency Factors '!D$68:E$167,2,FALSE))))</f>
        <v>0</v>
      </c>
      <c r="BS263" s="456"/>
      <c r="BT263" s="81">
        <f>IF(F263&gt;$F$18,"",IF(BS263&lt;&gt;"","",IF(ISNA(VLOOKUP('I. Stream &amp; Compound Data'!H263,'Potency Factors '!$D$412:$F$473,3,FALSE))=TRUE,0,VLOOKUP('I. Stream &amp; Compound Data'!H263,'Potency Factors '!$D$412:$F$473,3,FALSE))))</f>
        <v>0</v>
      </c>
      <c r="BU263" s="456"/>
      <c r="BV263" s="81">
        <f>IF(F263&gt;$F$18,"",IF(BU263&lt;&gt;"","",IF(ISNA(VLOOKUP('I. Stream &amp; Compound Data'!H263,'Potency Factors '!D$180:E$185,2,FALSE))=TRUE,0,VLOOKUP('I. Stream &amp; Compound Data'!H263,'Potency Factors '!D$180:E$185,2,FALSE))))</f>
        <v>0</v>
      </c>
      <c r="BW263" s="83">
        <v>0</v>
      </c>
      <c r="BX263" s="82">
        <f t="shared" ref="BX263:BX280" si="476">IF(F263&gt;$F$18,"",BW263/F33)</f>
        <v>0</v>
      </c>
      <c r="BY263" s="83">
        <v>0</v>
      </c>
      <c r="BZ263" s="82">
        <f t="shared" si="466"/>
        <v>0</v>
      </c>
      <c r="CA263" s="83">
        <v>0</v>
      </c>
      <c r="CB263" s="462">
        <v>0</v>
      </c>
      <c r="CC263" s="82">
        <f t="shared" si="467"/>
        <v>0</v>
      </c>
      <c r="CD263" s="456"/>
      <c r="CE263" s="81">
        <f>IF(F263&gt;$F$18,"",IF(CD263&lt;&gt;"","",IF(ISNA(VLOOKUP('I. Stream &amp; Compound Data'!H263,'Potency Factors '!D$224:F$345,3,FALSE))=TRUE,0,VLOOKUP('I. Stream &amp; Compound Data'!H263,'Potency Factors '!D$224:F$345,3,FALSE))))</f>
        <v>0</v>
      </c>
      <c r="CF263" s="456"/>
      <c r="CG263" s="81">
        <f>IF(F263&gt;$F$18,"",IF(CF263&lt;&gt;"","",IF(ISNA(VLOOKUP('I. Stream &amp; Compound Data'!H263,'Potency Factors '!D$361:F$374,3,FALSE))=TRUE,0,VLOOKUP('I. Stream &amp; Compound Data'!H263,'Potency Factors '!D$361:F$374,3,FALSE))))</f>
        <v>0</v>
      </c>
      <c r="CH263" s="83">
        <v>3</v>
      </c>
      <c r="CI263" s="83">
        <v>8</v>
      </c>
      <c r="CJ263" s="83">
        <v>0</v>
      </c>
      <c r="CK263" s="83">
        <v>0</v>
      </c>
      <c r="CL263" s="83">
        <v>0</v>
      </c>
      <c r="CM263" s="83">
        <v>3</v>
      </c>
      <c r="CN263" s="83">
        <v>0</v>
      </c>
      <c r="CO263" s="83">
        <v>0</v>
      </c>
      <c r="CP263" s="83">
        <f t="shared" si="468"/>
        <v>1.22</v>
      </c>
      <c r="CQ263" s="456"/>
      <c r="CR263" s="81">
        <f>IF(F263&gt;$F$18,"",IF(CQ263&lt;&gt;"","",IF(ISNA(VLOOKUP('I. Stream &amp; Compound Data'!H263,'Potency Factors '!D$387:E$399,2,FALSE))=FALSE,VLOOKUP('I. Stream &amp; Compound Data'!H263,'Potency Factors '!D$387:E$399,2,FALSE),IF(ISNUMBER(SEARCH("phosphate",G263))=TRUE,1,IF(ISNUMBER(SEARCH("nitrate",G263))=TRUE,0.1,0)))))</f>
        <v>0</v>
      </c>
      <c r="CS263" s="456"/>
      <c r="CT263" s="84">
        <f>IF(F263&gt;$F$18,"",IF(CS263&lt;&gt;"","",IF(ISNA(VLOOKUP('I. Stream &amp; Compound Data'!H263,'Potency Factors '!$D$485:$F$558,3,FALSE))=TRUE,0,VLOOKUP('I. Stream &amp; Compound Data'!H263,'Potency Factors '!$D$485:$F$558,3,FALSE))))</f>
        <v>0</v>
      </c>
      <c r="CU263" s="729"/>
    </row>
    <row r="264" spans="2:103" ht="23.25" customHeight="1" x14ac:dyDescent="0.2">
      <c r="B264" s="716"/>
      <c r="C264" s="717"/>
      <c r="D264" s="717"/>
      <c r="E264" s="717"/>
      <c r="F264" s="73">
        <f t="shared" si="469"/>
        <v>3</v>
      </c>
      <c r="G264" s="74" t="str">
        <f t="shared" si="459"/>
        <v>Methanol</v>
      </c>
      <c r="H264" s="75" t="str">
        <f t="shared" si="460"/>
        <v>67-56-1</v>
      </c>
      <c r="I264" s="75" t="str">
        <f t="shared" si="461"/>
        <v>CH4O</v>
      </c>
      <c r="J264" s="76">
        <f t="shared" si="462"/>
        <v>32.041899999999998</v>
      </c>
      <c r="K264" s="450">
        <v>4</v>
      </c>
      <c r="L264" s="77">
        <f t="shared" si="470"/>
        <v>147.19999999999999</v>
      </c>
      <c r="M264" s="77">
        <f t="shared" si="471"/>
        <v>31.747</v>
      </c>
      <c r="N264" s="77">
        <f t="shared" si="472"/>
        <v>4.5939847512163761</v>
      </c>
      <c r="O264" s="77">
        <f t="shared" si="473"/>
        <v>0.99079642592979822</v>
      </c>
      <c r="P264" s="78">
        <f t="shared" si="474"/>
        <v>31.536799999999999</v>
      </c>
      <c r="Q264" s="79">
        <f t="shared" ref="Q264:Q311" si="477">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0.2102</v>
      </c>
      <c r="R264" s="450">
        <v>1</v>
      </c>
      <c r="S264" s="426">
        <v>0</v>
      </c>
      <c r="T264" s="451">
        <v>0</v>
      </c>
      <c r="U264" s="450">
        <v>0</v>
      </c>
      <c r="V264" s="426">
        <v>0</v>
      </c>
      <c r="W264" s="80">
        <f t="shared" si="475"/>
        <v>0</v>
      </c>
      <c r="X264" s="452">
        <v>1</v>
      </c>
      <c r="Y264" s="464">
        <v>1000000</v>
      </c>
      <c r="Z264" s="457">
        <v>5000000</v>
      </c>
      <c r="AA264" s="457"/>
      <c r="AB264" s="454">
        <v>260</v>
      </c>
      <c r="AC264" s="81"/>
      <c r="AD264" s="77">
        <v>100</v>
      </c>
      <c r="AE264" s="77">
        <v>10</v>
      </c>
      <c r="AF264" s="454">
        <v>-0.77</v>
      </c>
      <c r="AG264" s="453">
        <v>198</v>
      </c>
      <c r="AH264" s="426"/>
      <c r="AI264" s="77">
        <v>5628</v>
      </c>
      <c r="AJ264" s="426"/>
      <c r="AK264" s="77">
        <v>15800</v>
      </c>
      <c r="AL264" s="96"/>
      <c r="AM264" s="450">
        <v>1</v>
      </c>
      <c r="AN264" s="426">
        <v>1</v>
      </c>
      <c r="AO264" s="426">
        <v>0</v>
      </c>
      <c r="AP264" s="455" t="s">
        <v>66</v>
      </c>
      <c r="AQ264" s="81" t="str">
        <f t="shared" si="463"/>
        <v/>
      </c>
      <c r="AR264" s="456" t="s">
        <v>68</v>
      </c>
      <c r="AS264" s="81" t="str">
        <f t="shared" si="464"/>
        <v/>
      </c>
      <c r="AT264" s="456">
        <v>3</v>
      </c>
      <c r="AU264" s="81" t="str">
        <f t="shared" si="465"/>
        <v/>
      </c>
      <c r="AV264" s="75">
        <v>3</v>
      </c>
      <c r="AW264" s="75">
        <v>0</v>
      </c>
      <c r="AX264" s="454">
        <v>1</v>
      </c>
      <c r="AY264" s="453">
        <v>64.700000000000017</v>
      </c>
      <c r="AZ264" s="77">
        <v>-97.68</v>
      </c>
      <c r="BA264" s="77">
        <v>12</v>
      </c>
      <c r="BB264" s="457">
        <v>20008.176793511</v>
      </c>
      <c r="BC264" s="77">
        <v>240</v>
      </c>
      <c r="BD264" s="458">
        <v>5951.5821471261097</v>
      </c>
      <c r="BE264" s="95"/>
      <c r="BF264" s="82">
        <v>2.533378684246252</v>
      </c>
      <c r="BG264" s="82">
        <v>1096.7081622793203</v>
      </c>
      <c r="BH264" s="459">
        <v>789.60993116898578</v>
      </c>
      <c r="BI264" s="77">
        <v>0.84531332109268387</v>
      </c>
      <c r="BJ264" s="454">
        <v>7</v>
      </c>
      <c r="BK264" s="460">
        <v>1760000</v>
      </c>
      <c r="BL264" s="461">
        <v>718</v>
      </c>
      <c r="BM264" s="461">
        <v>-7.4574999999999996</v>
      </c>
      <c r="BN264" s="462">
        <v>-7.9039999999999996E-3</v>
      </c>
      <c r="BO264" s="463"/>
      <c r="BP264" s="81">
        <f>IF(F264&gt;$F$18,"",IF(BO264&lt;&gt;"","",IF(ISNA(VLOOKUP('I. Stream &amp; Compound Data'!H264,'Potency Factors '!D$4:E$55,2,FALSE))=TRUE,0,VLOOKUP('I. Stream &amp; Compound Data'!H264,'Potency Factors '!D$4:E$55,2,FALSE))))</f>
        <v>0</v>
      </c>
      <c r="BQ264" s="456"/>
      <c r="BR264" s="81">
        <f>IF(F264&gt;$F$18,"",IF(BQ264&lt;&gt;"","",IF(ISNA(VLOOKUP('I. Stream &amp; Compound Data'!H264,'Potency Factors '!D$68:E$167,2,FALSE))=TRUE,0,VLOOKUP('I. Stream &amp; Compound Data'!H264,'Potency Factors '!D$68:E$167,2,FALSE))))</f>
        <v>0.20499999999999999</v>
      </c>
      <c r="BS264" s="456"/>
      <c r="BT264" s="81">
        <f>IF(F264&gt;$F$18,"",IF(BS264&lt;&gt;"","",IF(ISNA(VLOOKUP('I. Stream &amp; Compound Data'!H264,'Potency Factors '!$D$412:$F$473,3,FALSE))=TRUE,0,VLOOKUP('I. Stream &amp; Compound Data'!H264,'Potency Factors '!$D$412:$F$473,3,FALSE))))</f>
        <v>0</v>
      </c>
      <c r="BU264" s="456"/>
      <c r="BV264" s="81">
        <f>IF(F264&gt;$F$18,"",IF(BU264&lt;&gt;"","",IF(ISNA(VLOOKUP('I. Stream &amp; Compound Data'!H264,'Potency Factors '!D$180:E$185,2,FALSE))=TRUE,0,VLOOKUP('I. Stream &amp; Compound Data'!H264,'Potency Factors '!D$180:E$185,2,FALSE))))</f>
        <v>0</v>
      </c>
      <c r="BW264" s="83">
        <v>0</v>
      </c>
      <c r="BX264" s="82">
        <f t="shared" si="476"/>
        <v>0</v>
      </c>
      <c r="BY264" s="83">
        <v>0</v>
      </c>
      <c r="BZ264" s="82">
        <f t="shared" si="466"/>
        <v>0</v>
      </c>
      <c r="CA264" s="83">
        <v>0</v>
      </c>
      <c r="CB264" s="462">
        <v>0</v>
      </c>
      <c r="CC264" s="82">
        <f t="shared" si="467"/>
        <v>0</v>
      </c>
      <c r="CD264" s="456"/>
      <c r="CE264" s="81">
        <f>IF(F264&gt;$F$18,"",IF(CD264&lt;&gt;"","",IF(ISNA(VLOOKUP('I. Stream &amp; Compound Data'!H264,'Potency Factors '!D$224:F$345,3,FALSE))=TRUE,0,VLOOKUP('I. Stream &amp; Compound Data'!H264,'Potency Factors '!D$224:F$345,3,FALSE))))</f>
        <v>0</v>
      </c>
      <c r="CF264" s="456"/>
      <c r="CG264" s="81">
        <f>IF(F264&gt;$F$18,"",IF(CF264&lt;&gt;"","",IF(ISNA(VLOOKUP('I. Stream &amp; Compound Data'!H264,'Potency Factors '!D$361:F$374,3,FALSE))=TRUE,0,VLOOKUP('I. Stream &amp; Compound Data'!H264,'Potency Factors '!D$361:F$374,3,FALSE))))</f>
        <v>0</v>
      </c>
      <c r="CH264" s="83">
        <v>1</v>
      </c>
      <c r="CI264" s="83">
        <v>4</v>
      </c>
      <c r="CJ264" s="83">
        <v>0</v>
      </c>
      <c r="CK264" s="83">
        <v>0</v>
      </c>
      <c r="CL264" s="83">
        <v>0</v>
      </c>
      <c r="CM264" s="83">
        <v>1</v>
      </c>
      <c r="CN264" s="83">
        <v>0</v>
      </c>
      <c r="CO264" s="83">
        <v>0</v>
      </c>
      <c r="CP264" s="83">
        <f t="shared" si="468"/>
        <v>1.5</v>
      </c>
      <c r="CQ264" s="456"/>
      <c r="CR264" s="81">
        <f>IF(F264&gt;$F$18,"",IF(CQ264&lt;&gt;"","",IF(ISNA(VLOOKUP('I. Stream &amp; Compound Data'!H264,'Potency Factors '!D$387:E$399,2,FALSE))=FALSE,VLOOKUP('I. Stream &amp; Compound Data'!H264,'Potency Factors '!D$387:E$399,2,FALSE),IF(ISNUMBER(SEARCH("phosphate",G264))=TRUE,1,IF(ISNUMBER(SEARCH("nitrate",G264))=TRUE,0.1,0)))))</f>
        <v>0</v>
      </c>
      <c r="CS264" s="456"/>
      <c r="CT264" s="84">
        <f>IF(F264&gt;$F$18,"",IF(CS264&lt;&gt;"","",IF(ISNA(VLOOKUP('I. Stream &amp; Compound Data'!H264,'Potency Factors '!$D$485:$F$558,3,FALSE))=TRUE,0,VLOOKUP('I. Stream &amp; Compound Data'!H264,'Potency Factors '!$D$485:$F$558,3,FALSE))))</f>
        <v>0</v>
      </c>
      <c r="CU264" s="729"/>
    </row>
    <row r="265" spans="2:103" ht="23.25" customHeight="1" x14ac:dyDescent="0.2">
      <c r="B265" s="716"/>
      <c r="C265" s="717"/>
      <c r="D265" s="717"/>
      <c r="E265" s="717"/>
      <c r="F265" s="73">
        <f t="shared" si="469"/>
        <v>4</v>
      </c>
      <c r="G265" s="74" t="str">
        <f t="shared" si="459"/>
        <v>Phosphoric Acid</v>
      </c>
      <c r="H265" s="75" t="str">
        <f t="shared" si="460"/>
        <v>7664-38-2</v>
      </c>
      <c r="I265" s="75" t="str">
        <f t="shared" si="461"/>
        <v>H3O4P</v>
      </c>
      <c r="J265" s="76">
        <f t="shared" si="462"/>
        <v>97.995199999999997</v>
      </c>
      <c r="K265" s="450">
        <v>5</v>
      </c>
      <c r="L265" s="77">
        <f t="shared" si="470"/>
        <v>10</v>
      </c>
      <c r="M265" s="77">
        <f t="shared" si="471"/>
        <v>7.0537999999999998</v>
      </c>
      <c r="N265" s="77">
        <f t="shared" si="472"/>
        <v>0.10204581448887293</v>
      </c>
      <c r="O265" s="77">
        <f t="shared" si="473"/>
        <v>7.1981076624161186E-2</v>
      </c>
      <c r="P265" s="78">
        <f t="shared" si="474"/>
        <v>7.0537999999999998</v>
      </c>
      <c r="Q265" s="79">
        <f t="shared" si="477"/>
        <v>0</v>
      </c>
      <c r="R265" s="450">
        <v>0</v>
      </c>
      <c r="S265" s="426">
        <v>1</v>
      </c>
      <c r="T265" s="451">
        <v>0.8</v>
      </c>
      <c r="U265" s="450">
        <v>0</v>
      </c>
      <c r="V265" s="426">
        <v>0</v>
      </c>
      <c r="W265" s="80">
        <f t="shared" si="475"/>
        <v>1</v>
      </c>
      <c r="X265" s="452">
        <v>0</v>
      </c>
      <c r="Y265" s="453" t="s">
        <v>42</v>
      </c>
      <c r="Z265" s="77"/>
      <c r="AA265" s="77">
        <v>1000</v>
      </c>
      <c r="AB265" s="454">
        <v>2</v>
      </c>
      <c r="AC265" s="81">
        <v>0</v>
      </c>
      <c r="AD265" s="77"/>
      <c r="AE265" s="77"/>
      <c r="AF265" s="454">
        <v>0.31</v>
      </c>
      <c r="AG265" s="453">
        <v>3.25</v>
      </c>
      <c r="AH265" s="426"/>
      <c r="AI265" s="77">
        <v>1530</v>
      </c>
      <c r="AJ265" s="426"/>
      <c r="AK265" s="77">
        <v>2740</v>
      </c>
      <c r="AL265" s="96"/>
      <c r="AM265" s="450">
        <v>1</v>
      </c>
      <c r="AN265" s="426">
        <v>0</v>
      </c>
      <c r="AO265" s="426">
        <v>0</v>
      </c>
      <c r="AP265" s="455" t="s">
        <v>9</v>
      </c>
      <c r="AQ265" s="81" t="str">
        <f t="shared" si="463"/>
        <v/>
      </c>
      <c r="AR265" s="456">
        <v>34</v>
      </c>
      <c r="AS265" s="81" t="str">
        <f t="shared" si="464"/>
        <v/>
      </c>
      <c r="AT265" s="456">
        <v>2</v>
      </c>
      <c r="AU265" s="81" t="str">
        <f t="shared" si="465"/>
        <v/>
      </c>
      <c r="AV265" s="75">
        <v>0</v>
      </c>
      <c r="AW265" s="75">
        <v>0</v>
      </c>
      <c r="AX265" s="454">
        <v>1</v>
      </c>
      <c r="AY265" s="453">
        <v>406.85</v>
      </c>
      <c r="AZ265" s="77">
        <v>42.359999999999992</v>
      </c>
      <c r="BA265" s="77"/>
      <c r="BB265" s="457" t="s">
        <v>898</v>
      </c>
      <c r="BC265" s="77">
        <v>200</v>
      </c>
      <c r="BD265" s="458">
        <v>14112.936143811099</v>
      </c>
      <c r="BE265" s="95"/>
      <c r="BF265" s="82">
        <v>1.5334974315068497</v>
      </c>
      <c r="BG265" s="82">
        <v>490.63476888964561</v>
      </c>
      <c r="BH265" s="459">
        <v>1856.5801288145083</v>
      </c>
      <c r="BI265" s="457">
        <v>4.0000000000000003E-5</v>
      </c>
      <c r="BJ265" s="454">
        <v>1</v>
      </c>
      <c r="BK265" s="460">
        <v>2650000</v>
      </c>
      <c r="BL265" s="461">
        <v>104</v>
      </c>
      <c r="BM265" s="461">
        <v>-13.7</v>
      </c>
      <c r="BN265" s="462">
        <v>-5.8139999999999997E-3</v>
      </c>
      <c r="BO265" s="463"/>
      <c r="BP265" s="81">
        <f>IF(F265&gt;$F$18,"",IF(BO265&lt;&gt;"","",IF(ISNA(VLOOKUP('I. Stream &amp; Compound Data'!H265,'Potency Factors '!D$4:E$55,2,FALSE))=TRUE,0,VLOOKUP('I. Stream &amp; Compound Data'!H265,'Potency Factors '!D$4:E$55,2,FALSE))))</f>
        <v>0</v>
      </c>
      <c r="BQ265" s="456"/>
      <c r="BR265" s="81">
        <f>IF(F265&gt;$F$18,"",IF(BQ265&lt;&gt;"","",IF(ISNA(VLOOKUP('I. Stream &amp; Compound Data'!H265,'Potency Factors '!D$68:E$167,2,FALSE))=TRUE,0,VLOOKUP('I. Stream &amp; Compound Data'!H265,'Potency Factors '!D$68:E$167,2,FALSE))))</f>
        <v>0</v>
      </c>
      <c r="BS265" s="456"/>
      <c r="BT265" s="81">
        <f>IF(F265&gt;$F$18,"",IF(BS265&lt;&gt;"","",IF(ISNA(VLOOKUP('I. Stream &amp; Compound Data'!H265,'Potency Factors '!$D$412:$F$473,3,FALSE))=TRUE,0,VLOOKUP('I. Stream &amp; Compound Data'!H265,'Potency Factors '!$D$412:$F$473,3,FALSE))))</f>
        <v>0</v>
      </c>
      <c r="BU265" s="456"/>
      <c r="BV265" s="81">
        <f>IF(F265&gt;$F$18,"",IF(BU265&lt;&gt;"","",IF(ISNA(VLOOKUP('I. Stream &amp; Compound Data'!H265,'Potency Factors '!D$180:E$185,2,FALSE))=TRUE,0,VLOOKUP('I. Stream &amp; Compound Data'!H265,'Potency Factors '!D$180:E$185,2,FALSE))))</f>
        <v>0</v>
      </c>
      <c r="BW265" s="83">
        <v>3</v>
      </c>
      <c r="BX265" s="82">
        <f t="shared" si="476"/>
        <v>3.0613744346661878E-2</v>
      </c>
      <c r="BY265" s="83">
        <v>0</v>
      </c>
      <c r="BZ265" s="82">
        <f t="shared" si="466"/>
        <v>0</v>
      </c>
      <c r="CA265" s="83">
        <v>1</v>
      </c>
      <c r="CB265" s="462">
        <v>94.971500000000006</v>
      </c>
      <c r="CC265" s="82">
        <f t="shared" si="467"/>
        <v>0.96914440707299954</v>
      </c>
      <c r="CD265" s="456"/>
      <c r="CE265" s="81">
        <f>IF(F265&gt;$F$18,"",IF(CD265&lt;&gt;"","",IF(ISNA(VLOOKUP('I. Stream &amp; Compound Data'!H265,'Potency Factors '!D$224:F$345,3,FALSE))=TRUE,0,VLOOKUP('I. Stream &amp; Compound Data'!H265,'Potency Factors '!D$224:F$345,3,FALSE))))</f>
        <v>0</v>
      </c>
      <c r="CF265" s="456"/>
      <c r="CG265" s="81">
        <f>IF(F265&gt;$F$18,"",IF(CF265&lt;&gt;"","",IF(ISNA(VLOOKUP('I. Stream &amp; Compound Data'!H265,'Potency Factors '!D$361:F$374,3,FALSE))=TRUE,0,VLOOKUP('I. Stream &amp; Compound Data'!H265,'Potency Factors '!D$361:F$374,3,FALSE))))</f>
        <v>0</v>
      </c>
      <c r="CH265" s="83">
        <v>0</v>
      </c>
      <c r="CI265" s="83">
        <v>3</v>
      </c>
      <c r="CJ265" s="83">
        <v>0</v>
      </c>
      <c r="CK265" s="83">
        <v>0</v>
      </c>
      <c r="CL265" s="83">
        <v>0</v>
      </c>
      <c r="CM265" s="83">
        <v>4</v>
      </c>
      <c r="CN265" s="83">
        <v>1</v>
      </c>
      <c r="CO265" s="83">
        <v>0</v>
      </c>
      <c r="CP265" s="83">
        <f t="shared" si="468"/>
        <v>0</v>
      </c>
      <c r="CQ265" s="456"/>
      <c r="CR265" s="81">
        <f>IF(F265&gt;$F$18,"",IF(CQ265&lt;&gt;"","",IF(ISNA(VLOOKUP('I. Stream &amp; Compound Data'!H265,'Potency Factors '!D$387:E$399,2,FALSE))=FALSE,VLOOKUP('I. Stream &amp; Compound Data'!H265,'Potency Factors '!D$387:E$399,2,FALSE),IF(ISNUMBER(SEARCH("phosphate",G265))=TRUE,1,IF(ISNUMBER(SEARCH("nitrate",G265))=TRUE,0.1,0)))))</f>
        <v>0.97</v>
      </c>
      <c r="CS265" s="456"/>
      <c r="CT265" s="84">
        <f>IF(F265&gt;$F$18,"",IF(CS265&lt;&gt;"","",IF(ISNA(VLOOKUP('I. Stream &amp; Compound Data'!H265,'Potency Factors '!$D$485:$F$558,3,FALSE))=TRUE,0,VLOOKUP('I. Stream &amp; Compound Data'!H265,'Potency Factors '!$D$485:$F$558,3,FALSE))))</f>
        <v>0</v>
      </c>
      <c r="CU265" s="729"/>
    </row>
    <row r="266" spans="2:103" ht="23.25" customHeight="1" x14ac:dyDescent="0.2">
      <c r="B266" s="716"/>
      <c r="C266" s="717"/>
      <c r="D266" s="717"/>
      <c r="E266" s="717"/>
      <c r="F266" s="73">
        <f t="shared" si="469"/>
        <v>5</v>
      </c>
      <c r="G266" s="74" t="str">
        <f t="shared" si="459"/>
        <v>Trisodium Phosphate</v>
      </c>
      <c r="H266" s="75" t="str">
        <f t="shared" si="460"/>
        <v>7601-54-9</v>
      </c>
      <c r="I266" s="75" t="str">
        <f t="shared" si="461"/>
        <v>Na3O4P</v>
      </c>
      <c r="J266" s="76">
        <f t="shared" si="462"/>
        <v>163.941</v>
      </c>
      <c r="K266" s="450">
        <v>0</v>
      </c>
      <c r="L266" s="77">
        <f t="shared" si="470"/>
        <v>0</v>
      </c>
      <c r="M266" s="77">
        <f t="shared" si="471"/>
        <v>4.9287999999999998</v>
      </c>
      <c r="N266" s="77">
        <f t="shared" si="472"/>
        <v>0</v>
      </c>
      <c r="O266" s="77">
        <f t="shared" si="473"/>
        <v>3.0064474414575975E-2</v>
      </c>
      <c r="P266" s="78">
        <f t="shared" si="474"/>
        <v>4.9287999999999998</v>
      </c>
      <c r="Q266" s="79">
        <f t="shared" si="477"/>
        <v>0</v>
      </c>
      <c r="R266" s="450">
        <v>0</v>
      </c>
      <c r="S266" s="426">
        <v>0</v>
      </c>
      <c r="T266" s="451">
        <v>0</v>
      </c>
      <c r="U266" s="450">
        <v>0</v>
      </c>
      <c r="V266" s="426">
        <v>1</v>
      </c>
      <c r="W266" s="80">
        <f t="shared" si="475"/>
        <v>1</v>
      </c>
      <c r="X266" s="452">
        <v>0</v>
      </c>
      <c r="Y266" s="453" t="s">
        <v>42</v>
      </c>
      <c r="Z266" s="77"/>
      <c r="AA266" s="77"/>
      <c r="AB266" s="454"/>
      <c r="AC266" s="81">
        <v>0</v>
      </c>
      <c r="AD266" s="77"/>
      <c r="AE266" s="77"/>
      <c r="AF266" s="454"/>
      <c r="AG266" s="453">
        <v>2400</v>
      </c>
      <c r="AH266" s="426"/>
      <c r="AI266" s="77">
        <v>2000</v>
      </c>
      <c r="AJ266" s="426"/>
      <c r="AK266" s="77">
        <v>2</v>
      </c>
      <c r="AL266" s="96"/>
      <c r="AM266" s="450">
        <v>1</v>
      </c>
      <c r="AN266" s="426">
        <v>0</v>
      </c>
      <c r="AO266" s="426">
        <v>0</v>
      </c>
      <c r="AP266" s="455"/>
      <c r="AQ266" s="81" t="str">
        <f t="shared" si="463"/>
        <v>Xn</v>
      </c>
      <c r="AR266" s="456"/>
      <c r="AS266" s="81" t="str">
        <f t="shared" si="464"/>
        <v>20/21/22</v>
      </c>
      <c r="AT266" s="456"/>
      <c r="AU266" s="81">
        <f t="shared" si="465"/>
        <v>4</v>
      </c>
      <c r="AV266" s="75">
        <v>0</v>
      </c>
      <c r="AW266" s="75">
        <v>0</v>
      </c>
      <c r="AX266" s="454">
        <v>1</v>
      </c>
      <c r="AY266" s="453"/>
      <c r="AZ266" s="77">
        <v>75</v>
      </c>
      <c r="BA266" s="77"/>
      <c r="BB266" s="457" t="s">
        <v>898</v>
      </c>
      <c r="BC266" s="77">
        <v>110</v>
      </c>
      <c r="BD266" s="458">
        <v>1059.8459201786</v>
      </c>
      <c r="BE266" s="95"/>
      <c r="BF266" s="82"/>
      <c r="BG266" s="82"/>
      <c r="BH266" s="459">
        <v>2540</v>
      </c>
      <c r="BI266" s="457">
        <v>1E-10</v>
      </c>
      <c r="BJ266" s="454">
        <v>12</v>
      </c>
      <c r="BK266" s="460">
        <v>2650000</v>
      </c>
      <c r="BL266" s="461">
        <v>518.14</v>
      </c>
      <c r="BM266" s="461">
        <v>-12.042</v>
      </c>
      <c r="BN266" s="462">
        <v>-6.391E-3</v>
      </c>
      <c r="BO266" s="463"/>
      <c r="BP266" s="81">
        <f>IF(F266&gt;$F$18,"",IF(BO266&lt;&gt;"","",IF(ISNA(VLOOKUP('I. Stream &amp; Compound Data'!H266,'Potency Factors '!D$4:E$55,2,FALSE))=TRUE,0,VLOOKUP('I. Stream &amp; Compound Data'!H266,'Potency Factors '!D$4:E$55,2,FALSE))))</f>
        <v>0</v>
      </c>
      <c r="BQ266" s="456"/>
      <c r="BR266" s="81">
        <f>IF(F266&gt;$F$18,"",IF(BQ266&lt;&gt;"","",IF(ISNA(VLOOKUP('I. Stream &amp; Compound Data'!H266,'Potency Factors '!D$68:E$167,2,FALSE))=TRUE,0,VLOOKUP('I. Stream &amp; Compound Data'!H266,'Potency Factors '!D$68:E$167,2,FALSE))))</f>
        <v>0</v>
      </c>
      <c r="BS266" s="456"/>
      <c r="BT266" s="81">
        <f>IF(F266&gt;$F$18,"",IF(BS266&lt;&gt;"","",IF(ISNA(VLOOKUP('I. Stream &amp; Compound Data'!H266,'Potency Factors '!$D$412:$F$473,3,FALSE))=TRUE,0,VLOOKUP('I. Stream &amp; Compound Data'!H266,'Potency Factors '!$D$412:$F$473,3,FALSE))))</f>
        <v>0</v>
      </c>
      <c r="BU266" s="456"/>
      <c r="BV266" s="81">
        <f>IF(F266&gt;$F$18,"",IF(BU266&lt;&gt;"","",IF(ISNA(VLOOKUP('I. Stream &amp; Compound Data'!H266,'Potency Factors '!D$180:E$185,2,FALSE))=TRUE,0,VLOOKUP('I. Stream &amp; Compound Data'!H266,'Potency Factors '!D$180:E$185,2,FALSE))))</f>
        <v>0</v>
      </c>
      <c r="BW266" s="83">
        <v>0</v>
      </c>
      <c r="BX266" s="82">
        <f t="shared" si="476"/>
        <v>0</v>
      </c>
      <c r="BY266" s="83">
        <v>0</v>
      </c>
      <c r="BZ266" s="82">
        <f t="shared" si="466"/>
        <v>0</v>
      </c>
      <c r="CA266" s="83">
        <v>1</v>
      </c>
      <c r="CB266" s="462">
        <v>163.94</v>
      </c>
      <c r="CC266" s="82">
        <f t="shared" si="467"/>
        <v>0.99999390024460011</v>
      </c>
      <c r="CD266" s="456"/>
      <c r="CE266" s="81">
        <f>IF(F266&gt;$F$18,"",IF(CD266&lt;&gt;"","",IF(ISNA(VLOOKUP('I. Stream &amp; Compound Data'!H266,'Potency Factors '!D$224:F$345,3,FALSE))=TRUE,0,VLOOKUP('I. Stream &amp; Compound Data'!H266,'Potency Factors '!D$224:F$345,3,FALSE))))</f>
        <v>0</v>
      </c>
      <c r="CF266" s="456"/>
      <c r="CG266" s="81">
        <f>IF(F266&gt;$F$18,"",IF(CF266&lt;&gt;"","",IF(ISNA(VLOOKUP('I. Stream &amp; Compound Data'!H266,'Potency Factors '!D$361:F$374,3,FALSE))=TRUE,0,VLOOKUP('I. Stream &amp; Compound Data'!H266,'Potency Factors '!D$361:F$374,3,FALSE))))</f>
        <v>0</v>
      </c>
      <c r="CH266" s="83">
        <v>0</v>
      </c>
      <c r="CI266" s="83">
        <v>0</v>
      </c>
      <c r="CJ266" s="83">
        <v>0</v>
      </c>
      <c r="CK266" s="83">
        <v>0</v>
      </c>
      <c r="CL266" s="83">
        <v>3</v>
      </c>
      <c r="CM266" s="83">
        <v>4</v>
      </c>
      <c r="CN266" s="83">
        <v>1</v>
      </c>
      <c r="CO266" s="83">
        <v>0</v>
      </c>
      <c r="CP266" s="83">
        <f t="shared" si="468"/>
        <v>0</v>
      </c>
      <c r="CQ266" s="456"/>
      <c r="CR266" s="81">
        <f>IF(F266&gt;$F$18,"",IF(CQ266&lt;&gt;"","",IF(ISNA(VLOOKUP('I. Stream &amp; Compound Data'!H266,'Potency Factors '!D$387:E$399,2,FALSE))=FALSE,VLOOKUP('I. Stream &amp; Compound Data'!H266,'Potency Factors '!D$387:E$399,2,FALSE),IF(ISNUMBER(SEARCH("phosphate",G266))=TRUE,1,IF(ISNUMBER(SEARCH("nitrate",G266))=TRUE,0.1,0)))))</f>
        <v>1</v>
      </c>
      <c r="CS266" s="456"/>
      <c r="CT266" s="84">
        <f>IF(F266&gt;$F$18,"",IF(CS266&lt;&gt;"","",IF(ISNA(VLOOKUP('I. Stream &amp; Compound Data'!H266,'Potency Factors '!$D$485:$F$558,3,FALSE))=TRUE,0,VLOOKUP('I. Stream &amp; Compound Data'!H266,'Potency Factors '!$D$485:$F$558,3,FALSE))))</f>
        <v>0</v>
      </c>
      <c r="CU266" s="729"/>
    </row>
    <row r="267" spans="2:103" ht="23.25" customHeight="1" x14ac:dyDescent="0.2">
      <c r="B267" s="716"/>
      <c r="C267" s="717"/>
      <c r="D267" s="717"/>
      <c r="E267" s="717"/>
      <c r="F267" s="73">
        <f t="shared" si="469"/>
        <v>6</v>
      </c>
      <c r="G267" s="74" t="str">
        <f t="shared" si="459"/>
        <v>OIL (Triolein)</v>
      </c>
      <c r="H267" s="75" t="str">
        <f t="shared" si="460"/>
        <v>122-32-7</v>
      </c>
      <c r="I267" s="75" t="str">
        <f t="shared" si="461"/>
        <v>C57H104O6</v>
      </c>
      <c r="J267" s="76">
        <f t="shared" si="462"/>
        <v>885.43200000000002</v>
      </c>
      <c r="K267" s="450">
        <v>2</v>
      </c>
      <c r="L267" s="77">
        <f t="shared" si="470"/>
        <v>987</v>
      </c>
      <c r="M267" s="77">
        <f t="shared" si="471"/>
        <v>52.480400000000003</v>
      </c>
      <c r="N267" s="77">
        <f t="shared" si="472"/>
        <v>1.1147101076084893</v>
      </c>
      <c r="O267" s="77">
        <f t="shared" si="473"/>
        <v>5.9270954742995506E-2</v>
      </c>
      <c r="P267" s="78">
        <f t="shared" si="474"/>
        <v>48.5946</v>
      </c>
      <c r="Q267" s="79">
        <f t="shared" si="477"/>
        <v>3.8858000000000001</v>
      </c>
      <c r="R267" s="450">
        <v>1</v>
      </c>
      <c r="S267" s="426">
        <v>1</v>
      </c>
      <c r="T267" s="451">
        <v>0.8</v>
      </c>
      <c r="U267" s="450">
        <v>1</v>
      </c>
      <c r="V267" s="426">
        <v>0</v>
      </c>
      <c r="W267" s="80">
        <f t="shared" si="475"/>
        <v>0</v>
      </c>
      <c r="X267" s="452">
        <v>1</v>
      </c>
      <c r="Y267" s="453" t="s">
        <v>42</v>
      </c>
      <c r="Z267" s="77"/>
      <c r="AA267" s="77"/>
      <c r="AB267" s="454"/>
      <c r="AC267" s="81"/>
      <c r="AD267" s="77">
        <v>100</v>
      </c>
      <c r="AE267" s="465"/>
      <c r="AF267" s="454">
        <v>23.29</v>
      </c>
      <c r="AG267" s="453"/>
      <c r="AH267" s="426"/>
      <c r="AI267" s="77">
        <v>22500</v>
      </c>
      <c r="AJ267" s="426"/>
      <c r="AK267" s="77">
        <v>20000</v>
      </c>
      <c r="AL267" s="96"/>
      <c r="AM267" s="450">
        <v>0</v>
      </c>
      <c r="AN267" s="426">
        <v>0</v>
      </c>
      <c r="AO267" s="426">
        <v>0</v>
      </c>
      <c r="AP267" s="455"/>
      <c r="AQ267" s="81" t="str">
        <f t="shared" si="463"/>
        <v/>
      </c>
      <c r="AR267" s="456"/>
      <c r="AS267" s="81" t="str">
        <f t="shared" si="464"/>
        <v/>
      </c>
      <c r="AT267" s="456"/>
      <c r="AU267" s="81" t="str">
        <f t="shared" si="465"/>
        <v>NO</v>
      </c>
      <c r="AV267" s="75">
        <v>1</v>
      </c>
      <c r="AW267" s="75">
        <v>0</v>
      </c>
      <c r="AX267" s="454">
        <v>1</v>
      </c>
      <c r="AY267" s="453">
        <v>846.85</v>
      </c>
      <c r="AZ267" s="77">
        <v>4.9999999999999769</v>
      </c>
      <c r="BA267" s="77">
        <v>282</v>
      </c>
      <c r="BB267" s="457">
        <v>39641.214683905702</v>
      </c>
      <c r="BC267" s="77"/>
      <c r="BD267" s="458">
        <v>1798.2182708553601</v>
      </c>
      <c r="BE267" s="95"/>
      <c r="BF267" s="82"/>
      <c r="BG267" s="459">
        <v>540.43901512482</v>
      </c>
      <c r="BH267" s="459">
        <v>909.07201792599153</v>
      </c>
      <c r="BI267" s="77">
        <v>1.0631894424605636E-3</v>
      </c>
      <c r="BJ267" s="454"/>
      <c r="BK267" s="460">
        <v>51800000</v>
      </c>
      <c r="BL267" s="461">
        <v>35354.620000000003</v>
      </c>
      <c r="BM267" s="461">
        <v>-2.8041999999999998</v>
      </c>
      <c r="BN267" s="462">
        <v>-7.2779999999999997E-2</v>
      </c>
      <c r="BO267" s="463"/>
      <c r="BP267" s="81">
        <f>IF(F267&gt;$F$18,"",IF(BO267&lt;&gt;"","",IF(ISNA(VLOOKUP('I. Stream &amp; Compound Data'!H267,'Potency Factors '!D$4:E$55,2,FALSE))=TRUE,0,VLOOKUP('I. Stream &amp; Compound Data'!H267,'Potency Factors '!D$4:E$55,2,FALSE))))</f>
        <v>0</v>
      </c>
      <c r="BQ267" s="456"/>
      <c r="BR267" s="81">
        <f>IF(F267&gt;$F$18,"",IF(BQ267&lt;&gt;"","",IF(ISNA(VLOOKUP('I. Stream &amp; Compound Data'!H267,'Potency Factors '!D$68:E$167,2,FALSE))=TRUE,0,VLOOKUP('I. Stream &amp; Compound Data'!H267,'Potency Factors '!D$68:E$167,2,FALSE))))</f>
        <v>0</v>
      </c>
      <c r="BS267" s="456"/>
      <c r="BT267" s="81">
        <f>IF(F267&gt;$F$18,"",IF(BS267&lt;&gt;"","",IF(ISNA(VLOOKUP('I. Stream &amp; Compound Data'!H267,'Potency Factors '!$D$412:$F$473,3,FALSE))=TRUE,0,VLOOKUP('I. Stream &amp; Compound Data'!H267,'Potency Factors '!$D$412:$F$473,3,FALSE))))</f>
        <v>0</v>
      </c>
      <c r="BU267" s="456"/>
      <c r="BV267" s="81">
        <f>IF(F267&gt;$F$18,"",IF(BU267&lt;&gt;"","",IF(ISNA(VLOOKUP('I. Stream &amp; Compound Data'!H267,'Potency Factors '!D$180:E$185,2,FALSE))=TRUE,0,VLOOKUP('I. Stream &amp; Compound Data'!H267,'Potency Factors '!D$180:E$185,2,FALSE))))</f>
        <v>0</v>
      </c>
      <c r="BW267" s="83">
        <v>0</v>
      </c>
      <c r="BX267" s="82">
        <f t="shared" si="476"/>
        <v>0</v>
      </c>
      <c r="BY267" s="83">
        <v>0</v>
      </c>
      <c r="BZ267" s="82">
        <f t="shared" si="466"/>
        <v>0</v>
      </c>
      <c r="CA267" s="83">
        <v>0</v>
      </c>
      <c r="CB267" s="462">
        <v>0</v>
      </c>
      <c r="CC267" s="82">
        <f t="shared" si="467"/>
        <v>0</v>
      </c>
      <c r="CD267" s="456"/>
      <c r="CE267" s="81">
        <f>IF(F267&gt;$F$18,"",IF(CD267&lt;&gt;"","",IF(ISNA(VLOOKUP('I. Stream &amp; Compound Data'!H267,'Potency Factors '!D$224:F$345,3,FALSE))=TRUE,0,VLOOKUP('I. Stream &amp; Compound Data'!H267,'Potency Factors '!D$224:F$345,3,FALSE))))</f>
        <v>0</v>
      </c>
      <c r="CF267" s="456"/>
      <c r="CG267" s="81">
        <f>IF(F267&gt;$F$18,"",IF(CF267&lt;&gt;"","",IF(ISNA(VLOOKUP('I. Stream &amp; Compound Data'!H267,'Potency Factors '!D$361:F$374,3,FALSE))=TRUE,0,VLOOKUP('I. Stream &amp; Compound Data'!H267,'Potency Factors '!D$361:F$374,3,FALSE))))</f>
        <v>0</v>
      </c>
      <c r="CH267" s="83">
        <v>57</v>
      </c>
      <c r="CI267" s="83">
        <v>104</v>
      </c>
      <c r="CJ267" s="83">
        <v>0</v>
      </c>
      <c r="CK267" s="83">
        <v>0</v>
      </c>
      <c r="CL267" s="83">
        <v>0</v>
      </c>
      <c r="CM267" s="83">
        <v>6</v>
      </c>
      <c r="CN267" s="83">
        <v>0</v>
      </c>
      <c r="CO267" s="83">
        <v>0</v>
      </c>
      <c r="CP267" s="83">
        <f t="shared" si="468"/>
        <v>2.89</v>
      </c>
      <c r="CQ267" s="456"/>
      <c r="CR267" s="81">
        <f>IF(F267&gt;$F$18,"",IF(CQ267&lt;&gt;"","",IF(ISNA(VLOOKUP('I. Stream &amp; Compound Data'!H267,'Potency Factors '!D$387:E$399,2,FALSE))=FALSE,VLOOKUP('I. Stream &amp; Compound Data'!H267,'Potency Factors '!D$387:E$399,2,FALSE),IF(ISNUMBER(SEARCH("phosphate",G267))=TRUE,1,IF(ISNUMBER(SEARCH("nitrate",G267))=TRUE,0.1,0)))))</f>
        <v>0</v>
      </c>
      <c r="CS267" s="456"/>
      <c r="CT267" s="84">
        <f>IF(F267&gt;$F$18,"",IF(CS267&lt;&gt;"","",IF(ISNA(VLOOKUP('I. Stream &amp; Compound Data'!H267,'Potency Factors '!$D$485:$F$558,3,FALSE))=TRUE,0,VLOOKUP('I. Stream &amp; Compound Data'!H267,'Potency Factors '!$D$485:$F$558,3,FALSE))))</f>
        <v>0</v>
      </c>
      <c r="CU267" s="729"/>
    </row>
    <row r="268" spans="2:103" ht="23.25" customHeight="1" x14ac:dyDescent="0.2">
      <c r="B268" s="716"/>
      <c r="C268" s="717"/>
      <c r="D268" s="717"/>
      <c r="E268" s="717"/>
      <c r="F268" s="73">
        <f t="shared" si="469"/>
        <v>7</v>
      </c>
      <c r="G268" s="74" t="str">
        <f t="shared" si="459"/>
        <v>Water</v>
      </c>
      <c r="H268" s="75" t="str">
        <f t="shared" si="460"/>
        <v>7732-18-5</v>
      </c>
      <c r="I268" s="75" t="str">
        <f t="shared" si="461"/>
        <v>H2O</v>
      </c>
      <c r="J268" s="76">
        <f t="shared" si="462"/>
        <v>18.0153</v>
      </c>
      <c r="K268" s="450">
        <v>5</v>
      </c>
      <c r="L268" s="77">
        <f t="shared" si="470"/>
        <v>11</v>
      </c>
      <c r="M268" s="77">
        <f t="shared" si="471"/>
        <v>20.316399999999998</v>
      </c>
      <c r="N268" s="77">
        <f t="shared" si="472"/>
        <v>0.6105921078194646</v>
      </c>
      <c r="O268" s="77">
        <f t="shared" si="473"/>
        <v>1.1277303181184881</v>
      </c>
      <c r="P268" s="78">
        <f t="shared" si="474"/>
        <v>20.062599999999996</v>
      </c>
      <c r="Q268" s="79">
        <f t="shared" si="477"/>
        <v>0.25380000000000003</v>
      </c>
      <c r="R268" s="450">
        <v>0</v>
      </c>
      <c r="S268" s="426">
        <v>0</v>
      </c>
      <c r="T268" s="451">
        <v>0</v>
      </c>
      <c r="U268" s="450">
        <v>0</v>
      </c>
      <c r="V268" s="426">
        <v>0</v>
      </c>
      <c r="W268" s="80">
        <f t="shared" si="475"/>
        <v>0</v>
      </c>
      <c r="X268" s="452">
        <v>1</v>
      </c>
      <c r="Y268" s="453" t="s">
        <v>42</v>
      </c>
      <c r="Z268" s="77"/>
      <c r="AA268" s="77"/>
      <c r="AB268" s="454"/>
      <c r="AC268" s="81">
        <v>0</v>
      </c>
      <c r="AD268" s="77"/>
      <c r="AE268" s="77">
        <v>344</v>
      </c>
      <c r="AF268" s="454"/>
      <c r="AG268" s="453">
        <v>10000</v>
      </c>
      <c r="AH268" s="426"/>
      <c r="AI268" s="75">
        <v>90000</v>
      </c>
      <c r="AJ268" s="426"/>
      <c r="AK268" s="77"/>
      <c r="AL268" s="96"/>
      <c r="AM268" s="450">
        <v>0</v>
      </c>
      <c r="AN268" s="426">
        <v>0</v>
      </c>
      <c r="AO268" s="426">
        <v>0</v>
      </c>
      <c r="AP268" s="455"/>
      <c r="AQ268" s="81" t="str">
        <f t="shared" si="463"/>
        <v/>
      </c>
      <c r="AR268" s="456"/>
      <c r="AS268" s="81" t="str">
        <f t="shared" si="464"/>
        <v/>
      </c>
      <c r="AT268" s="456"/>
      <c r="AU268" s="81" t="str">
        <f t="shared" si="465"/>
        <v>NO</v>
      </c>
      <c r="AV268" s="75">
        <v>0</v>
      </c>
      <c r="AW268" s="75">
        <v>0</v>
      </c>
      <c r="AX268" s="454" t="s">
        <v>160</v>
      </c>
      <c r="AY268" s="453">
        <v>99.999999999999972</v>
      </c>
      <c r="AZ268" s="77">
        <v>-2.273181642920008E-14</v>
      </c>
      <c r="BA268" s="77"/>
      <c r="BB268" s="457"/>
      <c r="BC268" s="77">
        <v>2000</v>
      </c>
      <c r="BD268" s="458"/>
      <c r="BE268" s="95"/>
      <c r="BF268" s="82">
        <v>4.184454528497386</v>
      </c>
      <c r="BG268" s="82">
        <v>2264.697976870953</v>
      </c>
      <c r="BH268" s="459">
        <v>997.04190279393686</v>
      </c>
      <c r="BI268" s="77">
        <v>0.19940338517582668</v>
      </c>
      <c r="BJ268" s="454">
        <v>7</v>
      </c>
      <c r="BK268" s="460">
        <v>664</v>
      </c>
      <c r="BL268" s="461">
        <v>9.5</v>
      </c>
      <c r="BM268" s="461">
        <v>-15.859</v>
      </c>
      <c r="BN268" s="462">
        <v>-9.0430000000000007E-3</v>
      </c>
      <c r="BO268" s="463"/>
      <c r="BP268" s="81">
        <f>IF(F268&gt;$F$18,"",IF(BO268&lt;&gt;"","",IF(ISNA(VLOOKUP('I. Stream &amp; Compound Data'!H268,'Potency Factors '!D$4:E$55,2,FALSE))=TRUE,0,VLOOKUP('I. Stream &amp; Compound Data'!H268,'Potency Factors '!D$4:E$55,2,FALSE))))</f>
        <v>0</v>
      </c>
      <c r="BQ268" s="456"/>
      <c r="BR268" s="81">
        <f>IF(F268&gt;$F$18,"",IF(BQ268&lt;&gt;"","",IF(ISNA(VLOOKUP('I. Stream &amp; Compound Data'!H268,'Potency Factors '!D$68:E$167,2,FALSE))=TRUE,0,VLOOKUP('I. Stream &amp; Compound Data'!H268,'Potency Factors '!D$68:E$167,2,FALSE))))</f>
        <v>0</v>
      </c>
      <c r="BS268" s="456"/>
      <c r="BT268" s="81">
        <f>IF(F268&gt;$F$18,"",IF(BS268&lt;&gt;"","",IF(ISNA(VLOOKUP('I. Stream &amp; Compound Data'!H268,'Potency Factors '!$D$412:$F$473,3,FALSE))=TRUE,0,VLOOKUP('I. Stream &amp; Compound Data'!H268,'Potency Factors '!$D$412:$F$473,3,FALSE))))</f>
        <v>0</v>
      </c>
      <c r="BU268" s="456"/>
      <c r="BV268" s="81">
        <f>IF(F268&gt;$F$18,"",IF(BU268&lt;&gt;"","",IF(ISNA(VLOOKUP('I. Stream &amp; Compound Data'!H268,'Potency Factors '!D$180:E$185,2,FALSE))=TRUE,0,VLOOKUP('I. Stream &amp; Compound Data'!H268,'Potency Factors '!D$180:E$185,2,FALSE))))</f>
        <v>0</v>
      </c>
      <c r="BW268" s="83">
        <v>0</v>
      </c>
      <c r="BX268" s="82">
        <f t="shared" si="476"/>
        <v>0</v>
      </c>
      <c r="BY268" s="83">
        <v>0</v>
      </c>
      <c r="BZ268" s="82">
        <f t="shared" si="466"/>
        <v>0</v>
      </c>
      <c r="CA268" s="83">
        <v>0</v>
      </c>
      <c r="CB268" s="462">
        <v>0</v>
      </c>
      <c r="CC268" s="82">
        <f t="shared" si="467"/>
        <v>0</v>
      </c>
      <c r="CD268" s="456"/>
      <c r="CE268" s="81">
        <f>IF(F268&gt;$F$18,"",IF(CD268&lt;&gt;"","",IF(ISNA(VLOOKUP('I. Stream &amp; Compound Data'!H268,'Potency Factors '!D$224:F$345,3,FALSE))=TRUE,0,VLOOKUP('I. Stream &amp; Compound Data'!H268,'Potency Factors '!D$224:F$345,3,FALSE))))</f>
        <v>0</v>
      </c>
      <c r="CF268" s="456"/>
      <c r="CG268" s="81">
        <f>IF(F268&gt;$F$18,"",IF(CF268&lt;&gt;"","",IF(ISNA(VLOOKUP('I. Stream &amp; Compound Data'!H268,'Potency Factors '!D$361:F$374,3,FALSE))=TRUE,0,VLOOKUP('I. Stream &amp; Compound Data'!H268,'Potency Factors '!D$361:F$374,3,FALSE))))</f>
        <v>0</v>
      </c>
      <c r="CH268" s="83">
        <v>0</v>
      </c>
      <c r="CI268" s="83">
        <v>2</v>
      </c>
      <c r="CJ268" s="83">
        <v>0</v>
      </c>
      <c r="CK268" s="83">
        <v>0</v>
      </c>
      <c r="CL268" s="83">
        <v>0</v>
      </c>
      <c r="CM268" s="83">
        <v>1</v>
      </c>
      <c r="CN268" s="83">
        <v>0</v>
      </c>
      <c r="CO268" s="83">
        <v>0</v>
      </c>
      <c r="CP268" s="83">
        <f t="shared" si="468"/>
        <v>0</v>
      </c>
      <c r="CQ268" s="456"/>
      <c r="CR268" s="81">
        <f>IF(F268&gt;$F$18,"",IF(CQ268&lt;&gt;"","",IF(ISNA(VLOOKUP('I. Stream &amp; Compound Data'!H268,'Potency Factors '!D$387:E$399,2,FALSE))=FALSE,VLOOKUP('I. Stream &amp; Compound Data'!H268,'Potency Factors '!D$387:E$399,2,FALSE),IF(ISNUMBER(SEARCH("phosphate",G268))=TRUE,1,IF(ISNUMBER(SEARCH("nitrate",G268))=TRUE,0.1,0)))))</f>
        <v>0</v>
      </c>
      <c r="CS268" s="456"/>
      <c r="CT268" s="84">
        <f>IF(F268&gt;$F$18,"",IF(CS268&lt;&gt;"","",IF(ISNA(VLOOKUP('I. Stream &amp; Compound Data'!H268,'Potency Factors '!$D$485:$F$558,3,FALSE))=TRUE,0,VLOOKUP('I. Stream &amp; Compound Data'!H268,'Potency Factors '!$D$485:$F$558,3,FALSE))))</f>
        <v>0</v>
      </c>
      <c r="CU268" s="729"/>
    </row>
    <row r="269" spans="2:103" ht="23.25" customHeight="1" x14ac:dyDescent="0.2">
      <c r="B269" s="716"/>
      <c r="C269" s="717"/>
      <c r="D269" s="717"/>
      <c r="E269" s="717"/>
      <c r="F269" s="73">
        <f t="shared" si="469"/>
        <v>8</v>
      </c>
      <c r="G269" s="74" t="str">
        <f t="shared" si="459"/>
        <v>Sodium Hydroxide</v>
      </c>
      <c r="H269" s="75" t="str">
        <f t="shared" si="460"/>
        <v>1310-73-2</v>
      </c>
      <c r="I269" s="75" t="str">
        <f t="shared" si="461"/>
        <v>NaOH</v>
      </c>
      <c r="J269" s="76">
        <f t="shared" si="462"/>
        <v>39.997100000000003</v>
      </c>
      <c r="K269" s="450">
        <v>3</v>
      </c>
      <c r="L269" s="77">
        <f t="shared" si="470"/>
        <v>18.2</v>
      </c>
      <c r="M269" s="77">
        <f t="shared" si="471"/>
        <v>6.4425999999999997</v>
      </c>
      <c r="N269" s="77">
        <f t="shared" si="472"/>
        <v>0.4550329898917671</v>
      </c>
      <c r="O269" s="77">
        <f t="shared" si="473"/>
        <v>0.16107667805915926</v>
      </c>
      <c r="P269" s="78">
        <f t="shared" si="474"/>
        <v>6.4425999999999997</v>
      </c>
      <c r="Q269" s="79">
        <f t="shared" si="477"/>
        <v>0</v>
      </c>
      <c r="R269" s="450">
        <v>0</v>
      </c>
      <c r="S269" s="426">
        <v>1</v>
      </c>
      <c r="T269" s="451">
        <v>0.8</v>
      </c>
      <c r="U269" s="450">
        <v>0</v>
      </c>
      <c r="V269" s="426">
        <v>0</v>
      </c>
      <c r="W269" s="80">
        <f t="shared" si="475"/>
        <v>1</v>
      </c>
      <c r="X269" s="452">
        <v>0</v>
      </c>
      <c r="Y269" s="453">
        <v>5</v>
      </c>
      <c r="Z269" s="77">
        <v>50</v>
      </c>
      <c r="AA269" s="77">
        <v>10</v>
      </c>
      <c r="AB269" s="454">
        <v>2</v>
      </c>
      <c r="AC269" s="81">
        <v>0</v>
      </c>
      <c r="AD269" s="77">
        <v>100</v>
      </c>
      <c r="AE269" s="77"/>
      <c r="AF269" s="454">
        <v>100</v>
      </c>
      <c r="AG269" s="453">
        <v>160</v>
      </c>
      <c r="AH269" s="426"/>
      <c r="AI269" s="77">
        <v>4090</v>
      </c>
      <c r="AJ269" s="426"/>
      <c r="AK269" s="77">
        <v>1350</v>
      </c>
      <c r="AL269" s="96"/>
      <c r="AM269" s="450">
        <v>1</v>
      </c>
      <c r="AN269" s="426">
        <v>0</v>
      </c>
      <c r="AO269" s="426">
        <v>0</v>
      </c>
      <c r="AP269" s="455" t="s">
        <v>9</v>
      </c>
      <c r="AQ269" s="81" t="str">
        <f t="shared" si="463"/>
        <v/>
      </c>
      <c r="AR269" s="456">
        <v>35</v>
      </c>
      <c r="AS269" s="81" t="str">
        <f t="shared" si="464"/>
        <v/>
      </c>
      <c r="AT269" s="456">
        <v>2</v>
      </c>
      <c r="AU269" s="81" t="str">
        <f t="shared" si="465"/>
        <v/>
      </c>
      <c r="AV269" s="75">
        <v>0</v>
      </c>
      <c r="AW269" s="75">
        <v>1</v>
      </c>
      <c r="AX269" s="454">
        <v>1</v>
      </c>
      <c r="AY269" s="453">
        <v>1556.85</v>
      </c>
      <c r="AZ269" s="77">
        <v>322.85000000000002</v>
      </c>
      <c r="BA269" s="77"/>
      <c r="BB269" s="457"/>
      <c r="BC269" s="77"/>
      <c r="BD269" s="458"/>
      <c r="BE269" s="95"/>
      <c r="BF269" s="82">
        <v>2.1506106079223732</v>
      </c>
      <c r="BG269" s="459">
        <v>4.3753172104977596</v>
      </c>
      <c r="BH269" s="459">
        <v>1782.3627984679999</v>
      </c>
      <c r="BI269" s="77">
        <v>6.7621081013040676E-15</v>
      </c>
      <c r="BJ269" s="454">
        <v>14</v>
      </c>
      <c r="BK269" s="460">
        <v>2690000</v>
      </c>
      <c r="BL269" s="461">
        <v>74.900000000000006</v>
      </c>
      <c r="BM269" s="461">
        <v>-20.189</v>
      </c>
      <c r="BN269" s="462">
        <v>-1.5440000000000001E-2</v>
      </c>
      <c r="BO269" s="463"/>
      <c r="BP269" s="81">
        <f>IF(F269&gt;$F$18,"",IF(BO269&lt;&gt;"","",IF(ISNA(VLOOKUP('I. Stream &amp; Compound Data'!H269,'Potency Factors '!D$4:E$55,2,FALSE))=TRUE,0,VLOOKUP('I. Stream &amp; Compound Data'!H269,'Potency Factors '!D$4:E$55,2,FALSE))))</f>
        <v>0</v>
      </c>
      <c r="BQ269" s="456"/>
      <c r="BR269" s="81">
        <f>IF(F269&gt;$F$18,"",IF(BQ269&lt;&gt;"","",IF(ISNA(VLOOKUP('I. Stream &amp; Compound Data'!H269,'Potency Factors '!D$68:E$167,2,FALSE))=TRUE,0,VLOOKUP('I. Stream &amp; Compound Data'!H269,'Potency Factors '!D$68:E$167,2,FALSE))))</f>
        <v>0</v>
      </c>
      <c r="BS269" s="456"/>
      <c r="BT269" s="81">
        <f>IF(F269&gt;$F$18,"",IF(BS269&lt;&gt;"","",IF(ISNA(VLOOKUP('I. Stream &amp; Compound Data'!H269,'Potency Factors '!$D$412:$F$473,3,FALSE))=TRUE,0,VLOOKUP('I. Stream &amp; Compound Data'!H269,'Potency Factors '!$D$412:$F$473,3,FALSE))))</f>
        <v>0</v>
      </c>
      <c r="BU269" s="456"/>
      <c r="BV269" s="81">
        <f>IF(F269&gt;$F$18,"",IF(BU269&lt;&gt;"","",IF(ISNA(VLOOKUP('I. Stream &amp; Compound Data'!H269,'Potency Factors '!D$180:E$185,2,FALSE))=TRUE,0,VLOOKUP('I. Stream &amp; Compound Data'!H269,'Potency Factors '!D$180:E$185,2,FALSE))))</f>
        <v>0</v>
      </c>
      <c r="BW269" s="83">
        <v>0</v>
      </c>
      <c r="BX269" s="82">
        <f t="shared" si="476"/>
        <v>0</v>
      </c>
      <c r="BY269" s="83">
        <v>1</v>
      </c>
      <c r="BZ269" s="82">
        <f t="shared" si="466"/>
        <v>0.42503081473406817</v>
      </c>
      <c r="CA269" s="83">
        <v>1</v>
      </c>
      <c r="CB269" s="462">
        <v>23</v>
      </c>
      <c r="CC269" s="82">
        <f t="shared" si="467"/>
        <v>0.57504169052256282</v>
      </c>
      <c r="CD269" s="456"/>
      <c r="CE269" s="81">
        <f>IF(F269&gt;$F$18,"",IF(CD269&lt;&gt;"","",IF(ISNA(VLOOKUP('I. Stream &amp; Compound Data'!H269,'Potency Factors '!D$224:F$345,3,FALSE))=TRUE,0,VLOOKUP('I. Stream &amp; Compound Data'!H269,'Potency Factors '!D$224:F$345,3,FALSE))))</f>
        <v>0</v>
      </c>
      <c r="CF269" s="456"/>
      <c r="CG269" s="81">
        <f>IF(F269&gt;$F$18,"",IF(CF269&lt;&gt;"","",IF(ISNA(VLOOKUP('I. Stream &amp; Compound Data'!H269,'Potency Factors '!D$361:F$374,3,FALSE))=TRUE,0,VLOOKUP('I. Stream &amp; Compound Data'!H269,'Potency Factors '!D$361:F$374,3,FALSE))))</f>
        <v>0</v>
      </c>
      <c r="CH269" s="83">
        <v>0</v>
      </c>
      <c r="CI269" s="83">
        <v>1</v>
      </c>
      <c r="CJ269" s="83">
        <v>0</v>
      </c>
      <c r="CK269" s="83">
        <v>0</v>
      </c>
      <c r="CL269" s="83">
        <v>1</v>
      </c>
      <c r="CM269" s="83">
        <v>1</v>
      </c>
      <c r="CN269" s="83">
        <v>0</v>
      </c>
      <c r="CO269" s="83">
        <v>0</v>
      </c>
      <c r="CP269" s="83">
        <f t="shared" si="468"/>
        <v>0</v>
      </c>
      <c r="CQ269" s="456"/>
      <c r="CR269" s="81">
        <f>IF(F269&gt;$F$18,"",IF(CQ269&lt;&gt;"","",IF(ISNA(VLOOKUP('I. Stream &amp; Compound Data'!H269,'Potency Factors '!D$387:E$399,2,FALSE))=FALSE,VLOOKUP('I. Stream &amp; Compound Data'!H269,'Potency Factors '!D$387:E$399,2,FALSE),IF(ISNUMBER(SEARCH("phosphate",G269))=TRUE,1,IF(ISNUMBER(SEARCH("nitrate",G269))=TRUE,0.1,0)))))</f>
        <v>0</v>
      </c>
      <c r="CS269" s="456"/>
      <c r="CT269" s="84">
        <f>IF(F269&gt;$F$18,"",IF(CS269&lt;&gt;"","",IF(ISNA(VLOOKUP('I. Stream &amp; Compound Data'!H269,'Potency Factors '!$D$485:$F$558,3,FALSE))=TRUE,0,VLOOKUP('I. Stream &amp; Compound Data'!H269,'Potency Factors '!$D$485:$F$558,3,FALSE))))</f>
        <v>0</v>
      </c>
      <c r="CU269" s="729"/>
    </row>
    <row r="270" spans="2:103" ht="23.25" customHeight="1" x14ac:dyDescent="0.2">
      <c r="B270" s="716"/>
      <c r="C270" s="717"/>
      <c r="D270" s="717"/>
      <c r="E270" s="717"/>
      <c r="F270" s="73">
        <f t="shared" si="469"/>
        <v>9</v>
      </c>
      <c r="G270" s="74" t="str">
        <f t="shared" si="459"/>
        <v>Sulfuric Acid</v>
      </c>
      <c r="H270" s="75" t="str">
        <f t="shared" si="460"/>
        <v>7664-93-9</v>
      </c>
      <c r="I270" s="75" t="str">
        <f t="shared" si="461"/>
        <v>H2SO4</v>
      </c>
      <c r="J270" s="76">
        <f t="shared" si="462"/>
        <v>98.078999999999994</v>
      </c>
      <c r="K270" s="450">
        <v>5</v>
      </c>
      <c r="L270" s="77">
        <f t="shared" si="470"/>
        <v>10</v>
      </c>
      <c r="M270" s="77">
        <f t="shared" si="471"/>
        <v>0</v>
      </c>
      <c r="N270" s="77">
        <f t="shared" si="472"/>
        <v>0.10195862518989794</v>
      </c>
      <c r="O270" s="77">
        <f t="shared" si="473"/>
        <v>0</v>
      </c>
      <c r="P270" s="78">
        <f t="shared" si="474"/>
        <v>0</v>
      </c>
      <c r="Q270" s="79">
        <f t="shared" si="477"/>
        <v>0</v>
      </c>
      <c r="R270" s="450">
        <v>0</v>
      </c>
      <c r="S270" s="426">
        <v>0</v>
      </c>
      <c r="T270" s="451">
        <v>0</v>
      </c>
      <c r="U270" s="450">
        <v>0</v>
      </c>
      <c r="V270" s="426">
        <v>0</v>
      </c>
      <c r="W270" s="80">
        <f t="shared" si="475"/>
        <v>0</v>
      </c>
      <c r="X270" s="452">
        <v>0</v>
      </c>
      <c r="Y270" s="450">
        <v>10</v>
      </c>
      <c r="Z270" s="426">
        <v>120</v>
      </c>
      <c r="AA270" s="426">
        <v>15</v>
      </c>
      <c r="AB270" s="454">
        <v>0.1</v>
      </c>
      <c r="AC270" s="81">
        <v>0</v>
      </c>
      <c r="AD270" s="77"/>
      <c r="AE270" s="77"/>
      <c r="AF270" s="454"/>
      <c r="AG270" s="453">
        <v>0.51</v>
      </c>
      <c r="AH270" s="426"/>
      <c r="AI270" s="77">
        <v>2140</v>
      </c>
      <c r="AJ270" s="426"/>
      <c r="AK270" s="77"/>
      <c r="AL270" s="96"/>
      <c r="AM270" s="450">
        <v>1</v>
      </c>
      <c r="AN270" s="426">
        <v>1</v>
      </c>
      <c r="AO270" s="426">
        <v>0</v>
      </c>
      <c r="AP270" s="455" t="s">
        <v>9</v>
      </c>
      <c r="AQ270" s="81" t="str">
        <f t="shared" si="463"/>
        <v/>
      </c>
      <c r="AR270" s="456">
        <v>35</v>
      </c>
      <c r="AS270" s="81" t="str">
        <f t="shared" si="464"/>
        <v/>
      </c>
      <c r="AT270" s="456">
        <v>2</v>
      </c>
      <c r="AU270" s="81" t="str">
        <f t="shared" si="465"/>
        <v/>
      </c>
      <c r="AV270" s="75">
        <v>0</v>
      </c>
      <c r="AW270" s="75">
        <v>2</v>
      </c>
      <c r="AX270" s="454">
        <v>1</v>
      </c>
      <c r="AY270" s="453">
        <v>290</v>
      </c>
      <c r="AZ270" s="462">
        <v>10.36</v>
      </c>
      <c r="BA270" s="77"/>
      <c r="BB270" s="457"/>
      <c r="BC270" s="77">
        <v>340</v>
      </c>
      <c r="BD270" s="458">
        <v>56000</v>
      </c>
      <c r="BE270" s="95"/>
      <c r="BF270" s="82">
        <v>1.4179999999999999</v>
      </c>
      <c r="BG270" s="459">
        <v>570.96</v>
      </c>
      <c r="BH270" s="459">
        <v>1832.9</v>
      </c>
      <c r="BI270" s="77">
        <v>1.2999999999999999E-3</v>
      </c>
      <c r="BJ270" s="454">
        <v>0.3</v>
      </c>
      <c r="BK270" s="460">
        <v>426000</v>
      </c>
      <c r="BL270" s="461">
        <v>163.4</v>
      </c>
      <c r="BM270" s="461">
        <v>-8.0062999999999995</v>
      </c>
      <c r="BN270" s="462">
        <v>-3.7230000000000002E-3</v>
      </c>
      <c r="BO270" s="463"/>
      <c r="BP270" s="81">
        <f>IF(F270&gt;$F$18,"",IF(BO270&lt;&gt;"","",IF(ISNA(VLOOKUP('I. Stream &amp; Compound Data'!H270,'Potency Factors '!D$4:E$55,2,FALSE))=TRUE,0,VLOOKUP('I. Stream &amp; Compound Data'!H270,'Potency Factors '!D$4:E$55,2,FALSE))))</f>
        <v>0</v>
      </c>
      <c r="BQ270" s="456"/>
      <c r="BR270" s="81">
        <f>IF(F270&gt;$F$18,"",IF(BQ270&lt;&gt;"","",IF(ISNA(VLOOKUP('I. Stream &amp; Compound Data'!H270,'Potency Factors '!D$68:E$167,2,FALSE))=TRUE,0,VLOOKUP('I. Stream &amp; Compound Data'!H270,'Potency Factors '!D$68:E$167,2,FALSE))))</f>
        <v>0</v>
      </c>
      <c r="BS270" s="456"/>
      <c r="BT270" s="81">
        <f>IF(F270&gt;$F$18,"",IF(BS270&lt;&gt;"","",IF(ISNA(VLOOKUP('I. Stream &amp; Compound Data'!H270,'Potency Factors '!$D$412:$F$473,3,FALSE))=TRUE,0,VLOOKUP('I. Stream &amp; Compound Data'!H270,'Potency Factors '!$D$412:$F$473,3,FALSE))))</f>
        <v>0</v>
      </c>
      <c r="BU270" s="456"/>
      <c r="BV270" s="81">
        <f>IF(F270&gt;$F$18,"",IF(BU270&lt;&gt;"","",IF(ISNA(VLOOKUP('I. Stream &amp; Compound Data'!H270,'Potency Factors '!D$180:E$185,2,FALSE))=TRUE,0,VLOOKUP('I. Stream &amp; Compound Data'!H270,'Potency Factors '!D$180:E$185,2,FALSE))))</f>
        <v>0.65</v>
      </c>
      <c r="BW270" s="83">
        <v>2</v>
      </c>
      <c r="BX270" s="82">
        <f t="shared" si="476"/>
        <v>2.0391725037979588E-2</v>
      </c>
      <c r="BY270" s="83">
        <v>0</v>
      </c>
      <c r="BZ270" s="82">
        <f t="shared" si="466"/>
        <v>0</v>
      </c>
      <c r="CA270" s="83">
        <v>1</v>
      </c>
      <c r="CB270" s="462">
        <v>96.06</v>
      </c>
      <c r="CC270" s="82">
        <f t="shared" si="467"/>
        <v>0.97941455357415974</v>
      </c>
      <c r="CD270" s="456"/>
      <c r="CE270" s="81">
        <f>IF(F270&gt;$F$18,"",IF(CD270&lt;&gt;"","",IF(ISNA(VLOOKUP('I. Stream &amp; Compound Data'!H270,'Potency Factors '!D$224:F$345,3,FALSE))=TRUE,0,VLOOKUP('I. Stream &amp; Compound Data'!H270,'Potency Factors '!D$224:F$345,3,FALSE))))</f>
        <v>0</v>
      </c>
      <c r="CF270" s="456"/>
      <c r="CG270" s="81">
        <f>IF(F270&gt;$F$18,"",IF(CF270&lt;&gt;"","",IF(ISNA(VLOOKUP('I. Stream &amp; Compound Data'!H270,'Potency Factors '!D$361:F$374,3,FALSE))=TRUE,0,VLOOKUP('I. Stream &amp; Compound Data'!H270,'Potency Factors '!D$361:F$374,3,FALSE))))</f>
        <v>0</v>
      </c>
      <c r="CH270" s="83">
        <v>0</v>
      </c>
      <c r="CI270" s="83">
        <v>2</v>
      </c>
      <c r="CJ270" s="83">
        <v>0</v>
      </c>
      <c r="CK270" s="83">
        <v>0</v>
      </c>
      <c r="CL270" s="83">
        <v>0</v>
      </c>
      <c r="CM270" s="83">
        <v>4</v>
      </c>
      <c r="CN270" s="83">
        <v>0</v>
      </c>
      <c r="CO270" s="83">
        <v>1</v>
      </c>
      <c r="CP270" s="83">
        <f t="shared" si="468"/>
        <v>0</v>
      </c>
      <c r="CQ270" s="456"/>
      <c r="CR270" s="81">
        <f>IF(F270&gt;$F$18,"",IF(CQ270&lt;&gt;"","",IF(ISNA(VLOOKUP('I. Stream &amp; Compound Data'!H270,'Potency Factors '!D$387:E$399,2,FALSE))=FALSE,VLOOKUP('I. Stream &amp; Compound Data'!H270,'Potency Factors '!D$387:E$399,2,FALSE),IF(ISNUMBER(SEARCH("phosphate",G270))=TRUE,1,IF(ISNUMBER(SEARCH("nitrate",G270))=TRUE,0.1,0)))))</f>
        <v>0</v>
      </c>
      <c r="CS270" s="456"/>
      <c r="CT270" s="84">
        <f>IF(F270&gt;$F$18,"",IF(CS270&lt;&gt;"","",IF(ISNA(VLOOKUP('I. Stream &amp; Compound Data'!H270,'Potency Factors '!$D$485:$F$558,3,FALSE))=TRUE,0,VLOOKUP('I. Stream &amp; Compound Data'!H270,'Potency Factors '!$D$485:$F$558,3,FALSE))))</f>
        <v>0</v>
      </c>
      <c r="CU270" s="729"/>
    </row>
    <row r="271" spans="2:103" ht="23.25" customHeight="1" x14ac:dyDescent="0.2">
      <c r="B271" s="716"/>
      <c r="C271" s="717"/>
      <c r="D271" s="717"/>
      <c r="E271" s="717"/>
      <c r="F271" s="73">
        <f t="shared" si="469"/>
        <v>10</v>
      </c>
      <c r="G271" s="74" t="str">
        <f t="shared" si="459"/>
        <v>Oleic Acid</v>
      </c>
      <c r="H271" s="75" t="str">
        <f t="shared" si="460"/>
        <v xml:space="preserve">112-80-1 </v>
      </c>
      <c r="I271" s="75" t="str">
        <f t="shared" si="461"/>
        <v>C18H34O2</v>
      </c>
      <c r="J271" s="76">
        <f t="shared" si="462"/>
        <v>282.45999999999998</v>
      </c>
      <c r="K271" s="450">
        <v>2</v>
      </c>
      <c r="L271" s="77">
        <f t="shared" si="470"/>
        <v>63</v>
      </c>
      <c r="M271" s="77">
        <f t="shared" si="471"/>
        <v>0</v>
      </c>
      <c r="N271" s="77">
        <f t="shared" si="472"/>
        <v>0.22304043050343414</v>
      </c>
      <c r="O271" s="77">
        <f t="shared" si="473"/>
        <v>0</v>
      </c>
      <c r="P271" s="78">
        <f t="shared" si="474"/>
        <v>0</v>
      </c>
      <c r="Q271" s="79">
        <f t="shared" si="477"/>
        <v>0</v>
      </c>
      <c r="R271" s="450">
        <v>1</v>
      </c>
      <c r="S271" s="426">
        <v>1</v>
      </c>
      <c r="T271" s="451">
        <v>0</v>
      </c>
      <c r="U271" s="450">
        <v>1</v>
      </c>
      <c r="V271" s="426">
        <v>0</v>
      </c>
      <c r="W271" s="80">
        <f t="shared" si="475"/>
        <v>0</v>
      </c>
      <c r="X271" s="452">
        <v>1</v>
      </c>
      <c r="Y271" s="450" t="s">
        <v>42</v>
      </c>
      <c r="Z271" s="426" t="s">
        <v>42</v>
      </c>
      <c r="AA271" s="426"/>
      <c r="AB271" s="454"/>
      <c r="AC271" s="81">
        <v>200</v>
      </c>
      <c r="AD271" s="77"/>
      <c r="AE271" s="77">
        <v>10</v>
      </c>
      <c r="AF271" s="454">
        <v>7.64</v>
      </c>
      <c r="AG271" s="453">
        <v>285</v>
      </c>
      <c r="AH271" s="426"/>
      <c r="AI271" s="77">
        <v>19242.5</v>
      </c>
      <c r="AJ271" s="426"/>
      <c r="AK271" s="77">
        <v>3000</v>
      </c>
      <c r="AL271" s="96"/>
      <c r="AM271" s="450">
        <v>0</v>
      </c>
      <c r="AN271" s="426">
        <v>0</v>
      </c>
      <c r="AO271" s="426">
        <v>0</v>
      </c>
      <c r="AP271" s="455"/>
      <c r="AQ271" s="81" t="str">
        <f t="shared" si="463"/>
        <v/>
      </c>
      <c r="AR271" s="456"/>
      <c r="AS271" s="81" t="str">
        <f t="shared" si="464"/>
        <v/>
      </c>
      <c r="AT271" s="456"/>
      <c r="AU271" s="81" t="str">
        <f t="shared" si="465"/>
        <v>NO</v>
      </c>
      <c r="AV271" s="75">
        <v>1</v>
      </c>
      <c r="AW271" s="75">
        <v>0</v>
      </c>
      <c r="AX271" s="454">
        <v>1</v>
      </c>
      <c r="AY271" s="453">
        <v>360</v>
      </c>
      <c r="AZ271" s="462">
        <v>14</v>
      </c>
      <c r="BA271" s="77">
        <v>189</v>
      </c>
      <c r="BB271" s="457">
        <v>39300</v>
      </c>
      <c r="BC271" s="77">
        <v>85</v>
      </c>
      <c r="BD271" s="458"/>
      <c r="BE271" s="95"/>
      <c r="BF271" s="82"/>
      <c r="BG271" s="459">
        <v>239.4</v>
      </c>
      <c r="BH271" s="459">
        <v>895</v>
      </c>
      <c r="BI271" s="457">
        <v>7.2E-10</v>
      </c>
      <c r="BJ271" s="454">
        <v>5</v>
      </c>
      <c r="BK271" s="460">
        <v>51800000</v>
      </c>
      <c r="BL271" s="461">
        <v>11167.48</v>
      </c>
      <c r="BM271" s="461">
        <v>-2.7728999999999999</v>
      </c>
      <c r="BN271" s="462">
        <v>-6.5279999999999999E-3</v>
      </c>
      <c r="BO271" s="463"/>
      <c r="BP271" s="81">
        <f>IF(F271&gt;$F$18,"",IF(BO271&lt;&gt;"","",IF(ISNA(VLOOKUP('I. Stream &amp; Compound Data'!H271,'Potency Factors '!D$4:E$55,2,FALSE))=TRUE,0,VLOOKUP('I. Stream &amp; Compound Data'!H271,'Potency Factors '!D$4:E$55,2,FALSE))))</f>
        <v>0</v>
      </c>
      <c r="BQ271" s="456"/>
      <c r="BR271" s="81">
        <f>IF(F271&gt;$F$18,"",IF(BQ271&lt;&gt;"","",IF(ISNA(VLOOKUP('I. Stream &amp; Compound Data'!H271,'Potency Factors '!D$68:E$167,2,FALSE))=TRUE,0,VLOOKUP('I. Stream &amp; Compound Data'!H271,'Potency Factors '!D$68:E$167,2,FALSE))))</f>
        <v>0</v>
      </c>
      <c r="BS271" s="456"/>
      <c r="BT271" s="81">
        <f>IF(F271&gt;$F$18,"",IF(BS271&lt;&gt;"","",IF(ISNA(VLOOKUP('I. Stream &amp; Compound Data'!H271,'Potency Factors '!$D$412:$F$473,3,FALSE))=TRUE,0,VLOOKUP('I. Stream &amp; Compound Data'!H271,'Potency Factors '!$D$412:$F$473,3,FALSE))))</f>
        <v>0</v>
      </c>
      <c r="BU271" s="456"/>
      <c r="BV271" s="81">
        <f>IF(F271&gt;$F$18,"",IF(BU271&lt;&gt;"","",IF(ISNA(VLOOKUP('I. Stream &amp; Compound Data'!H271,'Potency Factors '!D$180:E$185,2,FALSE))=TRUE,0,VLOOKUP('I. Stream &amp; Compound Data'!H271,'Potency Factors '!D$180:E$185,2,FALSE))))</f>
        <v>0</v>
      </c>
      <c r="BW271" s="83">
        <v>0</v>
      </c>
      <c r="BX271" s="82">
        <f t="shared" si="476"/>
        <v>0</v>
      </c>
      <c r="BY271" s="83">
        <v>0</v>
      </c>
      <c r="BZ271" s="82">
        <f t="shared" si="466"/>
        <v>0</v>
      </c>
      <c r="CA271" s="83">
        <v>0</v>
      </c>
      <c r="CB271" s="462">
        <v>0</v>
      </c>
      <c r="CC271" s="82">
        <f t="shared" si="467"/>
        <v>0</v>
      </c>
      <c r="CD271" s="456"/>
      <c r="CE271" s="81">
        <f>IF(F271&gt;$F$18,"",IF(CD271&lt;&gt;"","",IF(ISNA(VLOOKUP('I. Stream &amp; Compound Data'!H271,'Potency Factors '!D$224:F$345,3,FALSE))=TRUE,0,VLOOKUP('I. Stream &amp; Compound Data'!H271,'Potency Factors '!D$224:F$345,3,FALSE))))</f>
        <v>0</v>
      </c>
      <c r="CF271" s="456"/>
      <c r="CG271" s="81">
        <f>IF(F271&gt;$F$18,"",IF(CF271&lt;&gt;"","",IF(ISNA(VLOOKUP('I. Stream &amp; Compound Data'!H271,'Potency Factors '!D$361:F$374,3,FALSE))=TRUE,0,VLOOKUP('I. Stream &amp; Compound Data'!H271,'Potency Factors '!D$361:F$374,3,FALSE))))</f>
        <v>0</v>
      </c>
      <c r="CH271" s="83">
        <v>18</v>
      </c>
      <c r="CI271" s="83">
        <v>34</v>
      </c>
      <c r="CJ271" s="83">
        <v>0</v>
      </c>
      <c r="CK271" s="83">
        <v>0</v>
      </c>
      <c r="CL271" s="83">
        <v>0</v>
      </c>
      <c r="CM271" s="83">
        <v>2</v>
      </c>
      <c r="CN271" s="83">
        <v>0</v>
      </c>
      <c r="CO271" s="83">
        <v>0</v>
      </c>
      <c r="CP271" s="83">
        <f t="shared" si="468"/>
        <v>2.89</v>
      </c>
      <c r="CQ271" s="456"/>
      <c r="CR271" s="81">
        <f>IF(F271&gt;$F$18,"",IF(CQ271&lt;&gt;"","",IF(ISNA(VLOOKUP('I. Stream &amp; Compound Data'!H271,'Potency Factors '!D$387:E$399,2,FALSE))=FALSE,VLOOKUP('I. Stream &amp; Compound Data'!H271,'Potency Factors '!D$387:E$399,2,FALSE),IF(ISNUMBER(SEARCH("phosphate",G271))=TRUE,1,IF(ISNUMBER(SEARCH("nitrate",G271))=TRUE,0.1,0)))))</f>
        <v>0</v>
      </c>
      <c r="CS271" s="456"/>
      <c r="CT271" s="84">
        <f>IF(F271&gt;$F$18,"",IF(CS271&lt;&gt;"","",IF(ISNA(VLOOKUP('I. Stream &amp; Compound Data'!H271,'Potency Factors '!$D$485:$F$558,3,FALSE))=TRUE,0,VLOOKUP('I. Stream &amp; Compound Data'!H271,'Potency Factors '!$D$485:$F$558,3,FALSE))))</f>
        <v>0</v>
      </c>
      <c r="CU271" s="729"/>
    </row>
    <row r="272" spans="2:103" ht="23.25" customHeight="1" x14ac:dyDescent="0.2">
      <c r="B272" s="716"/>
      <c r="C272" s="717"/>
      <c r="D272" s="717"/>
      <c r="E272" s="717"/>
      <c r="F272" s="73">
        <f t="shared" si="469"/>
        <v>11</v>
      </c>
      <c r="G272" s="74" t="str">
        <f t="shared" si="459"/>
        <v>Sodium Sulphate</v>
      </c>
      <c r="H272" s="75" t="str">
        <f t="shared" si="460"/>
        <v>7757-82-6</v>
      </c>
      <c r="I272" s="75" t="str">
        <f t="shared" si="461"/>
        <v>Na2SO4</v>
      </c>
      <c r="J272" s="76">
        <f t="shared" si="462"/>
        <v>142.04</v>
      </c>
      <c r="K272" s="450">
        <v>0</v>
      </c>
      <c r="L272" s="77">
        <f t="shared" si="470"/>
        <v>0</v>
      </c>
      <c r="M272" s="77">
        <f t="shared" si="471"/>
        <v>14.5</v>
      </c>
      <c r="N272" s="77">
        <f t="shared" si="472"/>
        <v>0</v>
      </c>
      <c r="O272" s="77">
        <f t="shared" si="473"/>
        <v>0.10208392002252888</v>
      </c>
      <c r="P272" s="78">
        <f t="shared" si="474"/>
        <v>14.5</v>
      </c>
      <c r="Q272" s="79">
        <f t="shared" si="477"/>
        <v>0</v>
      </c>
      <c r="R272" s="450">
        <v>0</v>
      </c>
      <c r="S272" s="426">
        <v>0</v>
      </c>
      <c r="T272" s="451">
        <v>0</v>
      </c>
      <c r="U272" s="450">
        <v>0</v>
      </c>
      <c r="V272" s="426">
        <v>1</v>
      </c>
      <c r="W272" s="80">
        <f t="shared" si="475"/>
        <v>1</v>
      </c>
      <c r="X272" s="452">
        <v>0</v>
      </c>
      <c r="Y272" s="450" t="s">
        <v>42</v>
      </c>
      <c r="Z272" s="426" t="s">
        <v>42</v>
      </c>
      <c r="AA272" s="426"/>
      <c r="AB272" s="454">
        <v>6</v>
      </c>
      <c r="AC272" s="81">
        <v>0</v>
      </c>
      <c r="AD272" s="77"/>
      <c r="AE272" s="77"/>
      <c r="AF272" s="454"/>
      <c r="AG272" s="453">
        <v>4547</v>
      </c>
      <c r="AH272" s="426" t="s">
        <v>944</v>
      </c>
      <c r="AI272" s="77">
        <v>4000</v>
      </c>
      <c r="AJ272" s="426" t="s">
        <v>946</v>
      </c>
      <c r="AK272" s="77"/>
      <c r="AL272" s="96"/>
      <c r="AM272" s="450">
        <v>0</v>
      </c>
      <c r="AN272" s="426">
        <v>0</v>
      </c>
      <c r="AO272" s="426">
        <v>0</v>
      </c>
      <c r="AP272" s="455" t="s">
        <v>948</v>
      </c>
      <c r="AQ272" s="81" t="str">
        <f t="shared" si="463"/>
        <v/>
      </c>
      <c r="AR272" s="456" t="s">
        <v>949</v>
      </c>
      <c r="AS272" s="81" t="str">
        <f t="shared" si="464"/>
        <v/>
      </c>
      <c r="AT272" s="456"/>
      <c r="AU272" s="81">
        <f t="shared" si="465"/>
        <v>5</v>
      </c>
      <c r="AV272" s="75">
        <v>0</v>
      </c>
      <c r="AW272" s="75">
        <v>0</v>
      </c>
      <c r="AX272" s="454">
        <v>1</v>
      </c>
      <c r="AY272" s="453">
        <v>1429</v>
      </c>
      <c r="AZ272" s="462">
        <v>883.85</v>
      </c>
      <c r="BA272" s="77"/>
      <c r="BB272" s="457"/>
      <c r="BC272" s="77">
        <v>1200</v>
      </c>
      <c r="BD272" s="458"/>
      <c r="BE272" s="95"/>
      <c r="BF272" s="82"/>
      <c r="BG272" s="459"/>
      <c r="BH272" s="459">
        <v>1464</v>
      </c>
      <c r="BI272" s="77">
        <v>1E-10</v>
      </c>
      <c r="BJ272" s="454">
        <v>7</v>
      </c>
      <c r="BK272" s="460">
        <v>68100000</v>
      </c>
      <c r="BL272" s="461">
        <v>21.4</v>
      </c>
      <c r="BM272" s="461">
        <v>-10.167999999999999</v>
      </c>
      <c r="BN272" s="462">
        <v>-7.1139999999999997E-3</v>
      </c>
      <c r="BO272" s="463"/>
      <c r="BP272" s="81">
        <f>IF(F272&gt;$F$18,"",IF(BO272&lt;&gt;"","",IF(ISNA(VLOOKUP('I. Stream &amp; Compound Data'!H272,'Potency Factors '!D$4:E$55,2,FALSE))=TRUE,0,VLOOKUP('I. Stream &amp; Compound Data'!H272,'Potency Factors '!D$4:E$55,2,FALSE))))</f>
        <v>0</v>
      </c>
      <c r="BQ272" s="456"/>
      <c r="BR272" s="81">
        <f>IF(F272&gt;$F$18,"",IF(BQ272&lt;&gt;"","",IF(ISNA(VLOOKUP('I. Stream &amp; Compound Data'!H272,'Potency Factors '!D$68:E$167,2,FALSE))=TRUE,0,VLOOKUP('I. Stream &amp; Compound Data'!H272,'Potency Factors '!D$68:E$167,2,FALSE))))</f>
        <v>0</v>
      </c>
      <c r="BS272" s="456"/>
      <c r="BT272" s="81">
        <f>IF(F272&gt;$F$18,"",IF(BS272&lt;&gt;"","",IF(ISNA(VLOOKUP('I. Stream &amp; Compound Data'!H272,'Potency Factors '!$D$412:$F$473,3,FALSE))=TRUE,0,VLOOKUP('I. Stream &amp; Compound Data'!H272,'Potency Factors '!$D$412:$F$473,3,FALSE))))</f>
        <v>0</v>
      </c>
      <c r="BU272" s="456"/>
      <c r="BV272" s="81">
        <f>IF(F272&gt;$F$18,"",IF(BU272&lt;&gt;"","",IF(ISNA(VLOOKUP('I. Stream &amp; Compound Data'!H272,'Potency Factors '!D$180:E$185,2,FALSE))=TRUE,0,VLOOKUP('I. Stream &amp; Compound Data'!H272,'Potency Factors '!D$180:E$185,2,FALSE))))</f>
        <v>0</v>
      </c>
      <c r="BW272" s="83">
        <v>0</v>
      </c>
      <c r="BX272" s="82">
        <f t="shared" si="476"/>
        <v>0</v>
      </c>
      <c r="BY272" s="83">
        <v>0</v>
      </c>
      <c r="BZ272" s="82">
        <f t="shared" si="466"/>
        <v>0</v>
      </c>
      <c r="CA272" s="83">
        <v>1</v>
      </c>
      <c r="CB272" s="462">
        <v>142.04</v>
      </c>
      <c r="CC272" s="82">
        <f t="shared" si="467"/>
        <v>1</v>
      </c>
      <c r="CD272" s="456"/>
      <c r="CE272" s="81">
        <f>IF(F272&gt;$F$18,"",IF(CD272&lt;&gt;"","",IF(ISNA(VLOOKUP('I. Stream &amp; Compound Data'!H272,'Potency Factors '!D$224:F$345,3,FALSE))=TRUE,0,VLOOKUP('I. Stream &amp; Compound Data'!H272,'Potency Factors '!D$224:F$345,3,FALSE))))</f>
        <v>0</v>
      </c>
      <c r="CF272" s="456"/>
      <c r="CG272" s="81">
        <f>IF(F272&gt;$F$18,"",IF(CF272&lt;&gt;"","",IF(ISNA(VLOOKUP('I. Stream &amp; Compound Data'!H272,'Potency Factors '!D$361:F$374,3,FALSE))=TRUE,0,VLOOKUP('I. Stream &amp; Compound Data'!H272,'Potency Factors '!D$361:F$374,3,FALSE))))</f>
        <v>0</v>
      </c>
      <c r="CH272" s="83">
        <v>0</v>
      </c>
      <c r="CI272" s="83">
        <v>0</v>
      </c>
      <c r="CJ272" s="83">
        <v>0</v>
      </c>
      <c r="CK272" s="83">
        <v>0</v>
      </c>
      <c r="CL272" s="83">
        <v>2</v>
      </c>
      <c r="CM272" s="83">
        <v>4</v>
      </c>
      <c r="CN272" s="83">
        <v>0</v>
      </c>
      <c r="CO272" s="83">
        <v>1</v>
      </c>
      <c r="CP272" s="83">
        <f t="shared" si="468"/>
        <v>0</v>
      </c>
      <c r="CQ272" s="456"/>
      <c r="CR272" s="81">
        <f>IF(F272&gt;$F$18,"",IF(CQ272&lt;&gt;"","",IF(ISNA(VLOOKUP('I. Stream &amp; Compound Data'!H272,'Potency Factors '!D$387:E$399,2,FALSE))=FALSE,VLOOKUP('I. Stream &amp; Compound Data'!H272,'Potency Factors '!D$387:E$399,2,FALSE),IF(ISNUMBER(SEARCH("phosphate",G272))=TRUE,1,IF(ISNUMBER(SEARCH("nitrate",G272))=TRUE,0.1,0)))))</f>
        <v>0</v>
      </c>
      <c r="CS272" s="456"/>
      <c r="CT272" s="84">
        <f>IF(F272&gt;$F$18,"",IF(CS272&lt;&gt;"","",IF(ISNA(VLOOKUP('I. Stream &amp; Compound Data'!H272,'Potency Factors '!$D$485:$F$558,3,FALSE))=TRUE,0,VLOOKUP('I. Stream &amp; Compound Data'!H272,'Potency Factors '!$D$485:$F$558,3,FALSE))))</f>
        <v>0</v>
      </c>
      <c r="CU272" s="729"/>
    </row>
    <row r="273" spans="2:99" ht="23.25" customHeight="1" x14ac:dyDescent="0.2">
      <c r="B273" s="716"/>
      <c r="C273" s="717"/>
      <c r="D273" s="717"/>
      <c r="E273" s="717"/>
      <c r="F273" s="73">
        <f t="shared" si="469"/>
        <v>12</v>
      </c>
      <c r="G273" s="74" t="str">
        <f t="shared" si="459"/>
        <v/>
      </c>
      <c r="H273" s="75" t="str">
        <f t="shared" si="460"/>
        <v/>
      </c>
      <c r="I273" s="75" t="str">
        <f t="shared" si="461"/>
        <v/>
      </c>
      <c r="J273" s="76" t="str">
        <f t="shared" si="462"/>
        <v/>
      </c>
      <c r="K273" s="450"/>
      <c r="L273" s="77" t="str">
        <f>IF(F43&lt;&gt;"",SUM(H43+Q43+T43+K43+N43+W43+Z43+AC43+AF43+AI43+AL43+AO43+AR43+AU43+AX43+BA43+BD43+BG43+BJ43+BM43+BP43+BS43+BV43+BY43+CB43+CE43+CH43+CK43+CN43+CQ43+CT43+CW43+CZ43+DC43+DF43+DI43+DL43+DO43+DR43+DU43),"")</f>
        <v/>
      </c>
      <c r="M273" s="77" t="str">
        <f t="shared" si="471"/>
        <v/>
      </c>
      <c r="N273" s="77" t="str">
        <f t="shared" si="472"/>
        <v/>
      </c>
      <c r="O273" s="77" t="str">
        <f t="shared" si="473"/>
        <v/>
      </c>
      <c r="P273" s="78" t="str">
        <f t="shared" si="474"/>
        <v/>
      </c>
      <c r="Q273" s="79" t="str">
        <f t="shared" si="477"/>
        <v/>
      </c>
      <c r="R273" s="450"/>
      <c r="S273" s="426"/>
      <c r="T273" s="451"/>
      <c r="U273" s="450"/>
      <c r="V273" s="426"/>
      <c r="W273" s="80" t="str">
        <f t="shared" si="475"/>
        <v/>
      </c>
      <c r="X273" s="452"/>
      <c r="Y273" s="450"/>
      <c r="Z273" s="426"/>
      <c r="AA273" s="426"/>
      <c r="AB273" s="454"/>
      <c r="AC273" s="81"/>
      <c r="AD273" s="77"/>
      <c r="AE273" s="77"/>
      <c r="AF273" s="454"/>
      <c r="AG273" s="453"/>
      <c r="AH273" s="426"/>
      <c r="AI273" s="77"/>
      <c r="AJ273" s="426"/>
      <c r="AK273" s="77"/>
      <c r="AL273" s="96"/>
      <c r="AM273" s="450"/>
      <c r="AN273" s="426"/>
      <c r="AO273" s="426"/>
      <c r="AP273" s="455"/>
      <c r="AQ273" s="81" t="str">
        <f t="shared" si="463"/>
        <v/>
      </c>
      <c r="AR273" s="456"/>
      <c r="AS273" s="81" t="str">
        <f t="shared" si="464"/>
        <v/>
      </c>
      <c r="AT273" s="456"/>
      <c r="AU273" s="81" t="str">
        <f t="shared" si="465"/>
        <v/>
      </c>
      <c r="AV273" s="75"/>
      <c r="AW273" s="75"/>
      <c r="AX273" s="454"/>
      <c r="AY273" s="453"/>
      <c r="AZ273" s="462"/>
      <c r="BA273" s="77"/>
      <c r="BB273" s="457"/>
      <c r="BC273" s="77"/>
      <c r="BD273" s="458"/>
      <c r="BE273" s="95"/>
      <c r="BF273" s="82"/>
      <c r="BG273" s="459"/>
      <c r="BH273" s="459"/>
      <c r="BI273" s="77"/>
      <c r="BJ273" s="454"/>
      <c r="BK273" s="460"/>
      <c r="BL273" s="461"/>
      <c r="BM273" s="461"/>
      <c r="BN273" s="462"/>
      <c r="BO273" s="463"/>
      <c r="BP273" s="81" t="str">
        <f>IF(F273&gt;$F$18,"",IF(BO273&lt;&gt;"","",IF(ISNA(VLOOKUP('I. Stream &amp; Compound Data'!H273,'Potency Factors '!D$4:E$55,2,FALSE))=TRUE,0,VLOOKUP('I. Stream &amp; Compound Data'!H273,'Potency Factors '!D$4:E$55,2,FALSE))))</f>
        <v/>
      </c>
      <c r="BQ273" s="456"/>
      <c r="BR273" s="81" t="str">
        <f>IF(F273&gt;$F$18,"",IF(BQ273&lt;&gt;"","",IF(ISNA(VLOOKUP('I. Stream &amp; Compound Data'!H273,'Potency Factors '!D$68:E$167,2,FALSE))=TRUE,0,VLOOKUP('I. Stream &amp; Compound Data'!H273,'Potency Factors '!D$68:E$167,2,FALSE))))</f>
        <v/>
      </c>
      <c r="BS273" s="456"/>
      <c r="BT273" s="81" t="str">
        <f>IF(F273&gt;$F$18,"",IF(BS273&lt;&gt;"","",IF(ISNA(VLOOKUP('I. Stream &amp; Compound Data'!H273,'Potency Factors '!$D$412:$F$473,3,FALSE))=TRUE,0,VLOOKUP('I. Stream &amp; Compound Data'!H273,'Potency Factors '!$D$412:$F$473,3,FALSE))))</f>
        <v/>
      </c>
      <c r="BU273" s="456"/>
      <c r="BV273" s="81" t="str">
        <f>IF(F273&gt;$F$18,"",IF(BU273&lt;&gt;"","",IF(ISNA(VLOOKUP('I. Stream &amp; Compound Data'!H273,'Potency Factors '!D$180:E$185,2,FALSE))=TRUE,0,VLOOKUP('I. Stream &amp; Compound Data'!H273,'Potency Factors '!D$180:E$185,2,FALSE))))</f>
        <v/>
      </c>
      <c r="BW273" s="83"/>
      <c r="BX273" s="82" t="str">
        <f t="shared" si="476"/>
        <v/>
      </c>
      <c r="BY273" s="83"/>
      <c r="BZ273" s="82" t="str">
        <f t="shared" si="466"/>
        <v/>
      </c>
      <c r="CA273" s="83"/>
      <c r="CB273" s="462"/>
      <c r="CC273" s="82" t="str">
        <f t="shared" si="467"/>
        <v/>
      </c>
      <c r="CD273" s="456"/>
      <c r="CE273" s="81" t="str">
        <f>IF(F273&gt;$F$18,"",IF(CD273&lt;&gt;"","",IF(ISNA(VLOOKUP('I. Stream &amp; Compound Data'!H273,'Potency Factors '!D$224:F$345,3,FALSE))=TRUE,0,VLOOKUP('I. Stream &amp; Compound Data'!H273,'Potency Factors '!D$224:F$345,3,FALSE))))</f>
        <v/>
      </c>
      <c r="CF273" s="456"/>
      <c r="CG273" s="81" t="str">
        <f>IF(F273&gt;$F$18,"",IF(CF273&lt;&gt;"","",IF(ISNA(VLOOKUP('I. Stream &amp; Compound Data'!H273,'Potency Factors '!D$361:F$374,3,FALSE))=TRUE,0,VLOOKUP('I. Stream &amp; Compound Data'!H273,'Potency Factors '!D$361:F$374,3,FALSE))))</f>
        <v/>
      </c>
      <c r="CH273" s="83"/>
      <c r="CI273" s="83"/>
      <c r="CJ273" s="83"/>
      <c r="CK273" s="83"/>
      <c r="CL273" s="83"/>
      <c r="CM273" s="83"/>
      <c r="CN273" s="83"/>
      <c r="CO273" s="83"/>
      <c r="CP273" s="83" t="str">
        <f t="shared" si="468"/>
        <v/>
      </c>
      <c r="CQ273" s="456"/>
      <c r="CR273" s="81" t="str">
        <f>IF(F273&gt;$F$18,"",IF(CQ273&lt;&gt;"","",IF(ISNA(VLOOKUP('I. Stream &amp; Compound Data'!H273,'Potency Factors '!D$387:E$399,2,FALSE))=FALSE,VLOOKUP('I. Stream &amp; Compound Data'!H273,'Potency Factors '!D$387:E$399,2,FALSE),IF(ISNUMBER(SEARCH("phosphate",G273))=TRUE,1,IF(ISNUMBER(SEARCH("nitrate",G273))=TRUE,0.1,0)))))</f>
        <v/>
      </c>
      <c r="CS273" s="456"/>
      <c r="CT273" s="84" t="str">
        <f>IF(F273&gt;$F$18,"",IF(CS273&lt;&gt;"","",IF(ISNA(VLOOKUP('I. Stream &amp; Compound Data'!H273,'Potency Factors '!$D$485:$F$558,3,FALSE))=TRUE,0,VLOOKUP('I. Stream &amp; Compound Data'!H273,'Potency Factors '!$D$485:$F$558,3,FALSE))))</f>
        <v/>
      </c>
      <c r="CU273" s="729"/>
    </row>
    <row r="274" spans="2:99" ht="23.25" customHeight="1" x14ac:dyDescent="0.2">
      <c r="B274" s="716"/>
      <c r="C274" s="717"/>
      <c r="D274" s="717"/>
      <c r="E274" s="717"/>
      <c r="F274" s="73">
        <f t="shared" si="469"/>
        <v>13</v>
      </c>
      <c r="G274" s="74" t="str">
        <f t="shared" si="459"/>
        <v/>
      </c>
      <c r="H274" s="75" t="str">
        <f t="shared" si="460"/>
        <v/>
      </c>
      <c r="I274" s="75" t="str">
        <f t="shared" si="461"/>
        <v/>
      </c>
      <c r="J274" s="76" t="str">
        <f t="shared" si="462"/>
        <v/>
      </c>
      <c r="K274" s="450"/>
      <c r="L274" s="77" t="str">
        <f t="shared" ref="L274:L311" si="478">IF(F44&lt;&gt;"",SUM(H44+Q44+T44+K44+N44+W44+Z44+AC44+AF44+AI44+AL44+AO44+AR44+AU44+AX44+BA44+BD44+BG44+BJ44+BM44+BP44+BS44+BV44+BY44+CB44+CE44+CH44+CK44+CN44+CQ44+CT44+CW44+CZ44+DC44+DF44+DI44+DL44+DO44+DR44+DU44),"")</f>
        <v/>
      </c>
      <c r="M274" s="77" t="str">
        <f t="shared" si="471"/>
        <v/>
      </c>
      <c r="N274" s="77" t="str">
        <f t="shared" si="472"/>
        <v/>
      </c>
      <c r="O274" s="77" t="str">
        <f t="shared" si="473"/>
        <v/>
      </c>
      <c r="P274" s="78" t="str">
        <f t="shared" si="474"/>
        <v/>
      </c>
      <c r="Q274" s="79" t="str">
        <f t="shared" si="477"/>
        <v/>
      </c>
      <c r="R274" s="450"/>
      <c r="S274" s="426"/>
      <c r="T274" s="451"/>
      <c r="U274" s="450"/>
      <c r="V274" s="426"/>
      <c r="W274" s="80" t="str">
        <f t="shared" si="475"/>
        <v/>
      </c>
      <c r="X274" s="452"/>
      <c r="Y274" s="450"/>
      <c r="Z274" s="426"/>
      <c r="AA274" s="426"/>
      <c r="AB274" s="454"/>
      <c r="AC274" s="81"/>
      <c r="AD274" s="77"/>
      <c r="AE274" s="77"/>
      <c r="AF274" s="454"/>
      <c r="AG274" s="453"/>
      <c r="AH274" s="426"/>
      <c r="AI274" s="77"/>
      <c r="AJ274" s="426"/>
      <c r="AK274" s="77"/>
      <c r="AL274" s="96"/>
      <c r="AM274" s="450"/>
      <c r="AN274" s="426"/>
      <c r="AO274" s="426"/>
      <c r="AP274" s="455"/>
      <c r="AQ274" s="81" t="str">
        <f t="shared" si="463"/>
        <v/>
      </c>
      <c r="AR274" s="456"/>
      <c r="AS274" s="81" t="str">
        <f t="shared" si="464"/>
        <v/>
      </c>
      <c r="AT274" s="456"/>
      <c r="AU274" s="81" t="str">
        <f t="shared" si="465"/>
        <v/>
      </c>
      <c r="AV274" s="75"/>
      <c r="AW274" s="75"/>
      <c r="AX274" s="454"/>
      <c r="AY274" s="453"/>
      <c r="AZ274" s="462"/>
      <c r="BA274" s="77"/>
      <c r="BB274" s="457"/>
      <c r="BC274" s="77"/>
      <c r="BD274" s="458"/>
      <c r="BE274" s="95"/>
      <c r="BF274" s="82"/>
      <c r="BG274" s="459"/>
      <c r="BH274" s="459"/>
      <c r="BI274" s="77"/>
      <c r="BJ274" s="454"/>
      <c r="BK274" s="460"/>
      <c r="BL274" s="461"/>
      <c r="BM274" s="461"/>
      <c r="BN274" s="462"/>
      <c r="BO274" s="463"/>
      <c r="BP274" s="81" t="str">
        <f>IF(F274&gt;$F$18,"",IF(BO274&lt;&gt;"","",IF(ISNA(VLOOKUP('I. Stream &amp; Compound Data'!H274,'Potency Factors '!D$4:E$55,2,FALSE))=TRUE,0,VLOOKUP('I. Stream &amp; Compound Data'!H274,'Potency Factors '!D$4:E$55,2,FALSE))))</f>
        <v/>
      </c>
      <c r="BQ274" s="456"/>
      <c r="BR274" s="81" t="str">
        <f>IF(F274&gt;$F$18,"",IF(BQ274&lt;&gt;"","",IF(ISNA(VLOOKUP('I. Stream &amp; Compound Data'!H274,'Potency Factors '!D$68:E$167,2,FALSE))=TRUE,0,VLOOKUP('I. Stream &amp; Compound Data'!H274,'Potency Factors '!D$68:E$167,2,FALSE))))</f>
        <v/>
      </c>
      <c r="BS274" s="456"/>
      <c r="BT274" s="81" t="str">
        <f>IF(F274&gt;$F$18,"",IF(BS274&lt;&gt;"","",IF(ISNA(VLOOKUP('I. Stream &amp; Compound Data'!H274,'Potency Factors '!$D$412:$F$473,3,FALSE))=TRUE,0,VLOOKUP('I. Stream &amp; Compound Data'!H274,'Potency Factors '!$D$412:$F$473,3,FALSE))))</f>
        <v/>
      </c>
      <c r="BU274" s="456"/>
      <c r="BV274" s="81" t="str">
        <f>IF(F274&gt;$F$18,"",IF(BU274&lt;&gt;"","",IF(ISNA(VLOOKUP('I. Stream &amp; Compound Data'!H274,'Potency Factors '!D$180:E$185,2,FALSE))=TRUE,0,VLOOKUP('I. Stream &amp; Compound Data'!H274,'Potency Factors '!D$180:E$185,2,FALSE))))</f>
        <v/>
      </c>
      <c r="BW274" s="83"/>
      <c r="BX274" s="82" t="str">
        <f t="shared" si="476"/>
        <v/>
      </c>
      <c r="BY274" s="83"/>
      <c r="BZ274" s="82" t="str">
        <f t="shared" si="466"/>
        <v/>
      </c>
      <c r="CA274" s="83"/>
      <c r="CB274" s="462"/>
      <c r="CC274" s="82" t="str">
        <f t="shared" si="467"/>
        <v/>
      </c>
      <c r="CD274" s="456"/>
      <c r="CE274" s="81" t="str">
        <f>IF(F274&gt;$F$18,"",IF(CD274&lt;&gt;"","",IF(ISNA(VLOOKUP('I. Stream &amp; Compound Data'!H274,'Potency Factors '!D$224:F$345,3,FALSE))=TRUE,0,VLOOKUP('I. Stream &amp; Compound Data'!H274,'Potency Factors '!D$224:F$345,3,FALSE))))</f>
        <v/>
      </c>
      <c r="CF274" s="456"/>
      <c r="CG274" s="81" t="str">
        <f>IF(F274&gt;$F$18,"",IF(CF274&lt;&gt;"","",IF(ISNA(VLOOKUP('I. Stream &amp; Compound Data'!H274,'Potency Factors '!D$361:F$374,3,FALSE))=TRUE,0,VLOOKUP('I. Stream &amp; Compound Data'!H274,'Potency Factors '!D$361:F$374,3,FALSE))))</f>
        <v/>
      </c>
      <c r="CH274" s="83"/>
      <c r="CI274" s="83"/>
      <c r="CJ274" s="83"/>
      <c r="CK274" s="83"/>
      <c r="CL274" s="83"/>
      <c r="CM274" s="83"/>
      <c r="CN274" s="83"/>
      <c r="CO274" s="83"/>
      <c r="CP274" s="83" t="str">
        <f t="shared" si="468"/>
        <v/>
      </c>
      <c r="CQ274" s="456"/>
      <c r="CR274" s="81" t="str">
        <f>IF(F274&gt;$F$18,"",IF(CQ274&lt;&gt;"","",IF(ISNA(VLOOKUP('I. Stream &amp; Compound Data'!H274,'Potency Factors '!D$387:E$399,2,FALSE))=FALSE,VLOOKUP('I. Stream &amp; Compound Data'!H274,'Potency Factors '!D$387:E$399,2,FALSE),IF(ISNUMBER(SEARCH("phosphate",G274))=TRUE,1,IF(ISNUMBER(SEARCH("nitrate",G274))=TRUE,0.1,0)))))</f>
        <v/>
      </c>
      <c r="CS274" s="456"/>
      <c r="CT274" s="84" t="str">
        <f>IF(F274&gt;$F$18,"",IF(CS274&lt;&gt;"","",IF(ISNA(VLOOKUP('I. Stream &amp; Compound Data'!H274,'Potency Factors '!$D$485:$F$558,3,FALSE))=TRUE,0,VLOOKUP('I. Stream &amp; Compound Data'!H274,'Potency Factors '!$D$485:$F$558,3,FALSE))))</f>
        <v/>
      </c>
      <c r="CU274" s="729"/>
    </row>
    <row r="275" spans="2:99" ht="23.25" customHeight="1" x14ac:dyDescent="0.2">
      <c r="B275" s="716"/>
      <c r="C275" s="717"/>
      <c r="D275" s="717"/>
      <c r="E275" s="717"/>
      <c r="F275" s="73">
        <f t="shared" si="469"/>
        <v>14</v>
      </c>
      <c r="G275" s="74" t="str">
        <f t="shared" si="459"/>
        <v/>
      </c>
      <c r="H275" s="75" t="str">
        <f t="shared" si="460"/>
        <v/>
      </c>
      <c r="I275" s="75" t="str">
        <f t="shared" si="461"/>
        <v/>
      </c>
      <c r="J275" s="76" t="str">
        <f t="shared" si="462"/>
        <v/>
      </c>
      <c r="K275" s="450"/>
      <c r="L275" s="77" t="str">
        <f t="shared" si="478"/>
        <v/>
      </c>
      <c r="M275" s="77" t="str">
        <f t="shared" si="471"/>
        <v/>
      </c>
      <c r="N275" s="77" t="str">
        <f t="shared" si="472"/>
        <v/>
      </c>
      <c r="O275" s="77" t="str">
        <f t="shared" si="473"/>
        <v/>
      </c>
      <c r="P275" s="78" t="str">
        <f t="shared" si="474"/>
        <v/>
      </c>
      <c r="Q275" s="79" t="str">
        <f t="shared" si="477"/>
        <v/>
      </c>
      <c r="R275" s="450"/>
      <c r="S275" s="426"/>
      <c r="T275" s="451"/>
      <c r="U275" s="450"/>
      <c r="V275" s="426"/>
      <c r="W275" s="80" t="str">
        <f t="shared" si="475"/>
        <v/>
      </c>
      <c r="X275" s="452"/>
      <c r="Y275" s="450"/>
      <c r="Z275" s="426"/>
      <c r="AA275" s="426"/>
      <c r="AB275" s="454"/>
      <c r="AC275" s="81"/>
      <c r="AD275" s="77"/>
      <c r="AE275" s="77"/>
      <c r="AF275" s="454"/>
      <c r="AG275" s="453"/>
      <c r="AH275" s="426"/>
      <c r="AI275" s="77"/>
      <c r="AJ275" s="426"/>
      <c r="AK275" s="77"/>
      <c r="AL275" s="96"/>
      <c r="AM275" s="450"/>
      <c r="AN275" s="426"/>
      <c r="AO275" s="426"/>
      <c r="AP275" s="455"/>
      <c r="AQ275" s="81" t="str">
        <f t="shared" si="463"/>
        <v/>
      </c>
      <c r="AR275" s="456"/>
      <c r="AS275" s="81" t="str">
        <f t="shared" si="464"/>
        <v/>
      </c>
      <c r="AT275" s="456"/>
      <c r="AU275" s="81" t="str">
        <f t="shared" si="465"/>
        <v/>
      </c>
      <c r="AV275" s="75"/>
      <c r="AW275" s="75"/>
      <c r="AX275" s="454"/>
      <c r="AY275" s="453"/>
      <c r="AZ275" s="462"/>
      <c r="BA275" s="77"/>
      <c r="BB275" s="457"/>
      <c r="BC275" s="77"/>
      <c r="BD275" s="458"/>
      <c r="BE275" s="95"/>
      <c r="BF275" s="82"/>
      <c r="BG275" s="459"/>
      <c r="BH275" s="459"/>
      <c r="BI275" s="77"/>
      <c r="BJ275" s="454"/>
      <c r="BK275" s="460"/>
      <c r="BL275" s="461"/>
      <c r="BM275" s="461"/>
      <c r="BN275" s="462"/>
      <c r="BO275" s="463"/>
      <c r="BP275" s="81" t="str">
        <f>IF(F275&gt;$F$18,"",IF(BO275&lt;&gt;"","",IF(ISNA(VLOOKUP('I. Stream &amp; Compound Data'!H275,'Potency Factors '!D$4:E$55,2,FALSE))=TRUE,0,VLOOKUP('I. Stream &amp; Compound Data'!H275,'Potency Factors '!D$4:E$55,2,FALSE))))</f>
        <v/>
      </c>
      <c r="BQ275" s="456"/>
      <c r="BR275" s="81" t="str">
        <f>IF(F275&gt;$F$18,"",IF(BQ275&lt;&gt;"","",IF(ISNA(VLOOKUP('I. Stream &amp; Compound Data'!H275,'Potency Factors '!D$68:E$167,2,FALSE))=TRUE,0,VLOOKUP('I. Stream &amp; Compound Data'!H275,'Potency Factors '!D$68:E$167,2,FALSE))))</f>
        <v/>
      </c>
      <c r="BS275" s="456"/>
      <c r="BT275" s="81" t="str">
        <f>IF(F275&gt;$F$18,"",IF(BS275&lt;&gt;"","",IF(ISNA(VLOOKUP('I. Stream &amp; Compound Data'!H275,'Potency Factors '!$D$412:$F$473,3,FALSE))=TRUE,0,VLOOKUP('I. Stream &amp; Compound Data'!H275,'Potency Factors '!$D$412:$F$473,3,FALSE))))</f>
        <v/>
      </c>
      <c r="BU275" s="456"/>
      <c r="BV275" s="81" t="str">
        <f>IF(F275&gt;$F$18,"",IF(BU275&lt;&gt;"","",IF(ISNA(VLOOKUP('I. Stream &amp; Compound Data'!H275,'Potency Factors '!D$180:E$185,2,FALSE))=TRUE,0,VLOOKUP('I. Stream &amp; Compound Data'!H275,'Potency Factors '!D$180:E$185,2,FALSE))))</f>
        <v/>
      </c>
      <c r="BW275" s="83"/>
      <c r="BX275" s="82" t="str">
        <f t="shared" si="476"/>
        <v/>
      </c>
      <c r="BY275" s="83"/>
      <c r="BZ275" s="82" t="str">
        <f t="shared" si="466"/>
        <v/>
      </c>
      <c r="CA275" s="83"/>
      <c r="CB275" s="462"/>
      <c r="CC275" s="82" t="str">
        <f t="shared" si="467"/>
        <v/>
      </c>
      <c r="CD275" s="456"/>
      <c r="CE275" s="81" t="str">
        <f>IF(F275&gt;$F$18,"",IF(CD275&lt;&gt;"","",IF(ISNA(VLOOKUP('I. Stream &amp; Compound Data'!H275,'Potency Factors '!D$224:F$345,3,FALSE))=TRUE,0,VLOOKUP('I. Stream &amp; Compound Data'!H275,'Potency Factors '!D$224:F$345,3,FALSE))))</f>
        <v/>
      </c>
      <c r="CF275" s="456"/>
      <c r="CG275" s="81" t="str">
        <f>IF(F275&gt;$F$18,"",IF(CF275&lt;&gt;"","",IF(ISNA(VLOOKUP('I. Stream &amp; Compound Data'!H275,'Potency Factors '!D$361:F$374,3,FALSE))=TRUE,0,VLOOKUP('I. Stream &amp; Compound Data'!H275,'Potency Factors '!D$361:F$374,3,FALSE))))</f>
        <v/>
      </c>
      <c r="CH275" s="83"/>
      <c r="CI275" s="83"/>
      <c r="CJ275" s="83"/>
      <c r="CK275" s="83"/>
      <c r="CL275" s="83"/>
      <c r="CM275" s="83"/>
      <c r="CN275" s="83"/>
      <c r="CO275" s="83"/>
      <c r="CP275" s="83" t="str">
        <f t="shared" si="468"/>
        <v/>
      </c>
      <c r="CQ275" s="456"/>
      <c r="CR275" s="81" t="str">
        <f>IF(F275&gt;$F$18,"",IF(CQ275&lt;&gt;"","",IF(ISNA(VLOOKUP('I. Stream &amp; Compound Data'!H275,'Potency Factors '!D$387:E$399,2,FALSE))=FALSE,VLOOKUP('I. Stream &amp; Compound Data'!H275,'Potency Factors '!D$387:E$399,2,FALSE),IF(ISNUMBER(SEARCH("phosphate",G275))=TRUE,1,IF(ISNUMBER(SEARCH("nitrate",G275))=TRUE,0.1,0)))))</f>
        <v/>
      </c>
      <c r="CS275" s="456"/>
      <c r="CT275" s="84" t="str">
        <f>IF(F275&gt;$F$18,"",IF(CS275&lt;&gt;"","",IF(ISNA(VLOOKUP('I. Stream &amp; Compound Data'!H275,'Potency Factors '!$D$485:$F$558,3,FALSE))=TRUE,0,VLOOKUP('I. Stream &amp; Compound Data'!H275,'Potency Factors '!$D$485:$F$558,3,FALSE))))</f>
        <v/>
      </c>
      <c r="CU275" s="729"/>
    </row>
    <row r="276" spans="2:99" ht="23.25" customHeight="1" x14ac:dyDescent="0.2">
      <c r="B276" s="716"/>
      <c r="C276" s="717"/>
      <c r="D276" s="717"/>
      <c r="E276" s="717"/>
      <c r="F276" s="73">
        <f t="shared" si="469"/>
        <v>15</v>
      </c>
      <c r="G276" s="74" t="str">
        <f t="shared" si="459"/>
        <v/>
      </c>
      <c r="H276" s="75" t="str">
        <f t="shared" si="460"/>
        <v/>
      </c>
      <c r="I276" s="75" t="str">
        <f t="shared" si="461"/>
        <v/>
      </c>
      <c r="J276" s="76" t="str">
        <f t="shared" si="462"/>
        <v/>
      </c>
      <c r="K276" s="450"/>
      <c r="L276" s="77" t="str">
        <f t="shared" si="478"/>
        <v/>
      </c>
      <c r="M276" s="77" t="str">
        <f t="shared" si="471"/>
        <v/>
      </c>
      <c r="N276" s="77" t="str">
        <f t="shared" si="472"/>
        <v/>
      </c>
      <c r="O276" s="77" t="str">
        <f t="shared" si="473"/>
        <v/>
      </c>
      <c r="P276" s="78" t="str">
        <f t="shared" si="474"/>
        <v/>
      </c>
      <c r="Q276" s="79" t="str">
        <f t="shared" si="477"/>
        <v/>
      </c>
      <c r="R276" s="450"/>
      <c r="S276" s="426"/>
      <c r="T276" s="451"/>
      <c r="U276" s="450"/>
      <c r="V276" s="426"/>
      <c r="W276" s="80" t="str">
        <f t="shared" si="475"/>
        <v/>
      </c>
      <c r="X276" s="452"/>
      <c r="Y276" s="450"/>
      <c r="Z276" s="426"/>
      <c r="AA276" s="426"/>
      <c r="AB276" s="454"/>
      <c r="AC276" s="81"/>
      <c r="AD276" s="77"/>
      <c r="AE276" s="77"/>
      <c r="AF276" s="454"/>
      <c r="AG276" s="453"/>
      <c r="AH276" s="426"/>
      <c r="AI276" s="77"/>
      <c r="AJ276" s="426"/>
      <c r="AK276" s="77"/>
      <c r="AL276" s="96"/>
      <c r="AM276" s="450"/>
      <c r="AN276" s="426"/>
      <c r="AO276" s="426"/>
      <c r="AP276" s="455"/>
      <c r="AQ276" s="81" t="str">
        <f t="shared" si="463"/>
        <v/>
      </c>
      <c r="AR276" s="456"/>
      <c r="AS276" s="81" t="str">
        <f t="shared" si="464"/>
        <v/>
      </c>
      <c r="AT276" s="456"/>
      <c r="AU276" s="81" t="str">
        <f t="shared" si="465"/>
        <v/>
      </c>
      <c r="AV276" s="75"/>
      <c r="AW276" s="75"/>
      <c r="AX276" s="454"/>
      <c r="AY276" s="453"/>
      <c r="AZ276" s="462"/>
      <c r="BA276" s="77"/>
      <c r="BB276" s="457"/>
      <c r="BC276" s="77"/>
      <c r="BD276" s="458"/>
      <c r="BE276" s="95"/>
      <c r="BF276" s="82"/>
      <c r="BG276" s="459"/>
      <c r="BH276" s="459"/>
      <c r="BI276" s="77"/>
      <c r="BJ276" s="454"/>
      <c r="BK276" s="460"/>
      <c r="BL276" s="461"/>
      <c r="BM276" s="461"/>
      <c r="BN276" s="462"/>
      <c r="BO276" s="463"/>
      <c r="BP276" s="81" t="str">
        <f>IF(F276&gt;$F$18,"",IF(BO276&lt;&gt;"","",IF(ISNA(VLOOKUP('I. Stream &amp; Compound Data'!H276,'Potency Factors '!D$4:E$55,2,FALSE))=TRUE,0,VLOOKUP('I. Stream &amp; Compound Data'!H276,'Potency Factors '!D$4:E$55,2,FALSE))))</f>
        <v/>
      </c>
      <c r="BQ276" s="456"/>
      <c r="BR276" s="81" t="str">
        <f>IF(F276&gt;$F$18,"",IF(BQ276&lt;&gt;"","",IF(ISNA(VLOOKUP('I. Stream &amp; Compound Data'!H276,'Potency Factors '!D$68:E$167,2,FALSE))=TRUE,0,VLOOKUP('I. Stream &amp; Compound Data'!H276,'Potency Factors '!D$68:E$167,2,FALSE))))</f>
        <v/>
      </c>
      <c r="BS276" s="456"/>
      <c r="BT276" s="81" t="str">
        <f>IF(F276&gt;$F$18,"",IF(BS276&lt;&gt;"","",IF(ISNA(VLOOKUP('I. Stream &amp; Compound Data'!H276,'Potency Factors '!$D$412:$F$473,3,FALSE))=TRUE,0,VLOOKUP('I. Stream &amp; Compound Data'!H276,'Potency Factors '!$D$412:$F$473,3,FALSE))))</f>
        <v/>
      </c>
      <c r="BU276" s="456"/>
      <c r="BV276" s="81" t="str">
        <f>IF(F276&gt;$F$18,"",IF(BU276&lt;&gt;"","",IF(ISNA(VLOOKUP('I. Stream &amp; Compound Data'!H276,'Potency Factors '!D$180:E$185,2,FALSE))=TRUE,0,VLOOKUP('I. Stream &amp; Compound Data'!H276,'Potency Factors '!D$180:E$185,2,FALSE))))</f>
        <v/>
      </c>
      <c r="BW276" s="83"/>
      <c r="BX276" s="82" t="str">
        <f t="shared" si="476"/>
        <v/>
      </c>
      <c r="BY276" s="83"/>
      <c r="BZ276" s="82" t="str">
        <f t="shared" si="466"/>
        <v/>
      </c>
      <c r="CA276" s="83"/>
      <c r="CB276" s="462"/>
      <c r="CC276" s="82" t="str">
        <f t="shared" si="467"/>
        <v/>
      </c>
      <c r="CD276" s="456"/>
      <c r="CE276" s="81" t="str">
        <f>IF(F276&gt;$F$18,"",IF(CD276&lt;&gt;"","",IF(ISNA(VLOOKUP('I. Stream &amp; Compound Data'!H276,'Potency Factors '!D$224:F$345,3,FALSE))=TRUE,0,VLOOKUP('I. Stream &amp; Compound Data'!H276,'Potency Factors '!D$224:F$345,3,FALSE))))</f>
        <v/>
      </c>
      <c r="CF276" s="456"/>
      <c r="CG276" s="81" t="str">
        <f>IF(F276&gt;$F$18,"",IF(CF276&lt;&gt;"","",IF(ISNA(VLOOKUP('I. Stream &amp; Compound Data'!H276,'Potency Factors '!D$361:F$374,3,FALSE))=TRUE,0,VLOOKUP('I. Stream &amp; Compound Data'!H276,'Potency Factors '!D$361:F$374,3,FALSE))))</f>
        <v/>
      </c>
      <c r="CH276" s="83"/>
      <c r="CI276" s="83"/>
      <c r="CJ276" s="83"/>
      <c r="CK276" s="83"/>
      <c r="CL276" s="83"/>
      <c r="CM276" s="83"/>
      <c r="CN276" s="83"/>
      <c r="CO276" s="83"/>
      <c r="CP276" s="83" t="str">
        <f t="shared" si="468"/>
        <v/>
      </c>
      <c r="CQ276" s="456"/>
      <c r="CR276" s="81" t="str">
        <f>IF(F276&gt;$F$18,"",IF(CQ276&lt;&gt;"","",IF(ISNA(VLOOKUP('I. Stream &amp; Compound Data'!H276,'Potency Factors '!D$387:E$399,2,FALSE))=FALSE,VLOOKUP('I. Stream &amp; Compound Data'!H276,'Potency Factors '!D$387:E$399,2,FALSE),IF(ISNUMBER(SEARCH("phosphate",G276))=TRUE,1,IF(ISNUMBER(SEARCH("nitrate",G276))=TRUE,0.1,0)))))</f>
        <v/>
      </c>
      <c r="CS276" s="456"/>
      <c r="CT276" s="84" t="str">
        <f>IF(F276&gt;$F$18,"",IF(CS276&lt;&gt;"","",IF(ISNA(VLOOKUP('I. Stream &amp; Compound Data'!H276,'Potency Factors '!$D$485:$F$558,3,FALSE))=TRUE,0,VLOOKUP('I. Stream &amp; Compound Data'!H276,'Potency Factors '!$D$485:$F$558,3,FALSE))))</f>
        <v/>
      </c>
      <c r="CU276" s="729"/>
    </row>
    <row r="277" spans="2:99" ht="23.25" customHeight="1" x14ac:dyDescent="0.2">
      <c r="B277" s="716"/>
      <c r="C277" s="717"/>
      <c r="D277" s="717"/>
      <c r="E277" s="717"/>
      <c r="F277" s="73">
        <f t="shared" si="469"/>
        <v>16</v>
      </c>
      <c r="G277" s="74" t="str">
        <f t="shared" si="459"/>
        <v/>
      </c>
      <c r="H277" s="75" t="str">
        <f t="shared" si="460"/>
        <v/>
      </c>
      <c r="I277" s="75" t="str">
        <f t="shared" si="461"/>
        <v/>
      </c>
      <c r="J277" s="76" t="str">
        <f t="shared" si="462"/>
        <v/>
      </c>
      <c r="K277" s="450"/>
      <c r="L277" s="77" t="str">
        <f t="shared" si="478"/>
        <v/>
      </c>
      <c r="M277" s="77" t="str">
        <f t="shared" si="471"/>
        <v/>
      </c>
      <c r="N277" s="77" t="str">
        <f t="shared" si="472"/>
        <v/>
      </c>
      <c r="O277" s="77" t="str">
        <f t="shared" si="473"/>
        <v/>
      </c>
      <c r="P277" s="78" t="str">
        <f t="shared" si="474"/>
        <v/>
      </c>
      <c r="Q277" s="79" t="str">
        <f t="shared" si="477"/>
        <v/>
      </c>
      <c r="R277" s="450"/>
      <c r="S277" s="426"/>
      <c r="T277" s="451"/>
      <c r="U277" s="450"/>
      <c r="V277" s="426"/>
      <c r="W277" s="80" t="str">
        <f t="shared" si="475"/>
        <v/>
      </c>
      <c r="X277" s="452"/>
      <c r="Y277" s="450"/>
      <c r="Z277" s="426"/>
      <c r="AA277" s="426"/>
      <c r="AB277" s="454"/>
      <c r="AC277" s="81"/>
      <c r="AD277" s="77"/>
      <c r="AE277" s="77"/>
      <c r="AF277" s="454"/>
      <c r="AG277" s="453"/>
      <c r="AH277" s="426"/>
      <c r="AI277" s="77"/>
      <c r="AJ277" s="426"/>
      <c r="AK277" s="77"/>
      <c r="AL277" s="96"/>
      <c r="AM277" s="450"/>
      <c r="AN277" s="426"/>
      <c r="AO277" s="426"/>
      <c r="AP277" s="455"/>
      <c r="AQ277" s="81" t="str">
        <f t="shared" si="463"/>
        <v/>
      </c>
      <c r="AR277" s="456"/>
      <c r="AS277" s="81" t="str">
        <f t="shared" si="464"/>
        <v/>
      </c>
      <c r="AT277" s="456"/>
      <c r="AU277" s="81" t="str">
        <f t="shared" si="465"/>
        <v/>
      </c>
      <c r="AV277" s="75"/>
      <c r="AW277" s="75"/>
      <c r="AX277" s="454"/>
      <c r="AY277" s="453"/>
      <c r="AZ277" s="462"/>
      <c r="BA277" s="77"/>
      <c r="BB277" s="457"/>
      <c r="BC277" s="77"/>
      <c r="BD277" s="458"/>
      <c r="BE277" s="95"/>
      <c r="BF277" s="82"/>
      <c r="BG277" s="459"/>
      <c r="BH277" s="459"/>
      <c r="BI277" s="77"/>
      <c r="BJ277" s="454"/>
      <c r="BK277" s="460"/>
      <c r="BL277" s="461"/>
      <c r="BM277" s="461"/>
      <c r="BN277" s="462"/>
      <c r="BO277" s="463"/>
      <c r="BP277" s="81" t="str">
        <f>IF(F277&gt;$F$18,"",IF(BO277&lt;&gt;"","",IF(ISNA(VLOOKUP('I. Stream &amp; Compound Data'!H277,'Potency Factors '!D$4:E$55,2,FALSE))=TRUE,0,VLOOKUP('I. Stream &amp; Compound Data'!H277,'Potency Factors '!D$4:E$55,2,FALSE))))</f>
        <v/>
      </c>
      <c r="BQ277" s="456"/>
      <c r="BR277" s="81" t="str">
        <f>IF(F277&gt;$F$18,"",IF(BQ277&lt;&gt;"","",IF(ISNA(VLOOKUP('I. Stream &amp; Compound Data'!H277,'Potency Factors '!D$68:E$167,2,FALSE))=TRUE,0,VLOOKUP('I. Stream &amp; Compound Data'!H277,'Potency Factors '!D$68:E$167,2,FALSE))))</f>
        <v/>
      </c>
      <c r="BS277" s="456"/>
      <c r="BT277" s="81" t="str">
        <f>IF(F277&gt;$F$18,"",IF(BS277&lt;&gt;"","",IF(ISNA(VLOOKUP('I. Stream &amp; Compound Data'!H277,'Potency Factors '!$D$412:$F$473,3,FALSE))=TRUE,0,VLOOKUP('I. Stream &amp; Compound Data'!H277,'Potency Factors '!$D$412:$F$473,3,FALSE))))</f>
        <v/>
      </c>
      <c r="BU277" s="456"/>
      <c r="BV277" s="81" t="str">
        <f>IF(F277&gt;$F$18,"",IF(BU277&lt;&gt;"","",IF(ISNA(VLOOKUP('I. Stream &amp; Compound Data'!H277,'Potency Factors '!D$180:E$185,2,FALSE))=TRUE,0,VLOOKUP('I. Stream &amp; Compound Data'!H277,'Potency Factors '!D$180:E$185,2,FALSE))))</f>
        <v/>
      </c>
      <c r="BW277" s="83"/>
      <c r="BX277" s="82" t="str">
        <f t="shared" si="476"/>
        <v/>
      </c>
      <c r="BY277" s="83"/>
      <c r="BZ277" s="82" t="str">
        <f t="shared" si="466"/>
        <v/>
      </c>
      <c r="CA277" s="83"/>
      <c r="CB277" s="462"/>
      <c r="CC277" s="82" t="str">
        <f t="shared" si="467"/>
        <v/>
      </c>
      <c r="CD277" s="456"/>
      <c r="CE277" s="81" t="str">
        <f>IF(F277&gt;$F$18,"",IF(CD277&lt;&gt;"","",IF(ISNA(VLOOKUP('I. Stream &amp; Compound Data'!H277,'Potency Factors '!D$224:F$345,3,FALSE))=TRUE,0,VLOOKUP('I. Stream &amp; Compound Data'!H277,'Potency Factors '!D$224:F$345,3,FALSE))))</f>
        <v/>
      </c>
      <c r="CF277" s="456"/>
      <c r="CG277" s="81" t="str">
        <f>IF(F277&gt;$F$18,"",IF(CF277&lt;&gt;"","",IF(ISNA(VLOOKUP('I. Stream &amp; Compound Data'!H277,'Potency Factors '!D$361:F$374,3,FALSE))=TRUE,0,VLOOKUP('I. Stream &amp; Compound Data'!H277,'Potency Factors '!D$361:F$374,3,FALSE))))</f>
        <v/>
      </c>
      <c r="CH277" s="83"/>
      <c r="CI277" s="83"/>
      <c r="CJ277" s="83"/>
      <c r="CK277" s="83"/>
      <c r="CL277" s="83"/>
      <c r="CM277" s="83"/>
      <c r="CN277" s="83"/>
      <c r="CO277" s="83"/>
      <c r="CP277" s="83" t="str">
        <f t="shared" si="468"/>
        <v/>
      </c>
      <c r="CQ277" s="456"/>
      <c r="CR277" s="81" t="str">
        <f>IF(F277&gt;$F$18,"",IF(CQ277&lt;&gt;"","",IF(ISNA(VLOOKUP('I. Stream &amp; Compound Data'!H277,'Potency Factors '!D$387:E$399,2,FALSE))=FALSE,VLOOKUP('I. Stream &amp; Compound Data'!H277,'Potency Factors '!D$387:E$399,2,FALSE),IF(ISNUMBER(SEARCH("phosphate",G277))=TRUE,1,IF(ISNUMBER(SEARCH("nitrate",G277))=TRUE,0.1,0)))))</f>
        <v/>
      </c>
      <c r="CS277" s="456"/>
      <c r="CT277" s="84" t="str">
        <f>IF(F277&gt;$F$18,"",IF(CS277&lt;&gt;"","",IF(ISNA(VLOOKUP('I. Stream &amp; Compound Data'!H277,'Potency Factors '!$D$485:$F$558,3,FALSE))=TRUE,0,VLOOKUP('I. Stream &amp; Compound Data'!H277,'Potency Factors '!$D$485:$F$558,3,FALSE))))</f>
        <v/>
      </c>
      <c r="CU277" s="729"/>
    </row>
    <row r="278" spans="2:99" ht="23.25" customHeight="1" x14ac:dyDescent="0.2">
      <c r="B278" s="716"/>
      <c r="C278" s="717"/>
      <c r="D278" s="717"/>
      <c r="E278" s="717"/>
      <c r="F278" s="73">
        <f t="shared" si="469"/>
        <v>17</v>
      </c>
      <c r="G278" s="74" t="str">
        <f t="shared" si="459"/>
        <v/>
      </c>
      <c r="H278" s="75" t="str">
        <f t="shared" si="460"/>
        <v/>
      </c>
      <c r="I278" s="75" t="str">
        <f t="shared" si="461"/>
        <v/>
      </c>
      <c r="J278" s="76" t="str">
        <f t="shared" si="462"/>
        <v/>
      </c>
      <c r="K278" s="450"/>
      <c r="L278" s="77" t="str">
        <f t="shared" si="478"/>
        <v/>
      </c>
      <c r="M278" s="77" t="str">
        <f t="shared" si="471"/>
        <v/>
      </c>
      <c r="N278" s="77" t="str">
        <f t="shared" si="472"/>
        <v/>
      </c>
      <c r="O278" s="77" t="str">
        <f t="shared" si="473"/>
        <v/>
      </c>
      <c r="P278" s="78" t="str">
        <f t="shared" si="474"/>
        <v/>
      </c>
      <c r="Q278" s="79" t="str">
        <f t="shared" si="477"/>
        <v/>
      </c>
      <c r="R278" s="450"/>
      <c r="S278" s="426"/>
      <c r="T278" s="451"/>
      <c r="U278" s="450"/>
      <c r="V278" s="426"/>
      <c r="W278" s="80" t="str">
        <f t="shared" si="475"/>
        <v/>
      </c>
      <c r="X278" s="452"/>
      <c r="Y278" s="450"/>
      <c r="Z278" s="426"/>
      <c r="AA278" s="426"/>
      <c r="AB278" s="454"/>
      <c r="AC278" s="81"/>
      <c r="AD278" s="77"/>
      <c r="AE278" s="77"/>
      <c r="AF278" s="454"/>
      <c r="AG278" s="453"/>
      <c r="AH278" s="426"/>
      <c r="AI278" s="77"/>
      <c r="AJ278" s="426"/>
      <c r="AK278" s="77"/>
      <c r="AL278" s="96"/>
      <c r="AM278" s="450"/>
      <c r="AN278" s="426"/>
      <c r="AO278" s="426"/>
      <c r="AP278" s="455"/>
      <c r="AQ278" s="81" t="str">
        <f t="shared" si="463"/>
        <v/>
      </c>
      <c r="AR278" s="456"/>
      <c r="AS278" s="81" t="str">
        <f t="shared" si="464"/>
        <v/>
      </c>
      <c r="AT278" s="456"/>
      <c r="AU278" s="81" t="str">
        <f t="shared" si="465"/>
        <v/>
      </c>
      <c r="AV278" s="75"/>
      <c r="AW278" s="75"/>
      <c r="AX278" s="454"/>
      <c r="AY278" s="453"/>
      <c r="AZ278" s="462"/>
      <c r="BA278" s="77"/>
      <c r="BB278" s="457"/>
      <c r="BC278" s="77"/>
      <c r="BD278" s="458"/>
      <c r="BE278" s="95"/>
      <c r="BF278" s="82"/>
      <c r="BG278" s="459"/>
      <c r="BH278" s="459"/>
      <c r="BI278" s="77"/>
      <c r="BJ278" s="454"/>
      <c r="BK278" s="460"/>
      <c r="BL278" s="461"/>
      <c r="BM278" s="461"/>
      <c r="BN278" s="462"/>
      <c r="BO278" s="463"/>
      <c r="BP278" s="81" t="str">
        <f>IF(F278&gt;$F$18,"",IF(BO278&lt;&gt;"","",IF(ISNA(VLOOKUP('I. Stream &amp; Compound Data'!H278,'Potency Factors '!D$4:E$55,2,FALSE))=TRUE,0,VLOOKUP('I. Stream &amp; Compound Data'!H278,'Potency Factors '!D$4:E$55,2,FALSE))))</f>
        <v/>
      </c>
      <c r="BQ278" s="456"/>
      <c r="BR278" s="81" t="str">
        <f>IF(F278&gt;$F$18,"",IF(BQ278&lt;&gt;"","",IF(ISNA(VLOOKUP('I. Stream &amp; Compound Data'!H278,'Potency Factors '!D$68:E$167,2,FALSE))=TRUE,0,VLOOKUP('I. Stream &amp; Compound Data'!H278,'Potency Factors '!D$68:E$167,2,FALSE))))</f>
        <v/>
      </c>
      <c r="BS278" s="456"/>
      <c r="BT278" s="81" t="str">
        <f>IF(F278&gt;$F$18,"",IF(BS278&lt;&gt;"","",IF(ISNA(VLOOKUP('I. Stream &amp; Compound Data'!H278,'Potency Factors '!$D$412:$F$473,3,FALSE))=TRUE,0,VLOOKUP('I. Stream &amp; Compound Data'!H278,'Potency Factors '!$D$412:$F$473,3,FALSE))))</f>
        <v/>
      </c>
      <c r="BU278" s="456"/>
      <c r="BV278" s="81" t="str">
        <f>IF(F278&gt;$F$18,"",IF(BU278&lt;&gt;"","",IF(ISNA(VLOOKUP('I. Stream &amp; Compound Data'!H278,'Potency Factors '!D$180:E$185,2,FALSE))=TRUE,0,VLOOKUP('I. Stream &amp; Compound Data'!H278,'Potency Factors '!D$180:E$185,2,FALSE))))</f>
        <v/>
      </c>
      <c r="BW278" s="83"/>
      <c r="BX278" s="82" t="str">
        <f t="shared" si="476"/>
        <v/>
      </c>
      <c r="BY278" s="83"/>
      <c r="BZ278" s="82" t="str">
        <f t="shared" si="466"/>
        <v/>
      </c>
      <c r="CA278" s="83"/>
      <c r="CB278" s="462"/>
      <c r="CC278" s="82" t="str">
        <f t="shared" si="467"/>
        <v/>
      </c>
      <c r="CD278" s="456"/>
      <c r="CE278" s="81" t="str">
        <f>IF(F278&gt;$F$18,"",IF(CD278&lt;&gt;"","",IF(ISNA(VLOOKUP('I. Stream &amp; Compound Data'!H278,'Potency Factors '!D$224:F$345,3,FALSE))=TRUE,0,VLOOKUP('I. Stream &amp; Compound Data'!H278,'Potency Factors '!D$224:F$345,3,FALSE))))</f>
        <v/>
      </c>
      <c r="CF278" s="456"/>
      <c r="CG278" s="81" t="str">
        <f>IF(F278&gt;$F$18,"",IF(CF278&lt;&gt;"","",IF(ISNA(VLOOKUP('I. Stream &amp; Compound Data'!H278,'Potency Factors '!D$361:F$374,3,FALSE))=TRUE,0,VLOOKUP('I. Stream &amp; Compound Data'!H278,'Potency Factors '!D$361:F$374,3,FALSE))))</f>
        <v/>
      </c>
      <c r="CH278" s="83"/>
      <c r="CI278" s="83"/>
      <c r="CJ278" s="83"/>
      <c r="CK278" s="83"/>
      <c r="CL278" s="83"/>
      <c r="CM278" s="83"/>
      <c r="CN278" s="83"/>
      <c r="CO278" s="83"/>
      <c r="CP278" s="83" t="str">
        <f t="shared" si="468"/>
        <v/>
      </c>
      <c r="CQ278" s="456"/>
      <c r="CR278" s="81" t="str">
        <f>IF(F278&gt;$F$18,"",IF(CQ278&lt;&gt;"","",IF(ISNA(VLOOKUP('I. Stream &amp; Compound Data'!H278,'Potency Factors '!D$387:E$399,2,FALSE))=FALSE,VLOOKUP('I. Stream &amp; Compound Data'!H278,'Potency Factors '!D$387:E$399,2,FALSE),IF(ISNUMBER(SEARCH("phosphate",G278))=TRUE,1,IF(ISNUMBER(SEARCH("nitrate",G278))=TRUE,0.1,0)))))</f>
        <v/>
      </c>
      <c r="CS278" s="456"/>
      <c r="CT278" s="84" t="str">
        <f>IF(F278&gt;$F$18,"",IF(CS278&lt;&gt;"","",IF(ISNA(VLOOKUP('I. Stream &amp; Compound Data'!H278,'Potency Factors '!$D$485:$F$558,3,FALSE))=TRUE,0,VLOOKUP('I. Stream &amp; Compound Data'!H278,'Potency Factors '!$D$485:$F$558,3,FALSE))))</f>
        <v/>
      </c>
      <c r="CU278" s="729"/>
    </row>
    <row r="279" spans="2:99" ht="23.25" customHeight="1" x14ac:dyDescent="0.2">
      <c r="B279" s="716"/>
      <c r="C279" s="717"/>
      <c r="D279" s="717"/>
      <c r="E279" s="717"/>
      <c r="F279" s="73">
        <f t="shared" si="469"/>
        <v>18</v>
      </c>
      <c r="G279" s="74" t="str">
        <f t="shared" si="459"/>
        <v/>
      </c>
      <c r="H279" s="75" t="str">
        <f t="shared" si="460"/>
        <v/>
      </c>
      <c r="I279" s="75" t="str">
        <f t="shared" si="461"/>
        <v/>
      </c>
      <c r="J279" s="76" t="str">
        <f t="shared" si="462"/>
        <v/>
      </c>
      <c r="K279" s="450"/>
      <c r="L279" s="77" t="str">
        <f t="shared" si="478"/>
        <v/>
      </c>
      <c r="M279" s="77" t="str">
        <f t="shared" si="471"/>
        <v/>
      </c>
      <c r="N279" s="77" t="str">
        <f t="shared" si="472"/>
        <v/>
      </c>
      <c r="O279" s="77" t="str">
        <f t="shared" si="473"/>
        <v/>
      </c>
      <c r="P279" s="78" t="str">
        <f t="shared" si="474"/>
        <v/>
      </c>
      <c r="Q279" s="79" t="str">
        <f t="shared" si="477"/>
        <v/>
      </c>
      <c r="R279" s="450"/>
      <c r="S279" s="426"/>
      <c r="T279" s="451"/>
      <c r="U279" s="450"/>
      <c r="V279" s="426"/>
      <c r="W279" s="80" t="str">
        <f t="shared" si="475"/>
        <v/>
      </c>
      <c r="X279" s="452"/>
      <c r="Y279" s="450"/>
      <c r="Z279" s="426"/>
      <c r="AA279" s="426"/>
      <c r="AB279" s="454"/>
      <c r="AC279" s="81"/>
      <c r="AD279" s="77"/>
      <c r="AE279" s="77"/>
      <c r="AF279" s="454"/>
      <c r="AG279" s="453"/>
      <c r="AH279" s="426"/>
      <c r="AI279" s="77"/>
      <c r="AJ279" s="426"/>
      <c r="AK279" s="77"/>
      <c r="AL279" s="96"/>
      <c r="AM279" s="450"/>
      <c r="AN279" s="426"/>
      <c r="AO279" s="426"/>
      <c r="AP279" s="455"/>
      <c r="AQ279" s="81" t="str">
        <f t="shared" si="463"/>
        <v/>
      </c>
      <c r="AR279" s="456"/>
      <c r="AS279" s="81" t="str">
        <f t="shared" si="464"/>
        <v/>
      </c>
      <c r="AT279" s="456"/>
      <c r="AU279" s="81" t="str">
        <f t="shared" si="465"/>
        <v/>
      </c>
      <c r="AV279" s="75"/>
      <c r="AW279" s="75"/>
      <c r="AX279" s="454"/>
      <c r="AY279" s="453"/>
      <c r="AZ279" s="462"/>
      <c r="BA279" s="77"/>
      <c r="BB279" s="457"/>
      <c r="BC279" s="77"/>
      <c r="BD279" s="458"/>
      <c r="BE279" s="95"/>
      <c r="BF279" s="82"/>
      <c r="BG279" s="459"/>
      <c r="BH279" s="459"/>
      <c r="BI279" s="77"/>
      <c r="BJ279" s="454"/>
      <c r="BK279" s="460"/>
      <c r="BL279" s="461"/>
      <c r="BM279" s="461"/>
      <c r="BN279" s="462"/>
      <c r="BO279" s="463"/>
      <c r="BP279" s="81" t="str">
        <f>IF(F279&gt;$F$18,"",IF(BO279&lt;&gt;"","",IF(ISNA(VLOOKUP('I. Stream &amp; Compound Data'!H279,'Potency Factors '!D$4:E$55,2,FALSE))=TRUE,0,VLOOKUP('I. Stream &amp; Compound Data'!H279,'Potency Factors '!D$4:E$55,2,FALSE))))</f>
        <v/>
      </c>
      <c r="BQ279" s="456"/>
      <c r="BR279" s="81" t="str">
        <f>IF(F279&gt;$F$18,"",IF(BQ279&lt;&gt;"","",IF(ISNA(VLOOKUP('I. Stream &amp; Compound Data'!H279,'Potency Factors '!D$68:E$167,2,FALSE))=TRUE,0,VLOOKUP('I. Stream &amp; Compound Data'!H279,'Potency Factors '!D$68:E$167,2,FALSE))))</f>
        <v/>
      </c>
      <c r="BS279" s="456"/>
      <c r="BT279" s="81" t="str">
        <f>IF(F279&gt;$F$18,"",IF(BS279&lt;&gt;"","",IF(ISNA(VLOOKUP('I. Stream &amp; Compound Data'!H279,'Potency Factors '!$D$412:$F$473,3,FALSE))=TRUE,0,VLOOKUP('I. Stream &amp; Compound Data'!H279,'Potency Factors '!$D$412:$F$473,3,FALSE))))</f>
        <v/>
      </c>
      <c r="BU279" s="456"/>
      <c r="BV279" s="81" t="str">
        <f>IF(F279&gt;$F$18,"",IF(BU279&lt;&gt;"","",IF(ISNA(VLOOKUP('I. Stream &amp; Compound Data'!H279,'Potency Factors '!D$180:E$185,2,FALSE))=TRUE,0,VLOOKUP('I. Stream &amp; Compound Data'!H279,'Potency Factors '!D$180:E$185,2,FALSE))))</f>
        <v/>
      </c>
      <c r="BW279" s="83"/>
      <c r="BX279" s="82" t="str">
        <f t="shared" si="476"/>
        <v/>
      </c>
      <c r="BY279" s="83"/>
      <c r="BZ279" s="82" t="str">
        <f t="shared" si="466"/>
        <v/>
      </c>
      <c r="CA279" s="83"/>
      <c r="CB279" s="462"/>
      <c r="CC279" s="82" t="str">
        <f t="shared" si="467"/>
        <v/>
      </c>
      <c r="CD279" s="456"/>
      <c r="CE279" s="81" t="str">
        <f>IF(F279&gt;$F$18,"",IF(CD279&lt;&gt;"","",IF(ISNA(VLOOKUP('I. Stream &amp; Compound Data'!H279,'Potency Factors '!D$224:F$345,3,FALSE))=TRUE,0,VLOOKUP('I. Stream &amp; Compound Data'!H279,'Potency Factors '!D$224:F$345,3,FALSE))))</f>
        <v/>
      </c>
      <c r="CF279" s="456"/>
      <c r="CG279" s="81" t="str">
        <f>IF(F279&gt;$F$18,"",IF(CF279&lt;&gt;"","",IF(ISNA(VLOOKUP('I. Stream &amp; Compound Data'!H279,'Potency Factors '!D$361:F$374,3,FALSE))=TRUE,0,VLOOKUP('I. Stream &amp; Compound Data'!H279,'Potency Factors '!D$361:F$374,3,FALSE))))</f>
        <v/>
      </c>
      <c r="CH279" s="83"/>
      <c r="CI279" s="83"/>
      <c r="CJ279" s="83"/>
      <c r="CK279" s="83"/>
      <c r="CL279" s="83"/>
      <c r="CM279" s="83"/>
      <c r="CN279" s="83"/>
      <c r="CO279" s="83"/>
      <c r="CP279" s="83" t="str">
        <f t="shared" si="468"/>
        <v/>
      </c>
      <c r="CQ279" s="456"/>
      <c r="CR279" s="81" t="str">
        <f>IF(F279&gt;$F$18,"",IF(CQ279&lt;&gt;"","",IF(ISNA(VLOOKUP('I. Stream &amp; Compound Data'!H279,'Potency Factors '!D$387:E$399,2,FALSE))=FALSE,VLOOKUP('I. Stream &amp; Compound Data'!H279,'Potency Factors '!D$387:E$399,2,FALSE),IF(ISNUMBER(SEARCH("phosphate",G279))=TRUE,1,IF(ISNUMBER(SEARCH("nitrate",G279))=TRUE,0.1,0)))))</f>
        <v/>
      </c>
      <c r="CS279" s="456"/>
      <c r="CT279" s="84" t="str">
        <f>IF(F279&gt;$F$18,"",IF(CS279&lt;&gt;"","",IF(ISNA(VLOOKUP('I. Stream &amp; Compound Data'!H279,'Potency Factors '!$D$485:$F$558,3,FALSE))=TRUE,0,VLOOKUP('I. Stream &amp; Compound Data'!H279,'Potency Factors '!$D$485:$F$558,3,FALSE))))</f>
        <v/>
      </c>
      <c r="CU279" s="729"/>
    </row>
    <row r="280" spans="2:99" ht="23.25" customHeight="1" x14ac:dyDescent="0.2">
      <c r="B280" s="716"/>
      <c r="C280" s="717"/>
      <c r="D280" s="717"/>
      <c r="E280" s="717"/>
      <c r="F280" s="73">
        <f t="shared" si="469"/>
        <v>19</v>
      </c>
      <c r="G280" s="74" t="str">
        <f t="shared" si="459"/>
        <v/>
      </c>
      <c r="H280" s="75" t="str">
        <f t="shared" si="460"/>
        <v/>
      </c>
      <c r="I280" s="75" t="str">
        <f t="shared" si="461"/>
        <v/>
      </c>
      <c r="J280" s="76" t="str">
        <f t="shared" si="462"/>
        <v/>
      </c>
      <c r="K280" s="450"/>
      <c r="L280" s="77" t="str">
        <f t="shared" si="478"/>
        <v/>
      </c>
      <c r="M280" s="77" t="str">
        <f t="shared" si="471"/>
        <v/>
      </c>
      <c r="N280" s="77" t="str">
        <f t="shared" si="472"/>
        <v/>
      </c>
      <c r="O280" s="77" t="str">
        <f t="shared" si="473"/>
        <v/>
      </c>
      <c r="P280" s="78" t="str">
        <f t="shared" si="474"/>
        <v/>
      </c>
      <c r="Q280" s="79" t="str">
        <f t="shared" si="477"/>
        <v/>
      </c>
      <c r="R280" s="450"/>
      <c r="S280" s="426"/>
      <c r="T280" s="451"/>
      <c r="U280" s="450"/>
      <c r="V280" s="426"/>
      <c r="W280" s="80" t="str">
        <f t="shared" si="475"/>
        <v/>
      </c>
      <c r="X280" s="452"/>
      <c r="Y280" s="450"/>
      <c r="Z280" s="426"/>
      <c r="AA280" s="426"/>
      <c r="AB280" s="454"/>
      <c r="AC280" s="81"/>
      <c r="AD280" s="77"/>
      <c r="AE280" s="77"/>
      <c r="AF280" s="454"/>
      <c r="AG280" s="453"/>
      <c r="AH280" s="426"/>
      <c r="AI280" s="77"/>
      <c r="AJ280" s="426"/>
      <c r="AK280" s="77"/>
      <c r="AL280" s="96"/>
      <c r="AM280" s="450"/>
      <c r="AN280" s="426"/>
      <c r="AO280" s="426"/>
      <c r="AP280" s="455"/>
      <c r="AQ280" s="81" t="str">
        <f>IF(F280&gt;$F$18,"",IF(AP280&lt;&gt;"","",IF(AI280&lt;25,"T+",IF(AND(AI280&gt;=25,AI280&lt;=200),"T",IF(AND(AI280&gt;200,AI280&lt;=2000),"Xn","")))))</f>
        <v/>
      </c>
      <c r="AR280" s="456"/>
      <c r="AS280" s="81" t="str">
        <f t="shared" si="464"/>
        <v/>
      </c>
      <c r="AT280" s="456"/>
      <c r="AU280" s="81" t="str">
        <f t="shared" si="465"/>
        <v/>
      </c>
      <c r="AV280" s="75"/>
      <c r="AW280" s="75"/>
      <c r="AX280" s="454"/>
      <c r="AY280" s="453"/>
      <c r="AZ280" s="462"/>
      <c r="BA280" s="77"/>
      <c r="BB280" s="457"/>
      <c r="BC280" s="77"/>
      <c r="BD280" s="458"/>
      <c r="BE280" s="95"/>
      <c r="BF280" s="82"/>
      <c r="BG280" s="459"/>
      <c r="BH280" s="459"/>
      <c r="BI280" s="77"/>
      <c r="BJ280" s="454"/>
      <c r="BK280" s="460"/>
      <c r="BL280" s="461"/>
      <c r="BM280" s="461"/>
      <c r="BN280" s="462"/>
      <c r="BO280" s="463"/>
      <c r="BP280" s="81" t="str">
        <f>IF(F280&gt;$F$18,"",IF(BO280&lt;&gt;"","",IF(ISNA(VLOOKUP('I. Stream &amp; Compound Data'!H280,'Potency Factors '!D$4:E$55,2,FALSE))=TRUE,0,VLOOKUP('I. Stream &amp; Compound Data'!H280,'Potency Factors '!D$4:E$55,2,FALSE))))</f>
        <v/>
      </c>
      <c r="BQ280" s="456"/>
      <c r="BR280" s="81" t="str">
        <f>IF(F280&gt;$F$18,"",IF(BQ280&lt;&gt;"","",IF(ISNA(VLOOKUP('I. Stream &amp; Compound Data'!H280,'Potency Factors '!D$68:E$167,2,FALSE))=TRUE,0,VLOOKUP('I. Stream &amp; Compound Data'!H280,'Potency Factors '!D$68:E$167,2,FALSE))))</f>
        <v/>
      </c>
      <c r="BS280" s="456"/>
      <c r="BT280" s="81" t="str">
        <f>IF(F280&gt;$F$18,"",IF(BS280&lt;&gt;"","",IF(ISNA(VLOOKUP('I. Stream &amp; Compound Data'!H280,'Potency Factors '!$D$412:$F$473,3,FALSE))=TRUE,0,VLOOKUP('I. Stream &amp; Compound Data'!H280,'Potency Factors '!$D$412:$F$473,3,FALSE))))</f>
        <v/>
      </c>
      <c r="BU280" s="456"/>
      <c r="BV280" s="81" t="str">
        <f>IF(F280&gt;$F$18,"",IF(BU280&lt;&gt;"","",IF(ISNA(VLOOKUP('I. Stream &amp; Compound Data'!H280,'Potency Factors '!D$180:E$185,2,FALSE))=TRUE,0,VLOOKUP('I. Stream &amp; Compound Data'!H280,'Potency Factors '!D$180:E$185,2,FALSE))))</f>
        <v/>
      </c>
      <c r="BW280" s="83"/>
      <c r="BX280" s="82" t="str">
        <f t="shared" si="476"/>
        <v/>
      </c>
      <c r="BY280" s="83"/>
      <c r="BZ280" s="82" t="str">
        <f t="shared" si="466"/>
        <v/>
      </c>
      <c r="CA280" s="83"/>
      <c r="CB280" s="462"/>
      <c r="CC280" s="82" t="str">
        <f t="shared" si="467"/>
        <v/>
      </c>
      <c r="CD280" s="456"/>
      <c r="CE280" s="81" t="str">
        <f>IF(F280&gt;$F$18,"",IF(CD280&lt;&gt;"","",IF(ISNA(VLOOKUP('I. Stream &amp; Compound Data'!H280,'Potency Factors '!D$224:F$345,3,FALSE))=TRUE,0,VLOOKUP('I. Stream &amp; Compound Data'!H280,'Potency Factors '!D$224:F$345,3,FALSE))))</f>
        <v/>
      </c>
      <c r="CF280" s="456"/>
      <c r="CG280" s="81" t="str">
        <f>IF(F280&gt;$F$18,"",IF(CF280&lt;&gt;"","",IF(ISNA(VLOOKUP('I. Stream &amp; Compound Data'!H280,'Potency Factors '!D$361:F$374,3,FALSE))=TRUE,0,VLOOKUP('I. Stream &amp; Compound Data'!H280,'Potency Factors '!D$361:F$374,3,FALSE))))</f>
        <v/>
      </c>
      <c r="CH280" s="83"/>
      <c r="CI280" s="83"/>
      <c r="CJ280" s="83"/>
      <c r="CK280" s="83"/>
      <c r="CL280" s="83"/>
      <c r="CM280" s="83"/>
      <c r="CN280" s="83"/>
      <c r="CO280" s="83"/>
      <c r="CP280" s="83" t="str">
        <f t="shared" si="468"/>
        <v/>
      </c>
      <c r="CQ280" s="456"/>
      <c r="CR280" s="81" t="str">
        <f>IF(F280&gt;$F$18,"",IF(CQ280&lt;&gt;"","",IF(ISNA(VLOOKUP('I. Stream &amp; Compound Data'!H280,'Potency Factors '!D$387:E$399,2,FALSE))=FALSE,VLOOKUP('I. Stream &amp; Compound Data'!H280,'Potency Factors '!D$387:E$399,2,FALSE),IF(ISNUMBER(SEARCH("phosphate",G280))=TRUE,1,IF(ISNUMBER(SEARCH("nitrate",G280))=TRUE,0.1,0)))))</f>
        <v/>
      </c>
      <c r="CS280" s="456"/>
      <c r="CT280" s="84" t="str">
        <f>IF(F280&gt;$F$18,"",IF(CS280&lt;&gt;"","",IF(ISNA(VLOOKUP('I. Stream &amp; Compound Data'!H280,'Potency Factors '!$D$485:$F$558,3,FALSE))=TRUE,0,VLOOKUP('I. Stream &amp; Compound Data'!H280,'Potency Factors '!$D$485:$F$558,3,FALSE))))</f>
        <v/>
      </c>
      <c r="CU280" s="729"/>
    </row>
    <row r="281" spans="2:99" ht="23.25" customHeight="1" x14ac:dyDescent="0.2">
      <c r="B281" s="716"/>
      <c r="C281" s="717"/>
      <c r="D281" s="717"/>
      <c r="E281" s="717"/>
      <c r="F281" s="73">
        <f t="shared" ref="F281:F311" si="479">C51</f>
        <v>20</v>
      </c>
      <c r="G281" s="74" t="str">
        <f t="shared" ref="G281:G311" si="480">IF(D51="","",D51)</f>
        <v/>
      </c>
      <c r="H281" s="75" t="str">
        <f t="shared" ref="H281:H311" si="481">IF(G51="","",G51)</f>
        <v/>
      </c>
      <c r="I281" s="75" t="str">
        <f t="shared" ref="I281:I311" si="482">IF(E51="","",E51)</f>
        <v/>
      </c>
      <c r="J281" s="76" t="str">
        <f t="shared" ref="J281:J311" si="483">IF(F51="","",F51)</f>
        <v/>
      </c>
      <c r="K281" s="450"/>
      <c r="L281" s="77" t="str">
        <f t="shared" si="478"/>
        <v/>
      </c>
      <c r="M281" s="77" t="str">
        <f t="shared" si="471"/>
        <v/>
      </c>
      <c r="N281" s="77" t="str">
        <f t="shared" si="472"/>
        <v/>
      </c>
      <c r="O281" s="77" t="str">
        <f t="shared" si="473"/>
        <v/>
      </c>
      <c r="P281" s="78" t="str">
        <f t="shared" si="474"/>
        <v/>
      </c>
      <c r="Q281" s="79" t="str">
        <f t="shared" si="477"/>
        <v/>
      </c>
      <c r="R281" s="450"/>
      <c r="S281" s="426"/>
      <c r="T281" s="451"/>
      <c r="U281" s="450"/>
      <c r="V281" s="426"/>
      <c r="W281" s="80" t="str">
        <f t="shared" si="475"/>
        <v/>
      </c>
      <c r="X281" s="452"/>
      <c r="Y281" s="450"/>
      <c r="Z281" s="426"/>
      <c r="AA281" s="426"/>
      <c r="AB281" s="454"/>
      <c r="AC281" s="81"/>
      <c r="AD281" s="77"/>
      <c r="AE281" s="77"/>
      <c r="AF281" s="454"/>
      <c r="AG281" s="453"/>
      <c r="AH281" s="426"/>
      <c r="AI281" s="77"/>
      <c r="AJ281" s="426"/>
      <c r="AK281" s="77"/>
      <c r="AL281" s="96"/>
      <c r="AM281" s="450"/>
      <c r="AN281" s="426"/>
      <c r="AO281" s="426"/>
      <c r="AP281" s="455"/>
      <c r="AQ281" s="81" t="str">
        <f t="shared" ref="AQ281:AQ311" si="484">IF(F281&gt;$F$18,"",IF(AP281&lt;&gt;"","",IF(AI281&lt;25,"T+",IF(AND(AI281&gt;=25,AI281&lt;=200),"T",IF(AND(AI281&gt;200,AI281&lt;=2000),"Xn","")))))</f>
        <v/>
      </c>
      <c r="AR281" s="456"/>
      <c r="AS281" s="81" t="str">
        <f t="shared" ref="AS281:AS311" si="485">IF(F281&gt;$F$18,"",IF(AR281&lt;&gt;"","",IF(AI281&lt;25,"26/27/28",IF(AND(AI281&gt;=25,AI281&lt;=200),"23/24/25",IF(AND(AI281&gt;200,AI281&lt;=2000),"20/21/22","")))))</f>
        <v/>
      </c>
      <c r="AT281" s="456"/>
      <c r="AU281" s="81" t="str">
        <f t="shared" ref="AU281:AU311" si="486">IF(F281&gt;$F$18,"",IF(AT281&lt;&gt;"","",IF(AI281&lt;=5,1,IF(AND(AI281&gt;5,AI281&lt;=50),2,IF(AND(AI281&gt;50,AI281&lt;=500),3,IF(AND(AI281&gt;500,AI281&lt;=2000),4,IF(AND(AI281&gt;2000,AI281&lt;=5000),5,"NO")))))))</f>
        <v/>
      </c>
      <c r="AV281" s="75"/>
      <c r="AW281" s="75"/>
      <c r="AX281" s="454"/>
      <c r="AY281" s="453"/>
      <c r="AZ281" s="462"/>
      <c r="BA281" s="77"/>
      <c r="BB281" s="457"/>
      <c r="BC281" s="77"/>
      <c r="BD281" s="458"/>
      <c r="BE281" s="95"/>
      <c r="BF281" s="82"/>
      <c r="BG281" s="459"/>
      <c r="BH281" s="459"/>
      <c r="BI281" s="77"/>
      <c r="BJ281" s="454"/>
      <c r="BK281" s="460"/>
      <c r="BL281" s="461"/>
      <c r="BM281" s="461"/>
      <c r="BN281" s="462"/>
      <c r="BO281" s="463"/>
      <c r="BP281" s="81" t="str">
        <f>IF(F281&gt;$F$18,"",IF(BO281&lt;&gt;"","",IF(ISNA(VLOOKUP('I. Stream &amp; Compound Data'!H281,'Potency Factors '!D$4:E$55,2,FALSE))=TRUE,0,VLOOKUP('I. Stream &amp; Compound Data'!H281,'Potency Factors '!D$4:E$55,2,FALSE))))</f>
        <v/>
      </c>
      <c r="BQ281" s="456"/>
      <c r="BR281" s="81" t="str">
        <f>IF(F281&gt;$F$18,"",IF(BQ281&lt;&gt;"","",IF(ISNA(VLOOKUP('I. Stream &amp; Compound Data'!H281,'Potency Factors '!D$68:E$167,2,FALSE))=TRUE,0,VLOOKUP('I. Stream &amp; Compound Data'!H281,'Potency Factors '!D$68:E$167,2,FALSE))))</f>
        <v/>
      </c>
      <c r="BS281" s="456"/>
      <c r="BT281" s="81" t="str">
        <f>IF(F281&gt;$F$18,"",IF(BS281&lt;&gt;"","",IF(ISNA(VLOOKUP('I. Stream &amp; Compound Data'!H281,'Potency Factors '!$D$412:$F$473,3,FALSE))=TRUE,0,VLOOKUP('I. Stream &amp; Compound Data'!H281,'Potency Factors '!$D$412:$F$473,3,FALSE))))</f>
        <v/>
      </c>
      <c r="BU281" s="456"/>
      <c r="BV281" s="81" t="str">
        <f>IF(F281&gt;$F$18,"",IF(BU281&lt;&gt;"","",IF(ISNA(VLOOKUP('I. Stream &amp; Compound Data'!H281,'Potency Factors '!D$180:E$185,2,FALSE))=TRUE,0,VLOOKUP('I. Stream &amp; Compound Data'!H281,'Potency Factors '!D$180:E$185,2,FALSE))))</f>
        <v/>
      </c>
      <c r="BW281" s="83"/>
      <c r="BX281" s="82" t="str">
        <f t="shared" ref="BX281:BX311" si="487">IF(F281&gt;$F$18,"",BW281/F51)</f>
        <v/>
      </c>
      <c r="BY281" s="83"/>
      <c r="BZ281" s="82" t="str">
        <f t="shared" ref="BZ281:BZ311" si="488">IF(F281&gt;$F$18,"",(BY281*17)/F51)</f>
        <v/>
      </c>
      <c r="CA281" s="83"/>
      <c r="CB281" s="462"/>
      <c r="CC281" s="82" t="str">
        <f t="shared" ref="CC281:CC311" si="489">IF(F281&gt;$F$18,"",(CA281*CB281)/F51)</f>
        <v/>
      </c>
      <c r="CD281" s="456"/>
      <c r="CE281" s="81" t="str">
        <f>IF(F281&gt;$F$18,"",IF(CD281&lt;&gt;"","",IF(ISNA(VLOOKUP('I. Stream &amp; Compound Data'!H281,'Potency Factors '!D$224:F$345,3,FALSE))=TRUE,0,VLOOKUP('I. Stream &amp; Compound Data'!H281,'Potency Factors '!D$224:F$345,3,FALSE))))</f>
        <v/>
      </c>
      <c r="CF281" s="456"/>
      <c r="CG281" s="81" t="str">
        <f>IF(F281&gt;$F$18,"",IF(CF281&lt;&gt;"","",IF(ISNA(VLOOKUP('I. Stream &amp; Compound Data'!H281,'Potency Factors '!D$361:F$374,3,FALSE))=TRUE,0,VLOOKUP('I. Stream &amp; Compound Data'!H281,'Potency Factors '!D$361:F$374,3,FALSE))))</f>
        <v/>
      </c>
      <c r="CH281" s="83"/>
      <c r="CI281" s="83"/>
      <c r="CJ281" s="83"/>
      <c r="CK281" s="83"/>
      <c r="CL281" s="83"/>
      <c r="CM281" s="83"/>
      <c r="CN281" s="83"/>
      <c r="CO281" s="83"/>
      <c r="CP281" s="83" t="str">
        <f t="shared" ref="CP281:CP311" si="490">IF(F281&gt;$F$18,"",ROUND(16*(2*CH281+0.5*(CI281-CK281)+2.5*CJ281+3*CO281+2.5*CN281+0.5*CL281-CM281)/F51,2))</f>
        <v/>
      </c>
      <c r="CQ281" s="456"/>
      <c r="CR281" s="81" t="str">
        <f>IF(F281&gt;$F$18,"",IF(CQ281&lt;&gt;"","",IF(ISNA(VLOOKUP('I. Stream &amp; Compound Data'!H281,'Potency Factors '!D$387:E$399,2,FALSE))=FALSE,VLOOKUP('I. Stream &amp; Compound Data'!H281,'Potency Factors '!D$387:E$399,2,FALSE),IF(ISNUMBER(SEARCH("phosphate",G281))=TRUE,1,IF(ISNUMBER(SEARCH("nitrate",G281))=TRUE,0.1,0)))))</f>
        <v/>
      </c>
      <c r="CS281" s="456"/>
      <c r="CT281" s="84" t="str">
        <f>IF(F281&gt;$F$18,"",IF(CS281&lt;&gt;"","",IF(ISNA(VLOOKUP('I. Stream &amp; Compound Data'!H281,'Potency Factors '!$D$485:$F$558,3,FALSE))=TRUE,0,VLOOKUP('I. Stream &amp; Compound Data'!H281,'Potency Factors '!$D$485:$F$558,3,FALSE))))</f>
        <v/>
      </c>
      <c r="CU281" s="729"/>
    </row>
    <row r="282" spans="2:99" ht="15" x14ac:dyDescent="0.2">
      <c r="B282" s="716"/>
      <c r="C282" s="717"/>
      <c r="D282" s="717"/>
      <c r="E282" s="717"/>
      <c r="F282" s="73">
        <f t="shared" si="479"/>
        <v>21</v>
      </c>
      <c r="G282" s="74" t="str">
        <f t="shared" si="480"/>
        <v/>
      </c>
      <c r="H282" s="75" t="str">
        <f t="shared" si="481"/>
        <v/>
      </c>
      <c r="I282" s="75" t="str">
        <f t="shared" si="482"/>
        <v/>
      </c>
      <c r="J282" s="76" t="str">
        <f t="shared" si="483"/>
        <v/>
      </c>
      <c r="K282" s="450"/>
      <c r="L282" s="77" t="str">
        <f t="shared" si="478"/>
        <v/>
      </c>
      <c r="M282" s="77" t="str">
        <f t="shared" si="471"/>
        <v/>
      </c>
      <c r="N282" s="77" t="str">
        <f t="shared" si="472"/>
        <v/>
      </c>
      <c r="O282" s="77" t="str">
        <f t="shared" si="473"/>
        <v/>
      </c>
      <c r="P282" s="78" t="str">
        <f t="shared" si="474"/>
        <v/>
      </c>
      <c r="Q282" s="79" t="str">
        <f t="shared" si="477"/>
        <v/>
      </c>
      <c r="R282" s="450"/>
      <c r="S282" s="426"/>
      <c r="T282" s="451"/>
      <c r="U282" s="450"/>
      <c r="V282" s="426"/>
      <c r="W282" s="80" t="str">
        <f t="shared" si="475"/>
        <v/>
      </c>
      <c r="X282" s="452"/>
      <c r="Y282" s="450"/>
      <c r="Z282" s="426"/>
      <c r="AA282" s="426"/>
      <c r="AB282" s="454"/>
      <c r="AC282" s="81"/>
      <c r="AD282" s="77"/>
      <c r="AE282" s="77"/>
      <c r="AF282" s="454"/>
      <c r="AG282" s="453"/>
      <c r="AH282" s="426"/>
      <c r="AI282" s="77"/>
      <c r="AJ282" s="426"/>
      <c r="AK282" s="77"/>
      <c r="AL282" s="96"/>
      <c r="AM282" s="450"/>
      <c r="AN282" s="426"/>
      <c r="AO282" s="426"/>
      <c r="AP282" s="455"/>
      <c r="AQ282" s="81" t="str">
        <f t="shared" si="484"/>
        <v/>
      </c>
      <c r="AR282" s="456"/>
      <c r="AS282" s="81" t="str">
        <f t="shared" si="485"/>
        <v/>
      </c>
      <c r="AT282" s="456"/>
      <c r="AU282" s="81" t="str">
        <f t="shared" si="486"/>
        <v/>
      </c>
      <c r="AV282" s="75"/>
      <c r="AW282" s="75"/>
      <c r="AX282" s="454"/>
      <c r="AY282" s="453"/>
      <c r="AZ282" s="462"/>
      <c r="BA282" s="77"/>
      <c r="BB282" s="457"/>
      <c r="BC282" s="77"/>
      <c r="BD282" s="458"/>
      <c r="BE282" s="95"/>
      <c r="BF282" s="82"/>
      <c r="BG282" s="459"/>
      <c r="BH282" s="459"/>
      <c r="BI282" s="77"/>
      <c r="BJ282" s="454"/>
      <c r="BK282" s="460"/>
      <c r="BL282" s="461"/>
      <c r="BM282" s="461"/>
      <c r="BN282" s="462"/>
      <c r="BO282" s="463"/>
      <c r="BP282" s="81" t="str">
        <f>IF(F282&gt;$F$18,"",IF(BO282&lt;&gt;"","",IF(ISNA(VLOOKUP('I. Stream &amp; Compound Data'!H282,'Potency Factors '!D$4:E$55,2,FALSE))=TRUE,0,VLOOKUP('I. Stream &amp; Compound Data'!H282,'Potency Factors '!D$4:E$55,2,FALSE))))</f>
        <v/>
      </c>
      <c r="BQ282" s="456"/>
      <c r="BR282" s="81" t="str">
        <f>IF(F282&gt;$F$18,"",IF(BQ282&lt;&gt;"","",IF(ISNA(VLOOKUP('I. Stream &amp; Compound Data'!H282,'Potency Factors '!D$68:E$167,2,FALSE))=TRUE,0,VLOOKUP('I. Stream &amp; Compound Data'!H282,'Potency Factors '!D$68:E$167,2,FALSE))))</f>
        <v/>
      </c>
      <c r="BS282" s="456"/>
      <c r="BT282" s="81" t="str">
        <f>IF(F282&gt;$F$18,"",IF(BS282&lt;&gt;"","",IF(ISNA(VLOOKUP('I. Stream &amp; Compound Data'!H282,'Potency Factors '!$D$412:$F$473,3,FALSE))=TRUE,0,VLOOKUP('I. Stream &amp; Compound Data'!H282,'Potency Factors '!$D$412:$F$473,3,FALSE))))</f>
        <v/>
      </c>
      <c r="BU282" s="456"/>
      <c r="BV282" s="81" t="str">
        <f>IF(F282&gt;$F$18,"",IF(BU282&lt;&gt;"","",IF(ISNA(VLOOKUP('I. Stream &amp; Compound Data'!H282,'Potency Factors '!D$180:E$185,2,FALSE))=TRUE,0,VLOOKUP('I. Stream &amp; Compound Data'!H282,'Potency Factors '!D$180:E$185,2,FALSE))))</f>
        <v/>
      </c>
      <c r="BW282" s="83"/>
      <c r="BX282" s="82" t="str">
        <f t="shared" si="487"/>
        <v/>
      </c>
      <c r="BY282" s="83"/>
      <c r="BZ282" s="82" t="str">
        <f t="shared" si="488"/>
        <v/>
      </c>
      <c r="CA282" s="83"/>
      <c r="CB282" s="462"/>
      <c r="CC282" s="82" t="str">
        <f t="shared" si="489"/>
        <v/>
      </c>
      <c r="CD282" s="456"/>
      <c r="CE282" s="81" t="str">
        <f>IF(F282&gt;$F$18,"",IF(CD282&lt;&gt;"","",IF(ISNA(VLOOKUP('I. Stream &amp; Compound Data'!H282,'Potency Factors '!D$224:F$345,3,FALSE))=TRUE,0,VLOOKUP('I. Stream &amp; Compound Data'!H282,'Potency Factors '!D$224:F$345,3,FALSE))))</f>
        <v/>
      </c>
      <c r="CF282" s="456"/>
      <c r="CG282" s="81" t="str">
        <f>IF(F282&gt;$F$18,"",IF(CF282&lt;&gt;"","",IF(ISNA(VLOOKUP('I. Stream &amp; Compound Data'!H282,'Potency Factors '!D$361:F$374,3,FALSE))=TRUE,0,VLOOKUP('I. Stream &amp; Compound Data'!H282,'Potency Factors '!D$361:F$374,3,FALSE))))</f>
        <v/>
      </c>
      <c r="CH282" s="83"/>
      <c r="CI282" s="83"/>
      <c r="CJ282" s="83"/>
      <c r="CK282" s="83"/>
      <c r="CL282" s="83"/>
      <c r="CM282" s="83"/>
      <c r="CN282" s="83"/>
      <c r="CO282" s="83"/>
      <c r="CP282" s="83" t="str">
        <f t="shared" si="490"/>
        <v/>
      </c>
      <c r="CQ282" s="456"/>
      <c r="CR282" s="81" t="str">
        <f>IF(F282&gt;$F$18,"",IF(CQ282&lt;&gt;"","",IF(ISNA(VLOOKUP('I. Stream &amp; Compound Data'!H282,'Potency Factors '!D$387:E$399,2,FALSE))=FALSE,VLOOKUP('I. Stream &amp; Compound Data'!H282,'Potency Factors '!D$387:E$399,2,FALSE),IF(ISNUMBER(SEARCH("phosphate",G282))=TRUE,1,IF(ISNUMBER(SEARCH("nitrate",G282))=TRUE,0.1,0)))))</f>
        <v/>
      </c>
      <c r="CS282" s="456"/>
      <c r="CT282" s="84" t="str">
        <f>IF(F282&gt;$F$18,"",IF(CS282&lt;&gt;"","",IF(ISNA(VLOOKUP('I. Stream &amp; Compound Data'!H282,'Potency Factors '!$D$485:$F$558,3,FALSE))=TRUE,0,VLOOKUP('I. Stream &amp; Compound Data'!H282,'Potency Factors '!$D$485:$F$558,3,FALSE))))</f>
        <v/>
      </c>
      <c r="CU282" s="729"/>
    </row>
    <row r="283" spans="2:99" ht="15" x14ac:dyDescent="0.2">
      <c r="B283" s="716"/>
      <c r="C283" s="717"/>
      <c r="D283" s="717"/>
      <c r="E283" s="717"/>
      <c r="F283" s="73">
        <f t="shared" si="479"/>
        <v>22</v>
      </c>
      <c r="G283" s="74" t="str">
        <f t="shared" si="480"/>
        <v/>
      </c>
      <c r="H283" s="75" t="str">
        <f t="shared" si="481"/>
        <v/>
      </c>
      <c r="I283" s="75" t="str">
        <f t="shared" si="482"/>
        <v/>
      </c>
      <c r="J283" s="76" t="str">
        <f t="shared" si="483"/>
        <v/>
      </c>
      <c r="K283" s="450"/>
      <c r="L283" s="77" t="str">
        <f t="shared" si="478"/>
        <v/>
      </c>
      <c r="M283" s="77" t="str">
        <f t="shared" si="471"/>
        <v/>
      </c>
      <c r="N283" s="77" t="str">
        <f t="shared" si="472"/>
        <v/>
      </c>
      <c r="O283" s="77" t="str">
        <f t="shared" si="473"/>
        <v/>
      </c>
      <c r="P283" s="78" t="str">
        <f t="shared" si="474"/>
        <v/>
      </c>
      <c r="Q283" s="79" t="str">
        <f t="shared" si="477"/>
        <v/>
      </c>
      <c r="R283" s="450"/>
      <c r="S283" s="426"/>
      <c r="T283" s="451"/>
      <c r="U283" s="450"/>
      <c r="V283" s="426"/>
      <c r="W283" s="80" t="str">
        <f t="shared" si="475"/>
        <v/>
      </c>
      <c r="X283" s="452"/>
      <c r="Y283" s="450"/>
      <c r="Z283" s="426"/>
      <c r="AA283" s="426"/>
      <c r="AB283" s="454"/>
      <c r="AC283" s="81"/>
      <c r="AD283" s="77"/>
      <c r="AE283" s="77"/>
      <c r="AF283" s="454"/>
      <c r="AG283" s="453"/>
      <c r="AH283" s="426"/>
      <c r="AI283" s="77"/>
      <c r="AJ283" s="426"/>
      <c r="AK283" s="77"/>
      <c r="AL283" s="96"/>
      <c r="AM283" s="450"/>
      <c r="AN283" s="426"/>
      <c r="AO283" s="426"/>
      <c r="AP283" s="455"/>
      <c r="AQ283" s="81" t="str">
        <f t="shared" si="484"/>
        <v/>
      </c>
      <c r="AR283" s="456"/>
      <c r="AS283" s="81" t="str">
        <f t="shared" si="485"/>
        <v/>
      </c>
      <c r="AT283" s="456"/>
      <c r="AU283" s="81" t="str">
        <f t="shared" si="486"/>
        <v/>
      </c>
      <c r="AV283" s="75"/>
      <c r="AW283" s="75"/>
      <c r="AX283" s="454"/>
      <c r="AY283" s="453"/>
      <c r="AZ283" s="462"/>
      <c r="BA283" s="77"/>
      <c r="BB283" s="457"/>
      <c r="BC283" s="77"/>
      <c r="BD283" s="458"/>
      <c r="BE283" s="95"/>
      <c r="BF283" s="82"/>
      <c r="BG283" s="459"/>
      <c r="BH283" s="459"/>
      <c r="BI283" s="77"/>
      <c r="BJ283" s="454"/>
      <c r="BK283" s="460"/>
      <c r="BL283" s="461"/>
      <c r="BM283" s="461"/>
      <c r="BN283" s="462"/>
      <c r="BO283" s="463"/>
      <c r="BP283" s="81" t="str">
        <f>IF(F283&gt;$F$18,"",IF(BO283&lt;&gt;"","",IF(ISNA(VLOOKUP('I. Stream &amp; Compound Data'!H283,'Potency Factors '!D$4:E$55,2,FALSE))=TRUE,0,VLOOKUP('I. Stream &amp; Compound Data'!H283,'Potency Factors '!D$4:E$55,2,FALSE))))</f>
        <v/>
      </c>
      <c r="BQ283" s="456"/>
      <c r="BR283" s="81" t="str">
        <f>IF(F283&gt;$F$18,"",IF(BQ283&lt;&gt;"","",IF(ISNA(VLOOKUP('I. Stream &amp; Compound Data'!H283,'Potency Factors '!D$68:E$167,2,FALSE))=TRUE,0,VLOOKUP('I. Stream &amp; Compound Data'!H283,'Potency Factors '!D$68:E$167,2,FALSE))))</f>
        <v/>
      </c>
      <c r="BS283" s="456"/>
      <c r="BT283" s="81" t="str">
        <f>IF(F283&gt;$F$18,"",IF(BS283&lt;&gt;"","",IF(ISNA(VLOOKUP('I. Stream &amp; Compound Data'!H283,'Potency Factors '!$D$412:$F$473,3,FALSE))=TRUE,0,VLOOKUP('I. Stream &amp; Compound Data'!H283,'Potency Factors '!$D$412:$F$473,3,FALSE))))</f>
        <v/>
      </c>
      <c r="BU283" s="456"/>
      <c r="BV283" s="81" t="str">
        <f>IF(F283&gt;$F$18,"",IF(BU283&lt;&gt;"","",IF(ISNA(VLOOKUP('I. Stream &amp; Compound Data'!H283,'Potency Factors '!D$180:E$185,2,FALSE))=TRUE,0,VLOOKUP('I. Stream &amp; Compound Data'!H283,'Potency Factors '!D$180:E$185,2,FALSE))))</f>
        <v/>
      </c>
      <c r="BW283" s="83"/>
      <c r="BX283" s="82" t="str">
        <f t="shared" si="487"/>
        <v/>
      </c>
      <c r="BY283" s="83"/>
      <c r="BZ283" s="82" t="str">
        <f t="shared" si="488"/>
        <v/>
      </c>
      <c r="CA283" s="83"/>
      <c r="CB283" s="462"/>
      <c r="CC283" s="82" t="str">
        <f t="shared" si="489"/>
        <v/>
      </c>
      <c r="CD283" s="456"/>
      <c r="CE283" s="81" t="str">
        <f>IF(F283&gt;$F$18,"",IF(CD283&lt;&gt;"","",IF(ISNA(VLOOKUP('I. Stream &amp; Compound Data'!H283,'Potency Factors '!D$224:F$345,3,FALSE))=TRUE,0,VLOOKUP('I. Stream &amp; Compound Data'!H283,'Potency Factors '!D$224:F$345,3,FALSE))))</f>
        <v/>
      </c>
      <c r="CF283" s="456"/>
      <c r="CG283" s="81" t="str">
        <f>IF(F283&gt;$F$18,"",IF(CF283&lt;&gt;"","",IF(ISNA(VLOOKUP('I. Stream &amp; Compound Data'!H283,'Potency Factors '!D$361:F$374,3,FALSE))=TRUE,0,VLOOKUP('I. Stream &amp; Compound Data'!H283,'Potency Factors '!D$361:F$374,3,FALSE))))</f>
        <v/>
      </c>
      <c r="CH283" s="83"/>
      <c r="CI283" s="83"/>
      <c r="CJ283" s="83"/>
      <c r="CK283" s="83"/>
      <c r="CL283" s="83"/>
      <c r="CM283" s="83"/>
      <c r="CN283" s="83"/>
      <c r="CO283" s="83"/>
      <c r="CP283" s="83" t="str">
        <f t="shared" si="490"/>
        <v/>
      </c>
      <c r="CQ283" s="456"/>
      <c r="CR283" s="81" t="str">
        <f>IF(F283&gt;$F$18,"",IF(CQ283&lt;&gt;"","",IF(ISNA(VLOOKUP('I. Stream &amp; Compound Data'!H283,'Potency Factors '!D$387:E$399,2,FALSE))=FALSE,VLOOKUP('I. Stream &amp; Compound Data'!H283,'Potency Factors '!D$387:E$399,2,FALSE),IF(ISNUMBER(SEARCH("phosphate",G283))=TRUE,1,IF(ISNUMBER(SEARCH("nitrate",G283))=TRUE,0.1,0)))))</f>
        <v/>
      </c>
      <c r="CS283" s="456"/>
      <c r="CT283" s="84" t="str">
        <f>IF(F283&gt;$F$18,"",IF(CS283&lt;&gt;"","",IF(ISNA(VLOOKUP('I. Stream &amp; Compound Data'!H283,'Potency Factors '!$D$485:$F$558,3,FALSE))=TRUE,0,VLOOKUP('I. Stream &amp; Compound Data'!H283,'Potency Factors '!$D$485:$F$558,3,FALSE))))</f>
        <v/>
      </c>
      <c r="CU283" s="729"/>
    </row>
    <row r="284" spans="2:99" ht="15" x14ac:dyDescent="0.2">
      <c r="B284" s="716"/>
      <c r="C284" s="717"/>
      <c r="D284" s="717"/>
      <c r="E284" s="717"/>
      <c r="F284" s="73">
        <f t="shared" si="479"/>
        <v>23</v>
      </c>
      <c r="G284" s="74" t="str">
        <f t="shared" si="480"/>
        <v/>
      </c>
      <c r="H284" s="75" t="str">
        <f t="shared" si="481"/>
        <v/>
      </c>
      <c r="I284" s="75" t="str">
        <f t="shared" si="482"/>
        <v/>
      </c>
      <c r="J284" s="76" t="str">
        <f t="shared" si="483"/>
        <v/>
      </c>
      <c r="K284" s="450"/>
      <c r="L284" s="77" t="str">
        <f t="shared" si="478"/>
        <v/>
      </c>
      <c r="M284" s="77" t="str">
        <f t="shared" si="471"/>
        <v/>
      </c>
      <c r="N284" s="77" t="str">
        <f t="shared" si="472"/>
        <v/>
      </c>
      <c r="O284" s="77" t="str">
        <f t="shared" si="473"/>
        <v/>
      </c>
      <c r="P284" s="78" t="str">
        <f t="shared" si="474"/>
        <v/>
      </c>
      <c r="Q284" s="79" t="str">
        <f t="shared" si="477"/>
        <v/>
      </c>
      <c r="R284" s="450"/>
      <c r="S284" s="426"/>
      <c r="T284" s="451"/>
      <c r="U284" s="450"/>
      <c r="V284" s="426"/>
      <c r="W284" s="80" t="str">
        <f t="shared" si="475"/>
        <v/>
      </c>
      <c r="X284" s="452"/>
      <c r="Y284" s="450"/>
      <c r="Z284" s="426"/>
      <c r="AA284" s="426"/>
      <c r="AB284" s="454"/>
      <c r="AC284" s="81"/>
      <c r="AD284" s="77"/>
      <c r="AE284" s="77"/>
      <c r="AF284" s="454"/>
      <c r="AG284" s="453"/>
      <c r="AH284" s="426"/>
      <c r="AI284" s="77"/>
      <c r="AJ284" s="426"/>
      <c r="AK284" s="77"/>
      <c r="AL284" s="96"/>
      <c r="AM284" s="450"/>
      <c r="AN284" s="426"/>
      <c r="AO284" s="426"/>
      <c r="AP284" s="455"/>
      <c r="AQ284" s="81" t="str">
        <f t="shared" si="484"/>
        <v/>
      </c>
      <c r="AR284" s="456"/>
      <c r="AS284" s="81" t="str">
        <f t="shared" si="485"/>
        <v/>
      </c>
      <c r="AT284" s="456"/>
      <c r="AU284" s="81" t="str">
        <f t="shared" si="486"/>
        <v/>
      </c>
      <c r="AV284" s="75"/>
      <c r="AW284" s="75"/>
      <c r="AX284" s="454"/>
      <c r="AY284" s="453"/>
      <c r="AZ284" s="462"/>
      <c r="BA284" s="77"/>
      <c r="BB284" s="457"/>
      <c r="BC284" s="77"/>
      <c r="BD284" s="458"/>
      <c r="BE284" s="95"/>
      <c r="BF284" s="82"/>
      <c r="BG284" s="459"/>
      <c r="BH284" s="459"/>
      <c r="BI284" s="77"/>
      <c r="BJ284" s="454"/>
      <c r="BK284" s="460"/>
      <c r="BL284" s="461"/>
      <c r="BM284" s="461"/>
      <c r="BN284" s="462"/>
      <c r="BO284" s="463"/>
      <c r="BP284" s="81" t="str">
        <f>IF(F284&gt;$F$18,"",IF(BO284&lt;&gt;"","",IF(ISNA(VLOOKUP('I. Stream &amp; Compound Data'!H284,'Potency Factors '!D$4:E$55,2,FALSE))=TRUE,0,VLOOKUP('I. Stream &amp; Compound Data'!H284,'Potency Factors '!D$4:E$55,2,FALSE))))</f>
        <v/>
      </c>
      <c r="BQ284" s="456"/>
      <c r="BR284" s="81" t="str">
        <f>IF(F284&gt;$F$18,"",IF(BQ284&lt;&gt;"","",IF(ISNA(VLOOKUP('I. Stream &amp; Compound Data'!H284,'Potency Factors '!D$68:E$167,2,FALSE))=TRUE,0,VLOOKUP('I. Stream &amp; Compound Data'!H284,'Potency Factors '!D$68:E$167,2,FALSE))))</f>
        <v/>
      </c>
      <c r="BS284" s="456"/>
      <c r="BT284" s="81" t="str">
        <f>IF(F284&gt;$F$18,"",IF(BS284&lt;&gt;"","",IF(ISNA(VLOOKUP('I. Stream &amp; Compound Data'!H284,'Potency Factors '!$D$412:$F$473,3,FALSE))=TRUE,0,VLOOKUP('I. Stream &amp; Compound Data'!H284,'Potency Factors '!$D$412:$F$473,3,FALSE))))</f>
        <v/>
      </c>
      <c r="BU284" s="456"/>
      <c r="BV284" s="81" t="str">
        <f>IF(F284&gt;$F$18,"",IF(BU284&lt;&gt;"","",IF(ISNA(VLOOKUP('I. Stream &amp; Compound Data'!H284,'Potency Factors '!D$180:E$185,2,FALSE))=TRUE,0,VLOOKUP('I. Stream &amp; Compound Data'!H284,'Potency Factors '!D$180:E$185,2,FALSE))))</f>
        <v/>
      </c>
      <c r="BW284" s="83"/>
      <c r="BX284" s="82" t="str">
        <f t="shared" si="487"/>
        <v/>
      </c>
      <c r="BY284" s="83"/>
      <c r="BZ284" s="82" t="str">
        <f t="shared" si="488"/>
        <v/>
      </c>
      <c r="CA284" s="83"/>
      <c r="CB284" s="462"/>
      <c r="CC284" s="82" t="str">
        <f t="shared" si="489"/>
        <v/>
      </c>
      <c r="CD284" s="456"/>
      <c r="CE284" s="81" t="str">
        <f>IF(F284&gt;$F$18,"",IF(CD284&lt;&gt;"","",IF(ISNA(VLOOKUP('I. Stream &amp; Compound Data'!H284,'Potency Factors '!D$224:F$345,3,FALSE))=TRUE,0,VLOOKUP('I. Stream &amp; Compound Data'!H284,'Potency Factors '!D$224:F$345,3,FALSE))))</f>
        <v/>
      </c>
      <c r="CF284" s="456"/>
      <c r="CG284" s="81" t="str">
        <f>IF(F284&gt;$F$18,"",IF(CF284&lt;&gt;"","",IF(ISNA(VLOOKUP('I. Stream &amp; Compound Data'!H284,'Potency Factors '!D$361:F$374,3,FALSE))=TRUE,0,VLOOKUP('I. Stream &amp; Compound Data'!H284,'Potency Factors '!D$361:F$374,3,FALSE))))</f>
        <v/>
      </c>
      <c r="CH284" s="83"/>
      <c r="CI284" s="83"/>
      <c r="CJ284" s="83"/>
      <c r="CK284" s="83"/>
      <c r="CL284" s="83"/>
      <c r="CM284" s="83"/>
      <c r="CN284" s="83"/>
      <c r="CO284" s="83"/>
      <c r="CP284" s="83" t="str">
        <f t="shared" si="490"/>
        <v/>
      </c>
      <c r="CQ284" s="456"/>
      <c r="CR284" s="81" t="str">
        <f>IF(F284&gt;$F$18,"",IF(CQ284&lt;&gt;"","",IF(ISNA(VLOOKUP('I. Stream &amp; Compound Data'!H284,'Potency Factors '!D$387:E$399,2,FALSE))=FALSE,VLOOKUP('I. Stream &amp; Compound Data'!H284,'Potency Factors '!D$387:E$399,2,FALSE),IF(ISNUMBER(SEARCH("phosphate",G284))=TRUE,1,IF(ISNUMBER(SEARCH("nitrate",G284))=TRUE,0.1,0)))))</f>
        <v/>
      </c>
      <c r="CS284" s="456"/>
      <c r="CT284" s="84" t="str">
        <f>IF(F284&gt;$F$18,"",IF(CS284&lt;&gt;"","",IF(ISNA(VLOOKUP('I. Stream &amp; Compound Data'!H284,'Potency Factors '!$D$485:$F$558,3,FALSE))=TRUE,0,VLOOKUP('I. Stream &amp; Compound Data'!H284,'Potency Factors '!$D$485:$F$558,3,FALSE))))</f>
        <v/>
      </c>
      <c r="CU284" s="729"/>
    </row>
    <row r="285" spans="2:99" ht="15" x14ac:dyDescent="0.2">
      <c r="B285" s="716"/>
      <c r="C285" s="717"/>
      <c r="D285" s="717"/>
      <c r="E285" s="717"/>
      <c r="F285" s="73">
        <f t="shared" si="479"/>
        <v>24</v>
      </c>
      <c r="G285" s="74" t="str">
        <f t="shared" si="480"/>
        <v/>
      </c>
      <c r="H285" s="75" t="str">
        <f t="shared" si="481"/>
        <v/>
      </c>
      <c r="I285" s="75" t="str">
        <f t="shared" si="482"/>
        <v/>
      </c>
      <c r="J285" s="76" t="str">
        <f t="shared" si="483"/>
        <v/>
      </c>
      <c r="K285" s="450"/>
      <c r="L285" s="77" t="str">
        <f t="shared" si="478"/>
        <v/>
      </c>
      <c r="M285" s="77" t="str">
        <f t="shared" si="471"/>
        <v/>
      </c>
      <c r="N285" s="77" t="str">
        <f t="shared" si="472"/>
        <v/>
      </c>
      <c r="O285" s="77" t="str">
        <f t="shared" si="473"/>
        <v/>
      </c>
      <c r="P285" s="78" t="str">
        <f t="shared" si="474"/>
        <v/>
      </c>
      <c r="Q285" s="79" t="str">
        <f t="shared" si="477"/>
        <v/>
      </c>
      <c r="R285" s="450"/>
      <c r="S285" s="426"/>
      <c r="T285" s="451"/>
      <c r="U285" s="450"/>
      <c r="V285" s="426"/>
      <c r="W285" s="80" t="str">
        <f t="shared" si="475"/>
        <v/>
      </c>
      <c r="X285" s="452"/>
      <c r="Y285" s="450"/>
      <c r="Z285" s="426"/>
      <c r="AA285" s="426"/>
      <c r="AB285" s="454"/>
      <c r="AC285" s="81"/>
      <c r="AD285" s="77"/>
      <c r="AE285" s="77"/>
      <c r="AF285" s="454"/>
      <c r="AG285" s="453"/>
      <c r="AH285" s="426"/>
      <c r="AI285" s="77"/>
      <c r="AJ285" s="426"/>
      <c r="AK285" s="77"/>
      <c r="AL285" s="96"/>
      <c r="AM285" s="450"/>
      <c r="AN285" s="426"/>
      <c r="AO285" s="426"/>
      <c r="AP285" s="455"/>
      <c r="AQ285" s="81" t="str">
        <f t="shared" si="484"/>
        <v/>
      </c>
      <c r="AR285" s="456"/>
      <c r="AS285" s="81" t="str">
        <f t="shared" si="485"/>
        <v/>
      </c>
      <c r="AT285" s="456"/>
      <c r="AU285" s="81" t="str">
        <f t="shared" si="486"/>
        <v/>
      </c>
      <c r="AV285" s="75"/>
      <c r="AW285" s="75"/>
      <c r="AX285" s="454"/>
      <c r="AY285" s="453"/>
      <c r="AZ285" s="462"/>
      <c r="BA285" s="77"/>
      <c r="BB285" s="457"/>
      <c r="BC285" s="77"/>
      <c r="BD285" s="458"/>
      <c r="BE285" s="95"/>
      <c r="BF285" s="82"/>
      <c r="BG285" s="459"/>
      <c r="BH285" s="459"/>
      <c r="BI285" s="77"/>
      <c r="BJ285" s="454"/>
      <c r="BK285" s="460"/>
      <c r="BL285" s="461"/>
      <c r="BM285" s="461"/>
      <c r="BN285" s="462"/>
      <c r="BO285" s="463"/>
      <c r="BP285" s="81" t="str">
        <f>IF(F285&gt;$F$18,"",IF(BO285&lt;&gt;"","",IF(ISNA(VLOOKUP('I. Stream &amp; Compound Data'!H285,'Potency Factors '!D$4:E$55,2,FALSE))=TRUE,0,VLOOKUP('I. Stream &amp; Compound Data'!H285,'Potency Factors '!D$4:E$55,2,FALSE))))</f>
        <v/>
      </c>
      <c r="BQ285" s="456"/>
      <c r="BR285" s="81" t="str">
        <f>IF(F285&gt;$F$18,"",IF(BQ285&lt;&gt;"","",IF(ISNA(VLOOKUP('I. Stream &amp; Compound Data'!H285,'Potency Factors '!D$68:E$167,2,FALSE))=TRUE,0,VLOOKUP('I. Stream &amp; Compound Data'!H285,'Potency Factors '!D$68:E$167,2,FALSE))))</f>
        <v/>
      </c>
      <c r="BS285" s="456"/>
      <c r="BT285" s="81" t="str">
        <f>IF(F285&gt;$F$18,"",IF(BS285&lt;&gt;"","",IF(ISNA(VLOOKUP('I. Stream &amp; Compound Data'!H285,'Potency Factors '!$D$412:$F$473,3,FALSE))=TRUE,0,VLOOKUP('I. Stream &amp; Compound Data'!H285,'Potency Factors '!$D$412:$F$473,3,FALSE))))</f>
        <v/>
      </c>
      <c r="BU285" s="456"/>
      <c r="BV285" s="81" t="str">
        <f>IF(F285&gt;$F$18,"",IF(BU285&lt;&gt;"","",IF(ISNA(VLOOKUP('I. Stream &amp; Compound Data'!H285,'Potency Factors '!D$180:E$185,2,FALSE))=TRUE,0,VLOOKUP('I. Stream &amp; Compound Data'!H285,'Potency Factors '!D$180:E$185,2,FALSE))))</f>
        <v/>
      </c>
      <c r="BW285" s="83"/>
      <c r="BX285" s="82" t="str">
        <f t="shared" si="487"/>
        <v/>
      </c>
      <c r="BY285" s="83"/>
      <c r="BZ285" s="82" t="str">
        <f t="shared" si="488"/>
        <v/>
      </c>
      <c r="CA285" s="83"/>
      <c r="CB285" s="462"/>
      <c r="CC285" s="82" t="str">
        <f t="shared" si="489"/>
        <v/>
      </c>
      <c r="CD285" s="456"/>
      <c r="CE285" s="81" t="str">
        <f>IF(F285&gt;$F$18,"",IF(CD285&lt;&gt;"","",IF(ISNA(VLOOKUP('I. Stream &amp; Compound Data'!H285,'Potency Factors '!D$224:F$345,3,FALSE))=TRUE,0,VLOOKUP('I. Stream &amp; Compound Data'!H285,'Potency Factors '!D$224:F$345,3,FALSE))))</f>
        <v/>
      </c>
      <c r="CF285" s="456"/>
      <c r="CG285" s="81" t="str">
        <f>IF(F285&gt;$F$18,"",IF(CF285&lt;&gt;"","",IF(ISNA(VLOOKUP('I. Stream &amp; Compound Data'!H285,'Potency Factors '!D$361:F$374,3,FALSE))=TRUE,0,VLOOKUP('I. Stream &amp; Compound Data'!H285,'Potency Factors '!D$361:F$374,3,FALSE))))</f>
        <v/>
      </c>
      <c r="CH285" s="83"/>
      <c r="CI285" s="83"/>
      <c r="CJ285" s="83"/>
      <c r="CK285" s="83"/>
      <c r="CL285" s="83"/>
      <c r="CM285" s="83"/>
      <c r="CN285" s="83"/>
      <c r="CO285" s="83"/>
      <c r="CP285" s="83" t="str">
        <f t="shared" si="490"/>
        <v/>
      </c>
      <c r="CQ285" s="456"/>
      <c r="CR285" s="81" t="str">
        <f>IF(F285&gt;$F$18,"",IF(CQ285&lt;&gt;"","",IF(ISNA(VLOOKUP('I. Stream &amp; Compound Data'!H285,'Potency Factors '!D$387:E$399,2,FALSE))=FALSE,VLOOKUP('I. Stream &amp; Compound Data'!H285,'Potency Factors '!D$387:E$399,2,FALSE),IF(ISNUMBER(SEARCH("phosphate",G285))=TRUE,1,IF(ISNUMBER(SEARCH("nitrate",G285))=TRUE,0.1,0)))))</f>
        <v/>
      </c>
      <c r="CS285" s="456"/>
      <c r="CT285" s="84" t="str">
        <f>IF(F285&gt;$F$18,"",IF(CS285&lt;&gt;"","",IF(ISNA(VLOOKUP('I. Stream &amp; Compound Data'!H285,'Potency Factors '!$D$485:$F$558,3,FALSE))=TRUE,0,VLOOKUP('I. Stream &amp; Compound Data'!H285,'Potency Factors '!$D$485:$F$558,3,FALSE))))</f>
        <v/>
      </c>
      <c r="CU285" s="729"/>
    </row>
    <row r="286" spans="2:99" ht="15" x14ac:dyDescent="0.2">
      <c r="B286" s="716"/>
      <c r="C286" s="717"/>
      <c r="D286" s="717"/>
      <c r="E286" s="717"/>
      <c r="F286" s="73">
        <f t="shared" si="479"/>
        <v>25</v>
      </c>
      <c r="G286" s="74" t="str">
        <f t="shared" si="480"/>
        <v/>
      </c>
      <c r="H286" s="75" t="str">
        <f t="shared" si="481"/>
        <v/>
      </c>
      <c r="I286" s="75" t="str">
        <f t="shared" si="482"/>
        <v/>
      </c>
      <c r="J286" s="76" t="str">
        <f t="shared" si="483"/>
        <v/>
      </c>
      <c r="K286" s="450"/>
      <c r="L286" s="77" t="str">
        <f t="shared" si="478"/>
        <v/>
      </c>
      <c r="M286" s="77" t="str">
        <f t="shared" si="471"/>
        <v/>
      </c>
      <c r="N286" s="77" t="str">
        <f t="shared" si="472"/>
        <v/>
      </c>
      <c r="O286" s="77" t="str">
        <f t="shared" si="473"/>
        <v/>
      </c>
      <c r="P286" s="78" t="str">
        <f t="shared" si="474"/>
        <v/>
      </c>
      <c r="Q286" s="79" t="str">
        <f t="shared" si="477"/>
        <v/>
      </c>
      <c r="R286" s="450"/>
      <c r="S286" s="426"/>
      <c r="T286" s="451"/>
      <c r="U286" s="450"/>
      <c r="V286" s="426"/>
      <c r="W286" s="80" t="str">
        <f t="shared" si="475"/>
        <v/>
      </c>
      <c r="X286" s="452"/>
      <c r="Y286" s="450"/>
      <c r="Z286" s="426"/>
      <c r="AA286" s="426"/>
      <c r="AB286" s="454"/>
      <c r="AC286" s="81"/>
      <c r="AD286" s="77"/>
      <c r="AE286" s="77"/>
      <c r="AF286" s="454"/>
      <c r="AG286" s="453"/>
      <c r="AH286" s="426"/>
      <c r="AI286" s="77"/>
      <c r="AJ286" s="426"/>
      <c r="AK286" s="77"/>
      <c r="AL286" s="96"/>
      <c r="AM286" s="450"/>
      <c r="AN286" s="426"/>
      <c r="AO286" s="426"/>
      <c r="AP286" s="455"/>
      <c r="AQ286" s="81" t="str">
        <f t="shared" si="484"/>
        <v/>
      </c>
      <c r="AR286" s="456"/>
      <c r="AS286" s="81" t="str">
        <f t="shared" si="485"/>
        <v/>
      </c>
      <c r="AT286" s="456"/>
      <c r="AU286" s="81" t="str">
        <f t="shared" si="486"/>
        <v/>
      </c>
      <c r="AV286" s="75"/>
      <c r="AW286" s="75"/>
      <c r="AX286" s="454"/>
      <c r="AY286" s="453"/>
      <c r="AZ286" s="462"/>
      <c r="BA286" s="77"/>
      <c r="BB286" s="457"/>
      <c r="BC286" s="77"/>
      <c r="BD286" s="458"/>
      <c r="BE286" s="95"/>
      <c r="BF286" s="82"/>
      <c r="BG286" s="459"/>
      <c r="BH286" s="459"/>
      <c r="BI286" s="77"/>
      <c r="BJ286" s="454"/>
      <c r="BK286" s="460"/>
      <c r="BL286" s="461"/>
      <c r="BM286" s="461"/>
      <c r="BN286" s="462"/>
      <c r="BO286" s="463"/>
      <c r="BP286" s="81" t="str">
        <f>IF(F286&gt;$F$18,"",IF(BO286&lt;&gt;"","",IF(ISNA(VLOOKUP('I. Stream &amp; Compound Data'!H286,'Potency Factors '!D$4:E$55,2,FALSE))=TRUE,0,VLOOKUP('I. Stream &amp; Compound Data'!H286,'Potency Factors '!D$4:E$55,2,FALSE))))</f>
        <v/>
      </c>
      <c r="BQ286" s="456"/>
      <c r="BR286" s="81" t="str">
        <f>IF(F286&gt;$F$18,"",IF(BQ286&lt;&gt;"","",IF(ISNA(VLOOKUP('I. Stream &amp; Compound Data'!H286,'Potency Factors '!D$68:E$167,2,FALSE))=TRUE,0,VLOOKUP('I. Stream &amp; Compound Data'!H286,'Potency Factors '!D$68:E$167,2,FALSE))))</f>
        <v/>
      </c>
      <c r="BS286" s="456"/>
      <c r="BT286" s="81" t="str">
        <f>IF(F286&gt;$F$18,"",IF(BS286&lt;&gt;"","",IF(ISNA(VLOOKUP('I. Stream &amp; Compound Data'!H286,'Potency Factors '!$D$412:$F$473,3,FALSE))=TRUE,0,VLOOKUP('I. Stream &amp; Compound Data'!H286,'Potency Factors '!$D$412:$F$473,3,FALSE))))</f>
        <v/>
      </c>
      <c r="BU286" s="456"/>
      <c r="BV286" s="81" t="str">
        <f>IF(F286&gt;$F$18,"",IF(BU286&lt;&gt;"","",IF(ISNA(VLOOKUP('I. Stream &amp; Compound Data'!H286,'Potency Factors '!D$180:E$185,2,FALSE))=TRUE,0,VLOOKUP('I. Stream &amp; Compound Data'!H286,'Potency Factors '!D$180:E$185,2,FALSE))))</f>
        <v/>
      </c>
      <c r="BW286" s="83"/>
      <c r="BX286" s="82" t="str">
        <f t="shared" si="487"/>
        <v/>
      </c>
      <c r="BY286" s="83"/>
      <c r="BZ286" s="82" t="str">
        <f t="shared" si="488"/>
        <v/>
      </c>
      <c r="CA286" s="83"/>
      <c r="CB286" s="462"/>
      <c r="CC286" s="82" t="str">
        <f t="shared" si="489"/>
        <v/>
      </c>
      <c r="CD286" s="456"/>
      <c r="CE286" s="81" t="str">
        <f>IF(F286&gt;$F$18,"",IF(CD286&lt;&gt;"","",IF(ISNA(VLOOKUP('I. Stream &amp; Compound Data'!H286,'Potency Factors '!D$224:F$345,3,FALSE))=TRUE,0,VLOOKUP('I. Stream &amp; Compound Data'!H286,'Potency Factors '!D$224:F$345,3,FALSE))))</f>
        <v/>
      </c>
      <c r="CF286" s="456"/>
      <c r="CG286" s="81" t="str">
        <f>IF(F286&gt;$F$18,"",IF(CF286&lt;&gt;"","",IF(ISNA(VLOOKUP('I. Stream &amp; Compound Data'!H286,'Potency Factors '!D$361:F$374,3,FALSE))=TRUE,0,VLOOKUP('I. Stream &amp; Compound Data'!H286,'Potency Factors '!D$361:F$374,3,FALSE))))</f>
        <v/>
      </c>
      <c r="CH286" s="83"/>
      <c r="CI286" s="83"/>
      <c r="CJ286" s="83"/>
      <c r="CK286" s="83"/>
      <c r="CL286" s="83"/>
      <c r="CM286" s="83"/>
      <c r="CN286" s="83"/>
      <c r="CO286" s="83"/>
      <c r="CP286" s="83" t="str">
        <f t="shared" si="490"/>
        <v/>
      </c>
      <c r="CQ286" s="456"/>
      <c r="CR286" s="81" t="str">
        <f>IF(F286&gt;$F$18,"",IF(CQ286&lt;&gt;"","",IF(ISNA(VLOOKUP('I. Stream &amp; Compound Data'!H286,'Potency Factors '!D$387:E$399,2,FALSE))=FALSE,VLOOKUP('I. Stream &amp; Compound Data'!H286,'Potency Factors '!D$387:E$399,2,FALSE),IF(ISNUMBER(SEARCH("phosphate",G286))=TRUE,1,IF(ISNUMBER(SEARCH("nitrate",G286))=TRUE,0.1,0)))))</f>
        <v/>
      </c>
      <c r="CS286" s="456"/>
      <c r="CT286" s="84" t="str">
        <f>IF(F286&gt;$F$18,"",IF(CS286&lt;&gt;"","",IF(ISNA(VLOOKUP('I. Stream &amp; Compound Data'!H286,'Potency Factors '!$D$485:$F$558,3,FALSE))=TRUE,0,VLOOKUP('I. Stream &amp; Compound Data'!H286,'Potency Factors '!$D$485:$F$558,3,FALSE))))</f>
        <v/>
      </c>
      <c r="CU286" s="729"/>
    </row>
    <row r="287" spans="2:99" ht="15" x14ac:dyDescent="0.2">
      <c r="B287" s="716"/>
      <c r="C287" s="717"/>
      <c r="D287" s="717"/>
      <c r="E287" s="717"/>
      <c r="F287" s="73">
        <f t="shared" si="479"/>
        <v>26</v>
      </c>
      <c r="G287" s="74" t="str">
        <f t="shared" si="480"/>
        <v/>
      </c>
      <c r="H287" s="75" t="str">
        <f t="shared" si="481"/>
        <v/>
      </c>
      <c r="I287" s="75" t="str">
        <f t="shared" si="482"/>
        <v/>
      </c>
      <c r="J287" s="76" t="str">
        <f t="shared" si="483"/>
        <v/>
      </c>
      <c r="K287" s="450"/>
      <c r="L287" s="77" t="str">
        <f t="shared" si="478"/>
        <v/>
      </c>
      <c r="M287" s="77" t="str">
        <f t="shared" si="471"/>
        <v/>
      </c>
      <c r="N287" s="77" t="str">
        <f t="shared" si="472"/>
        <v/>
      </c>
      <c r="O287" s="77" t="str">
        <f t="shared" si="473"/>
        <v/>
      </c>
      <c r="P287" s="78" t="str">
        <f t="shared" si="474"/>
        <v/>
      </c>
      <c r="Q287" s="79" t="str">
        <f t="shared" si="477"/>
        <v/>
      </c>
      <c r="R287" s="450"/>
      <c r="S287" s="426"/>
      <c r="T287" s="451"/>
      <c r="U287" s="450"/>
      <c r="V287" s="426"/>
      <c r="W287" s="80" t="str">
        <f t="shared" si="475"/>
        <v/>
      </c>
      <c r="X287" s="452"/>
      <c r="Y287" s="450"/>
      <c r="Z287" s="426"/>
      <c r="AA287" s="426"/>
      <c r="AB287" s="454"/>
      <c r="AC287" s="81"/>
      <c r="AD287" s="77"/>
      <c r="AE287" s="77"/>
      <c r="AF287" s="454"/>
      <c r="AG287" s="453"/>
      <c r="AH287" s="426"/>
      <c r="AI287" s="77"/>
      <c r="AJ287" s="426"/>
      <c r="AK287" s="77"/>
      <c r="AL287" s="96"/>
      <c r="AM287" s="450"/>
      <c r="AN287" s="426"/>
      <c r="AO287" s="426"/>
      <c r="AP287" s="455"/>
      <c r="AQ287" s="81" t="str">
        <f t="shared" si="484"/>
        <v/>
      </c>
      <c r="AR287" s="456"/>
      <c r="AS287" s="81" t="str">
        <f t="shared" si="485"/>
        <v/>
      </c>
      <c r="AT287" s="456"/>
      <c r="AU287" s="81" t="str">
        <f t="shared" si="486"/>
        <v/>
      </c>
      <c r="AV287" s="75"/>
      <c r="AW287" s="75"/>
      <c r="AX287" s="454"/>
      <c r="AY287" s="453"/>
      <c r="AZ287" s="462"/>
      <c r="BA287" s="77"/>
      <c r="BB287" s="457"/>
      <c r="BC287" s="77"/>
      <c r="BD287" s="458"/>
      <c r="BE287" s="95"/>
      <c r="BF287" s="82"/>
      <c r="BG287" s="459"/>
      <c r="BH287" s="459"/>
      <c r="BI287" s="77"/>
      <c r="BJ287" s="454"/>
      <c r="BK287" s="460"/>
      <c r="BL287" s="461"/>
      <c r="BM287" s="461"/>
      <c r="BN287" s="462"/>
      <c r="BO287" s="463"/>
      <c r="BP287" s="81" t="str">
        <f>IF(F287&gt;$F$18,"",IF(BO287&lt;&gt;"","",IF(ISNA(VLOOKUP('I. Stream &amp; Compound Data'!H287,'Potency Factors '!D$4:E$55,2,FALSE))=TRUE,0,VLOOKUP('I. Stream &amp; Compound Data'!H287,'Potency Factors '!D$4:E$55,2,FALSE))))</f>
        <v/>
      </c>
      <c r="BQ287" s="456"/>
      <c r="BR287" s="81" t="str">
        <f>IF(F287&gt;$F$18,"",IF(BQ287&lt;&gt;"","",IF(ISNA(VLOOKUP('I. Stream &amp; Compound Data'!H287,'Potency Factors '!D$68:E$167,2,FALSE))=TRUE,0,VLOOKUP('I. Stream &amp; Compound Data'!H287,'Potency Factors '!D$68:E$167,2,FALSE))))</f>
        <v/>
      </c>
      <c r="BS287" s="456"/>
      <c r="BT287" s="81" t="str">
        <f>IF(F287&gt;$F$18,"",IF(BS287&lt;&gt;"","",IF(ISNA(VLOOKUP('I. Stream &amp; Compound Data'!H287,'Potency Factors '!$D$412:$F$473,3,FALSE))=TRUE,0,VLOOKUP('I. Stream &amp; Compound Data'!H287,'Potency Factors '!$D$412:$F$473,3,FALSE))))</f>
        <v/>
      </c>
      <c r="BU287" s="456"/>
      <c r="BV287" s="81" t="str">
        <f>IF(F287&gt;$F$18,"",IF(BU287&lt;&gt;"","",IF(ISNA(VLOOKUP('I. Stream &amp; Compound Data'!H287,'Potency Factors '!D$180:E$185,2,FALSE))=TRUE,0,VLOOKUP('I. Stream &amp; Compound Data'!H287,'Potency Factors '!D$180:E$185,2,FALSE))))</f>
        <v/>
      </c>
      <c r="BW287" s="83"/>
      <c r="BX287" s="82" t="str">
        <f t="shared" si="487"/>
        <v/>
      </c>
      <c r="BY287" s="83"/>
      <c r="BZ287" s="82" t="str">
        <f t="shared" si="488"/>
        <v/>
      </c>
      <c r="CA287" s="83"/>
      <c r="CB287" s="462"/>
      <c r="CC287" s="82" t="str">
        <f t="shared" si="489"/>
        <v/>
      </c>
      <c r="CD287" s="456"/>
      <c r="CE287" s="81" t="str">
        <f>IF(F287&gt;$F$18,"",IF(CD287&lt;&gt;"","",IF(ISNA(VLOOKUP('I. Stream &amp; Compound Data'!H287,'Potency Factors '!D$224:F$345,3,FALSE))=TRUE,0,VLOOKUP('I. Stream &amp; Compound Data'!H287,'Potency Factors '!D$224:F$345,3,FALSE))))</f>
        <v/>
      </c>
      <c r="CF287" s="456"/>
      <c r="CG287" s="81" t="str">
        <f>IF(F287&gt;$F$18,"",IF(CF287&lt;&gt;"","",IF(ISNA(VLOOKUP('I. Stream &amp; Compound Data'!H287,'Potency Factors '!D$361:F$374,3,FALSE))=TRUE,0,VLOOKUP('I. Stream &amp; Compound Data'!H287,'Potency Factors '!D$361:F$374,3,FALSE))))</f>
        <v/>
      </c>
      <c r="CH287" s="83"/>
      <c r="CI287" s="83"/>
      <c r="CJ287" s="83"/>
      <c r="CK287" s="83"/>
      <c r="CL287" s="83"/>
      <c r="CM287" s="83"/>
      <c r="CN287" s="83"/>
      <c r="CO287" s="83"/>
      <c r="CP287" s="83" t="str">
        <f t="shared" si="490"/>
        <v/>
      </c>
      <c r="CQ287" s="456"/>
      <c r="CR287" s="81" t="str">
        <f>IF(F287&gt;$F$18,"",IF(CQ287&lt;&gt;"","",IF(ISNA(VLOOKUP('I. Stream &amp; Compound Data'!H287,'Potency Factors '!D$387:E$399,2,FALSE))=FALSE,VLOOKUP('I. Stream &amp; Compound Data'!H287,'Potency Factors '!D$387:E$399,2,FALSE),IF(ISNUMBER(SEARCH("phosphate",G287))=TRUE,1,IF(ISNUMBER(SEARCH("nitrate",G287))=TRUE,0.1,0)))))</f>
        <v/>
      </c>
      <c r="CS287" s="456"/>
      <c r="CT287" s="84" t="str">
        <f>IF(F287&gt;$F$18,"",IF(CS287&lt;&gt;"","",IF(ISNA(VLOOKUP('I. Stream &amp; Compound Data'!H287,'Potency Factors '!$D$485:$F$558,3,FALSE))=TRUE,0,VLOOKUP('I. Stream &amp; Compound Data'!H287,'Potency Factors '!$D$485:$F$558,3,FALSE))))</f>
        <v/>
      </c>
      <c r="CU287" s="729"/>
    </row>
    <row r="288" spans="2:99" ht="15" x14ac:dyDescent="0.2">
      <c r="B288" s="716"/>
      <c r="C288" s="717"/>
      <c r="D288" s="717"/>
      <c r="E288" s="717"/>
      <c r="F288" s="73">
        <f t="shared" si="479"/>
        <v>27</v>
      </c>
      <c r="G288" s="74" t="str">
        <f t="shared" si="480"/>
        <v/>
      </c>
      <c r="H288" s="75" t="str">
        <f t="shared" si="481"/>
        <v/>
      </c>
      <c r="I288" s="75" t="str">
        <f t="shared" si="482"/>
        <v/>
      </c>
      <c r="J288" s="76" t="str">
        <f t="shared" si="483"/>
        <v/>
      </c>
      <c r="K288" s="450"/>
      <c r="L288" s="77" t="str">
        <f t="shared" si="478"/>
        <v/>
      </c>
      <c r="M288" s="77" t="str">
        <f t="shared" si="471"/>
        <v/>
      </c>
      <c r="N288" s="77" t="str">
        <f t="shared" si="472"/>
        <v/>
      </c>
      <c r="O288" s="77" t="str">
        <f t="shared" si="473"/>
        <v/>
      </c>
      <c r="P288" s="78" t="str">
        <f t="shared" si="474"/>
        <v/>
      </c>
      <c r="Q288" s="79" t="str">
        <f t="shared" si="477"/>
        <v/>
      </c>
      <c r="R288" s="450"/>
      <c r="S288" s="426"/>
      <c r="T288" s="451"/>
      <c r="U288" s="450"/>
      <c r="V288" s="426"/>
      <c r="W288" s="80" t="str">
        <f t="shared" si="475"/>
        <v/>
      </c>
      <c r="X288" s="452"/>
      <c r="Y288" s="450"/>
      <c r="Z288" s="426"/>
      <c r="AA288" s="426"/>
      <c r="AB288" s="454"/>
      <c r="AC288" s="81"/>
      <c r="AD288" s="77"/>
      <c r="AE288" s="77"/>
      <c r="AF288" s="454"/>
      <c r="AG288" s="453"/>
      <c r="AH288" s="426"/>
      <c r="AI288" s="77"/>
      <c r="AJ288" s="426"/>
      <c r="AK288" s="77"/>
      <c r="AL288" s="96"/>
      <c r="AM288" s="450"/>
      <c r="AN288" s="426"/>
      <c r="AO288" s="426"/>
      <c r="AP288" s="455"/>
      <c r="AQ288" s="81" t="str">
        <f t="shared" si="484"/>
        <v/>
      </c>
      <c r="AR288" s="456"/>
      <c r="AS288" s="81" t="str">
        <f t="shared" si="485"/>
        <v/>
      </c>
      <c r="AT288" s="456"/>
      <c r="AU288" s="81" t="str">
        <f t="shared" si="486"/>
        <v/>
      </c>
      <c r="AV288" s="75"/>
      <c r="AW288" s="75"/>
      <c r="AX288" s="454"/>
      <c r="AY288" s="453"/>
      <c r="AZ288" s="462"/>
      <c r="BA288" s="77"/>
      <c r="BB288" s="457"/>
      <c r="BC288" s="77"/>
      <c r="BD288" s="458"/>
      <c r="BE288" s="95"/>
      <c r="BF288" s="82"/>
      <c r="BG288" s="459"/>
      <c r="BH288" s="459"/>
      <c r="BI288" s="77"/>
      <c r="BJ288" s="454"/>
      <c r="BK288" s="460"/>
      <c r="BL288" s="461"/>
      <c r="BM288" s="461"/>
      <c r="BN288" s="462"/>
      <c r="BO288" s="463"/>
      <c r="BP288" s="81" t="str">
        <f>IF(F288&gt;$F$18,"",IF(BO288&lt;&gt;"","",IF(ISNA(VLOOKUP('I. Stream &amp; Compound Data'!H288,'Potency Factors '!D$4:E$55,2,FALSE))=TRUE,0,VLOOKUP('I. Stream &amp; Compound Data'!H288,'Potency Factors '!D$4:E$55,2,FALSE))))</f>
        <v/>
      </c>
      <c r="BQ288" s="456"/>
      <c r="BR288" s="81" t="str">
        <f>IF(F288&gt;$F$18,"",IF(BQ288&lt;&gt;"","",IF(ISNA(VLOOKUP('I. Stream &amp; Compound Data'!H288,'Potency Factors '!D$68:E$167,2,FALSE))=TRUE,0,VLOOKUP('I. Stream &amp; Compound Data'!H288,'Potency Factors '!D$68:E$167,2,FALSE))))</f>
        <v/>
      </c>
      <c r="BS288" s="456"/>
      <c r="BT288" s="81" t="str">
        <f>IF(F288&gt;$F$18,"",IF(BS288&lt;&gt;"","",IF(ISNA(VLOOKUP('I. Stream &amp; Compound Data'!H288,'Potency Factors '!$D$412:$F$473,3,FALSE))=TRUE,0,VLOOKUP('I. Stream &amp; Compound Data'!H288,'Potency Factors '!$D$412:$F$473,3,FALSE))))</f>
        <v/>
      </c>
      <c r="BU288" s="456"/>
      <c r="BV288" s="81" t="str">
        <f>IF(F288&gt;$F$18,"",IF(BU288&lt;&gt;"","",IF(ISNA(VLOOKUP('I. Stream &amp; Compound Data'!H288,'Potency Factors '!D$180:E$185,2,FALSE))=TRUE,0,VLOOKUP('I. Stream &amp; Compound Data'!H288,'Potency Factors '!D$180:E$185,2,FALSE))))</f>
        <v/>
      </c>
      <c r="BW288" s="83"/>
      <c r="BX288" s="82" t="str">
        <f t="shared" si="487"/>
        <v/>
      </c>
      <c r="BY288" s="83"/>
      <c r="BZ288" s="82" t="str">
        <f t="shared" si="488"/>
        <v/>
      </c>
      <c r="CA288" s="83"/>
      <c r="CB288" s="462"/>
      <c r="CC288" s="82" t="str">
        <f t="shared" si="489"/>
        <v/>
      </c>
      <c r="CD288" s="456"/>
      <c r="CE288" s="81" t="str">
        <f>IF(F288&gt;$F$18,"",IF(CD288&lt;&gt;"","",IF(ISNA(VLOOKUP('I. Stream &amp; Compound Data'!H288,'Potency Factors '!D$224:F$345,3,FALSE))=TRUE,0,VLOOKUP('I. Stream &amp; Compound Data'!H288,'Potency Factors '!D$224:F$345,3,FALSE))))</f>
        <v/>
      </c>
      <c r="CF288" s="456"/>
      <c r="CG288" s="81" t="str">
        <f>IF(F288&gt;$F$18,"",IF(CF288&lt;&gt;"","",IF(ISNA(VLOOKUP('I. Stream &amp; Compound Data'!H288,'Potency Factors '!D$361:F$374,3,FALSE))=TRUE,0,VLOOKUP('I. Stream &amp; Compound Data'!H288,'Potency Factors '!D$361:F$374,3,FALSE))))</f>
        <v/>
      </c>
      <c r="CH288" s="83"/>
      <c r="CI288" s="83"/>
      <c r="CJ288" s="83"/>
      <c r="CK288" s="83"/>
      <c r="CL288" s="83"/>
      <c r="CM288" s="83"/>
      <c r="CN288" s="83"/>
      <c r="CO288" s="83"/>
      <c r="CP288" s="83" t="str">
        <f t="shared" si="490"/>
        <v/>
      </c>
      <c r="CQ288" s="456"/>
      <c r="CR288" s="81" t="str">
        <f>IF(F288&gt;$F$18,"",IF(CQ288&lt;&gt;"","",IF(ISNA(VLOOKUP('I. Stream &amp; Compound Data'!H288,'Potency Factors '!D$387:E$399,2,FALSE))=FALSE,VLOOKUP('I. Stream &amp; Compound Data'!H288,'Potency Factors '!D$387:E$399,2,FALSE),IF(ISNUMBER(SEARCH("phosphate",G288))=TRUE,1,IF(ISNUMBER(SEARCH("nitrate",G288))=TRUE,0.1,0)))))</f>
        <v/>
      </c>
      <c r="CS288" s="456"/>
      <c r="CT288" s="84" t="str">
        <f>IF(F288&gt;$F$18,"",IF(CS288&lt;&gt;"","",IF(ISNA(VLOOKUP('I. Stream &amp; Compound Data'!H288,'Potency Factors '!$D$485:$F$558,3,FALSE))=TRUE,0,VLOOKUP('I. Stream &amp; Compound Data'!H288,'Potency Factors '!$D$485:$F$558,3,FALSE))))</f>
        <v/>
      </c>
      <c r="CU288" s="729"/>
    </row>
    <row r="289" spans="2:99" ht="15" x14ac:dyDescent="0.2">
      <c r="B289" s="716"/>
      <c r="C289" s="717"/>
      <c r="D289" s="717"/>
      <c r="E289" s="717"/>
      <c r="F289" s="73">
        <f t="shared" si="479"/>
        <v>28</v>
      </c>
      <c r="G289" s="74" t="str">
        <f t="shared" si="480"/>
        <v/>
      </c>
      <c r="H289" s="75" t="str">
        <f t="shared" si="481"/>
        <v/>
      </c>
      <c r="I289" s="75" t="str">
        <f t="shared" si="482"/>
        <v/>
      </c>
      <c r="J289" s="76" t="str">
        <f t="shared" si="483"/>
        <v/>
      </c>
      <c r="K289" s="450"/>
      <c r="L289" s="77" t="str">
        <f t="shared" si="478"/>
        <v/>
      </c>
      <c r="M289" s="77" t="str">
        <f t="shared" si="471"/>
        <v/>
      </c>
      <c r="N289" s="77" t="str">
        <f t="shared" si="472"/>
        <v/>
      </c>
      <c r="O289" s="77" t="str">
        <f t="shared" si="473"/>
        <v/>
      </c>
      <c r="P289" s="78" t="str">
        <f t="shared" si="474"/>
        <v/>
      </c>
      <c r="Q289" s="79" t="str">
        <f t="shared" si="477"/>
        <v/>
      </c>
      <c r="R289" s="450"/>
      <c r="S289" s="426"/>
      <c r="T289" s="451"/>
      <c r="U289" s="450"/>
      <c r="V289" s="426"/>
      <c r="W289" s="80" t="str">
        <f t="shared" si="475"/>
        <v/>
      </c>
      <c r="X289" s="452"/>
      <c r="Y289" s="450"/>
      <c r="Z289" s="426"/>
      <c r="AA289" s="426"/>
      <c r="AB289" s="454"/>
      <c r="AC289" s="81"/>
      <c r="AD289" s="77"/>
      <c r="AE289" s="77"/>
      <c r="AF289" s="454"/>
      <c r="AG289" s="453"/>
      <c r="AH289" s="426"/>
      <c r="AI289" s="77"/>
      <c r="AJ289" s="426"/>
      <c r="AK289" s="77"/>
      <c r="AL289" s="96"/>
      <c r="AM289" s="450"/>
      <c r="AN289" s="426"/>
      <c r="AO289" s="426"/>
      <c r="AP289" s="455"/>
      <c r="AQ289" s="81" t="str">
        <f t="shared" si="484"/>
        <v/>
      </c>
      <c r="AR289" s="456"/>
      <c r="AS289" s="81" t="str">
        <f t="shared" si="485"/>
        <v/>
      </c>
      <c r="AT289" s="456"/>
      <c r="AU289" s="81" t="str">
        <f t="shared" si="486"/>
        <v/>
      </c>
      <c r="AV289" s="75"/>
      <c r="AW289" s="75"/>
      <c r="AX289" s="454"/>
      <c r="AY289" s="453"/>
      <c r="AZ289" s="462"/>
      <c r="BA289" s="77"/>
      <c r="BB289" s="457"/>
      <c r="BC289" s="77"/>
      <c r="BD289" s="458"/>
      <c r="BE289" s="95"/>
      <c r="BF289" s="82"/>
      <c r="BG289" s="459"/>
      <c r="BH289" s="459"/>
      <c r="BI289" s="77"/>
      <c r="BJ289" s="454"/>
      <c r="BK289" s="460"/>
      <c r="BL289" s="461"/>
      <c r="BM289" s="461"/>
      <c r="BN289" s="462"/>
      <c r="BO289" s="463"/>
      <c r="BP289" s="81" t="str">
        <f>IF(F289&gt;$F$18,"",IF(BO289&lt;&gt;"","",IF(ISNA(VLOOKUP('I. Stream &amp; Compound Data'!H289,'Potency Factors '!D$4:E$55,2,FALSE))=TRUE,0,VLOOKUP('I. Stream &amp; Compound Data'!H289,'Potency Factors '!D$4:E$55,2,FALSE))))</f>
        <v/>
      </c>
      <c r="BQ289" s="456"/>
      <c r="BR289" s="81" t="str">
        <f>IF(F289&gt;$F$18,"",IF(BQ289&lt;&gt;"","",IF(ISNA(VLOOKUP('I. Stream &amp; Compound Data'!H289,'Potency Factors '!D$68:E$167,2,FALSE))=TRUE,0,VLOOKUP('I. Stream &amp; Compound Data'!H289,'Potency Factors '!D$68:E$167,2,FALSE))))</f>
        <v/>
      </c>
      <c r="BS289" s="456"/>
      <c r="BT289" s="81" t="str">
        <f>IF(F289&gt;$F$18,"",IF(BS289&lt;&gt;"","",IF(ISNA(VLOOKUP('I. Stream &amp; Compound Data'!H289,'Potency Factors '!$D$412:$F$473,3,FALSE))=TRUE,0,VLOOKUP('I. Stream &amp; Compound Data'!H289,'Potency Factors '!$D$412:$F$473,3,FALSE))))</f>
        <v/>
      </c>
      <c r="BU289" s="456"/>
      <c r="BV289" s="81" t="str">
        <f>IF(F289&gt;$F$18,"",IF(BU289&lt;&gt;"","",IF(ISNA(VLOOKUP('I. Stream &amp; Compound Data'!H289,'Potency Factors '!D$180:E$185,2,FALSE))=TRUE,0,VLOOKUP('I. Stream &amp; Compound Data'!H289,'Potency Factors '!D$180:E$185,2,FALSE))))</f>
        <v/>
      </c>
      <c r="BW289" s="83"/>
      <c r="BX289" s="82" t="str">
        <f t="shared" si="487"/>
        <v/>
      </c>
      <c r="BY289" s="83"/>
      <c r="BZ289" s="82" t="str">
        <f t="shared" si="488"/>
        <v/>
      </c>
      <c r="CA289" s="83"/>
      <c r="CB289" s="462"/>
      <c r="CC289" s="82" t="str">
        <f t="shared" si="489"/>
        <v/>
      </c>
      <c r="CD289" s="456"/>
      <c r="CE289" s="81" t="str">
        <f>IF(F289&gt;$F$18,"",IF(CD289&lt;&gt;"","",IF(ISNA(VLOOKUP('I. Stream &amp; Compound Data'!H289,'Potency Factors '!D$224:F$345,3,FALSE))=TRUE,0,VLOOKUP('I. Stream &amp; Compound Data'!H289,'Potency Factors '!D$224:F$345,3,FALSE))))</f>
        <v/>
      </c>
      <c r="CF289" s="456"/>
      <c r="CG289" s="81" t="str">
        <f>IF(F289&gt;$F$18,"",IF(CF289&lt;&gt;"","",IF(ISNA(VLOOKUP('I. Stream &amp; Compound Data'!H289,'Potency Factors '!D$361:F$374,3,FALSE))=TRUE,0,VLOOKUP('I. Stream &amp; Compound Data'!H289,'Potency Factors '!D$361:F$374,3,FALSE))))</f>
        <v/>
      </c>
      <c r="CH289" s="83"/>
      <c r="CI289" s="83"/>
      <c r="CJ289" s="83"/>
      <c r="CK289" s="83"/>
      <c r="CL289" s="83"/>
      <c r="CM289" s="83"/>
      <c r="CN289" s="83"/>
      <c r="CO289" s="83"/>
      <c r="CP289" s="83" t="str">
        <f t="shared" si="490"/>
        <v/>
      </c>
      <c r="CQ289" s="456"/>
      <c r="CR289" s="81" t="str">
        <f>IF(F289&gt;$F$18,"",IF(CQ289&lt;&gt;"","",IF(ISNA(VLOOKUP('I. Stream &amp; Compound Data'!H289,'Potency Factors '!D$387:E$399,2,FALSE))=FALSE,VLOOKUP('I. Stream &amp; Compound Data'!H289,'Potency Factors '!D$387:E$399,2,FALSE),IF(ISNUMBER(SEARCH("phosphate",G289))=TRUE,1,IF(ISNUMBER(SEARCH("nitrate",G289))=TRUE,0.1,0)))))</f>
        <v/>
      </c>
      <c r="CS289" s="456"/>
      <c r="CT289" s="84" t="str">
        <f>IF(F289&gt;$F$18,"",IF(CS289&lt;&gt;"","",IF(ISNA(VLOOKUP('I. Stream &amp; Compound Data'!H289,'Potency Factors '!$D$485:$F$558,3,FALSE))=TRUE,0,VLOOKUP('I. Stream &amp; Compound Data'!H289,'Potency Factors '!$D$485:$F$558,3,FALSE))))</f>
        <v/>
      </c>
      <c r="CU289" s="729"/>
    </row>
    <row r="290" spans="2:99" ht="15" x14ac:dyDescent="0.2">
      <c r="B290" s="716"/>
      <c r="C290" s="717"/>
      <c r="D290" s="717"/>
      <c r="E290" s="717"/>
      <c r="F290" s="73">
        <f t="shared" si="479"/>
        <v>29</v>
      </c>
      <c r="G290" s="74" t="str">
        <f t="shared" si="480"/>
        <v/>
      </c>
      <c r="H290" s="75" t="str">
        <f t="shared" si="481"/>
        <v/>
      </c>
      <c r="I290" s="75" t="str">
        <f t="shared" si="482"/>
        <v/>
      </c>
      <c r="J290" s="76" t="str">
        <f t="shared" si="483"/>
        <v/>
      </c>
      <c r="K290" s="450"/>
      <c r="L290" s="77" t="str">
        <f t="shared" si="478"/>
        <v/>
      </c>
      <c r="M290" s="77" t="str">
        <f t="shared" si="471"/>
        <v/>
      </c>
      <c r="N290" s="77" t="str">
        <f t="shared" si="472"/>
        <v/>
      </c>
      <c r="O290" s="77" t="str">
        <f t="shared" si="473"/>
        <v/>
      </c>
      <c r="P290" s="78" t="str">
        <f t="shared" si="474"/>
        <v/>
      </c>
      <c r="Q290" s="79" t="str">
        <f t="shared" si="477"/>
        <v/>
      </c>
      <c r="R290" s="450"/>
      <c r="S290" s="426"/>
      <c r="T290" s="451"/>
      <c r="U290" s="450"/>
      <c r="V290" s="426"/>
      <c r="W290" s="80" t="str">
        <f t="shared" si="475"/>
        <v/>
      </c>
      <c r="X290" s="452"/>
      <c r="Y290" s="450"/>
      <c r="Z290" s="426"/>
      <c r="AA290" s="426"/>
      <c r="AB290" s="454"/>
      <c r="AC290" s="81"/>
      <c r="AD290" s="77"/>
      <c r="AE290" s="77"/>
      <c r="AF290" s="454"/>
      <c r="AG290" s="453"/>
      <c r="AH290" s="426"/>
      <c r="AI290" s="77"/>
      <c r="AJ290" s="426"/>
      <c r="AK290" s="77"/>
      <c r="AL290" s="96"/>
      <c r="AM290" s="450"/>
      <c r="AN290" s="426"/>
      <c r="AO290" s="426"/>
      <c r="AP290" s="455"/>
      <c r="AQ290" s="81" t="str">
        <f t="shared" si="484"/>
        <v/>
      </c>
      <c r="AR290" s="456"/>
      <c r="AS290" s="81" t="str">
        <f t="shared" si="485"/>
        <v/>
      </c>
      <c r="AT290" s="456"/>
      <c r="AU290" s="81" t="str">
        <f t="shared" si="486"/>
        <v/>
      </c>
      <c r="AV290" s="75"/>
      <c r="AW290" s="75"/>
      <c r="AX290" s="454"/>
      <c r="AY290" s="453"/>
      <c r="AZ290" s="462"/>
      <c r="BA290" s="77"/>
      <c r="BB290" s="457"/>
      <c r="BC290" s="77"/>
      <c r="BD290" s="458"/>
      <c r="BE290" s="95"/>
      <c r="BF290" s="82"/>
      <c r="BG290" s="459"/>
      <c r="BH290" s="459"/>
      <c r="BI290" s="77"/>
      <c r="BJ290" s="454"/>
      <c r="BK290" s="460"/>
      <c r="BL290" s="461"/>
      <c r="BM290" s="461"/>
      <c r="BN290" s="462"/>
      <c r="BO290" s="463"/>
      <c r="BP290" s="81" t="str">
        <f>IF(F290&gt;$F$18,"",IF(BO290&lt;&gt;"","",IF(ISNA(VLOOKUP('I. Stream &amp; Compound Data'!H290,'Potency Factors '!D$4:E$55,2,FALSE))=TRUE,0,VLOOKUP('I. Stream &amp; Compound Data'!H290,'Potency Factors '!D$4:E$55,2,FALSE))))</f>
        <v/>
      </c>
      <c r="BQ290" s="456"/>
      <c r="BR290" s="81" t="str">
        <f>IF(F290&gt;$F$18,"",IF(BQ290&lt;&gt;"","",IF(ISNA(VLOOKUP('I. Stream &amp; Compound Data'!H290,'Potency Factors '!D$68:E$167,2,FALSE))=TRUE,0,VLOOKUP('I. Stream &amp; Compound Data'!H290,'Potency Factors '!D$68:E$167,2,FALSE))))</f>
        <v/>
      </c>
      <c r="BS290" s="456"/>
      <c r="BT290" s="81" t="str">
        <f>IF(F290&gt;$F$18,"",IF(BS290&lt;&gt;"","",IF(ISNA(VLOOKUP('I. Stream &amp; Compound Data'!H290,'Potency Factors '!$D$412:$F$473,3,FALSE))=TRUE,0,VLOOKUP('I. Stream &amp; Compound Data'!H290,'Potency Factors '!$D$412:$F$473,3,FALSE))))</f>
        <v/>
      </c>
      <c r="BU290" s="456"/>
      <c r="BV290" s="81" t="str">
        <f>IF(F290&gt;$F$18,"",IF(BU290&lt;&gt;"","",IF(ISNA(VLOOKUP('I. Stream &amp; Compound Data'!H290,'Potency Factors '!D$180:E$185,2,FALSE))=TRUE,0,VLOOKUP('I. Stream &amp; Compound Data'!H290,'Potency Factors '!D$180:E$185,2,FALSE))))</f>
        <v/>
      </c>
      <c r="BW290" s="83"/>
      <c r="BX290" s="82" t="str">
        <f t="shared" si="487"/>
        <v/>
      </c>
      <c r="BY290" s="83"/>
      <c r="BZ290" s="82" t="str">
        <f t="shared" si="488"/>
        <v/>
      </c>
      <c r="CA290" s="83"/>
      <c r="CB290" s="462"/>
      <c r="CC290" s="82" t="str">
        <f t="shared" si="489"/>
        <v/>
      </c>
      <c r="CD290" s="456"/>
      <c r="CE290" s="81" t="str">
        <f>IF(F290&gt;$F$18,"",IF(CD290&lt;&gt;"","",IF(ISNA(VLOOKUP('I. Stream &amp; Compound Data'!H290,'Potency Factors '!D$224:F$345,3,FALSE))=TRUE,0,VLOOKUP('I. Stream &amp; Compound Data'!H290,'Potency Factors '!D$224:F$345,3,FALSE))))</f>
        <v/>
      </c>
      <c r="CF290" s="456"/>
      <c r="CG290" s="81" t="str">
        <f>IF(F290&gt;$F$18,"",IF(CF290&lt;&gt;"","",IF(ISNA(VLOOKUP('I. Stream &amp; Compound Data'!H290,'Potency Factors '!D$361:F$374,3,FALSE))=TRUE,0,VLOOKUP('I. Stream &amp; Compound Data'!H290,'Potency Factors '!D$361:F$374,3,FALSE))))</f>
        <v/>
      </c>
      <c r="CH290" s="83"/>
      <c r="CI290" s="83"/>
      <c r="CJ290" s="83"/>
      <c r="CK290" s="83"/>
      <c r="CL290" s="83"/>
      <c r="CM290" s="83"/>
      <c r="CN290" s="83"/>
      <c r="CO290" s="83"/>
      <c r="CP290" s="83" t="str">
        <f t="shared" si="490"/>
        <v/>
      </c>
      <c r="CQ290" s="456"/>
      <c r="CR290" s="81" t="str">
        <f>IF(F290&gt;$F$18,"",IF(CQ290&lt;&gt;"","",IF(ISNA(VLOOKUP('I. Stream &amp; Compound Data'!H290,'Potency Factors '!D$387:E$399,2,FALSE))=FALSE,VLOOKUP('I. Stream &amp; Compound Data'!H290,'Potency Factors '!D$387:E$399,2,FALSE),IF(ISNUMBER(SEARCH("phosphate",G290))=TRUE,1,IF(ISNUMBER(SEARCH("nitrate",G290))=TRUE,0.1,0)))))</f>
        <v/>
      </c>
      <c r="CS290" s="456"/>
      <c r="CT290" s="84" t="str">
        <f>IF(F290&gt;$F$18,"",IF(CS290&lt;&gt;"","",IF(ISNA(VLOOKUP('I. Stream &amp; Compound Data'!H290,'Potency Factors '!$D$485:$F$558,3,FALSE))=TRUE,0,VLOOKUP('I. Stream &amp; Compound Data'!H290,'Potency Factors '!$D$485:$F$558,3,FALSE))))</f>
        <v/>
      </c>
      <c r="CU290" s="729"/>
    </row>
    <row r="291" spans="2:99" ht="15" x14ac:dyDescent="0.2">
      <c r="B291" s="716"/>
      <c r="C291" s="717"/>
      <c r="D291" s="717"/>
      <c r="E291" s="717"/>
      <c r="F291" s="73">
        <f t="shared" si="479"/>
        <v>30</v>
      </c>
      <c r="G291" s="74" t="str">
        <f t="shared" si="480"/>
        <v/>
      </c>
      <c r="H291" s="75" t="str">
        <f t="shared" si="481"/>
        <v/>
      </c>
      <c r="I291" s="75" t="str">
        <f t="shared" si="482"/>
        <v/>
      </c>
      <c r="J291" s="76" t="str">
        <f t="shared" si="483"/>
        <v/>
      </c>
      <c r="K291" s="450"/>
      <c r="L291" s="77" t="str">
        <f t="shared" si="478"/>
        <v/>
      </c>
      <c r="M291" s="77" t="str">
        <f t="shared" si="471"/>
        <v/>
      </c>
      <c r="N291" s="77" t="str">
        <f t="shared" si="472"/>
        <v/>
      </c>
      <c r="O291" s="77" t="str">
        <f t="shared" si="473"/>
        <v/>
      </c>
      <c r="P291" s="78" t="str">
        <f t="shared" si="474"/>
        <v/>
      </c>
      <c r="Q291" s="79" t="str">
        <f t="shared" si="477"/>
        <v/>
      </c>
      <c r="R291" s="450"/>
      <c r="S291" s="426"/>
      <c r="T291" s="451"/>
      <c r="U291" s="450"/>
      <c r="V291" s="426"/>
      <c r="W291" s="80" t="str">
        <f t="shared" si="475"/>
        <v/>
      </c>
      <c r="X291" s="452"/>
      <c r="Y291" s="450"/>
      <c r="Z291" s="426"/>
      <c r="AA291" s="426"/>
      <c r="AB291" s="454"/>
      <c r="AC291" s="81"/>
      <c r="AD291" s="77"/>
      <c r="AE291" s="77"/>
      <c r="AF291" s="454"/>
      <c r="AG291" s="453"/>
      <c r="AH291" s="426"/>
      <c r="AI291" s="77"/>
      <c r="AJ291" s="426"/>
      <c r="AK291" s="77"/>
      <c r="AL291" s="96"/>
      <c r="AM291" s="450"/>
      <c r="AN291" s="426"/>
      <c r="AO291" s="426"/>
      <c r="AP291" s="455"/>
      <c r="AQ291" s="81" t="str">
        <f t="shared" si="484"/>
        <v/>
      </c>
      <c r="AR291" s="456"/>
      <c r="AS291" s="81" t="str">
        <f t="shared" si="485"/>
        <v/>
      </c>
      <c r="AT291" s="456"/>
      <c r="AU291" s="81" t="str">
        <f t="shared" si="486"/>
        <v/>
      </c>
      <c r="AV291" s="75"/>
      <c r="AW291" s="75"/>
      <c r="AX291" s="454"/>
      <c r="AY291" s="453"/>
      <c r="AZ291" s="462"/>
      <c r="BA291" s="77"/>
      <c r="BB291" s="457"/>
      <c r="BC291" s="77"/>
      <c r="BD291" s="458"/>
      <c r="BE291" s="95"/>
      <c r="BF291" s="82"/>
      <c r="BG291" s="459"/>
      <c r="BH291" s="459"/>
      <c r="BI291" s="77"/>
      <c r="BJ291" s="454"/>
      <c r="BK291" s="460"/>
      <c r="BL291" s="461"/>
      <c r="BM291" s="461"/>
      <c r="BN291" s="462"/>
      <c r="BO291" s="463"/>
      <c r="BP291" s="81" t="str">
        <f>IF(F291&gt;$F$18,"",IF(BO291&lt;&gt;"","",IF(ISNA(VLOOKUP('I. Stream &amp; Compound Data'!H291,'Potency Factors '!D$4:E$55,2,FALSE))=TRUE,0,VLOOKUP('I. Stream &amp; Compound Data'!H291,'Potency Factors '!D$4:E$55,2,FALSE))))</f>
        <v/>
      </c>
      <c r="BQ291" s="456"/>
      <c r="BR291" s="81" t="str">
        <f>IF(F291&gt;$F$18,"",IF(BQ291&lt;&gt;"","",IF(ISNA(VLOOKUP('I. Stream &amp; Compound Data'!H291,'Potency Factors '!D$68:E$167,2,FALSE))=TRUE,0,VLOOKUP('I. Stream &amp; Compound Data'!H291,'Potency Factors '!D$68:E$167,2,FALSE))))</f>
        <v/>
      </c>
      <c r="BS291" s="456"/>
      <c r="BT291" s="81" t="str">
        <f>IF(F291&gt;$F$18,"",IF(BS291&lt;&gt;"","",IF(ISNA(VLOOKUP('I. Stream &amp; Compound Data'!H291,'Potency Factors '!$D$412:$F$473,3,FALSE))=TRUE,0,VLOOKUP('I. Stream &amp; Compound Data'!H291,'Potency Factors '!$D$412:$F$473,3,FALSE))))</f>
        <v/>
      </c>
      <c r="BU291" s="456"/>
      <c r="BV291" s="81" t="str">
        <f>IF(F291&gt;$F$18,"",IF(BU291&lt;&gt;"","",IF(ISNA(VLOOKUP('I. Stream &amp; Compound Data'!H291,'Potency Factors '!D$180:E$185,2,FALSE))=TRUE,0,VLOOKUP('I. Stream &amp; Compound Data'!H291,'Potency Factors '!D$180:E$185,2,FALSE))))</f>
        <v/>
      </c>
      <c r="BW291" s="83"/>
      <c r="BX291" s="82" t="str">
        <f t="shared" si="487"/>
        <v/>
      </c>
      <c r="BY291" s="83"/>
      <c r="BZ291" s="82" t="str">
        <f t="shared" si="488"/>
        <v/>
      </c>
      <c r="CA291" s="83"/>
      <c r="CB291" s="462"/>
      <c r="CC291" s="82" t="str">
        <f t="shared" si="489"/>
        <v/>
      </c>
      <c r="CD291" s="456"/>
      <c r="CE291" s="81" t="str">
        <f>IF(F291&gt;$F$18,"",IF(CD291&lt;&gt;"","",IF(ISNA(VLOOKUP('I. Stream &amp; Compound Data'!H291,'Potency Factors '!D$224:F$345,3,FALSE))=TRUE,0,VLOOKUP('I. Stream &amp; Compound Data'!H291,'Potency Factors '!D$224:F$345,3,FALSE))))</f>
        <v/>
      </c>
      <c r="CF291" s="456"/>
      <c r="CG291" s="81" t="str">
        <f>IF(F291&gt;$F$18,"",IF(CF291&lt;&gt;"","",IF(ISNA(VLOOKUP('I. Stream &amp; Compound Data'!H291,'Potency Factors '!D$361:F$374,3,FALSE))=TRUE,0,VLOOKUP('I. Stream &amp; Compound Data'!H291,'Potency Factors '!D$361:F$374,3,FALSE))))</f>
        <v/>
      </c>
      <c r="CH291" s="83"/>
      <c r="CI291" s="83"/>
      <c r="CJ291" s="83"/>
      <c r="CK291" s="83"/>
      <c r="CL291" s="83"/>
      <c r="CM291" s="83"/>
      <c r="CN291" s="83"/>
      <c r="CO291" s="83"/>
      <c r="CP291" s="83" t="str">
        <f t="shared" si="490"/>
        <v/>
      </c>
      <c r="CQ291" s="456"/>
      <c r="CR291" s="81" t="str">
        <f>IF(F291&gt;$F$18,"",IF(CQ291&lt;&gt;"","",IF(ISNA(VLOOKUP('I. Stream &amp; Compound Data'!H291,'Potency Factors '!D$387:E$399,2,FALSE))=FALSE,VLOOKUP('I. Stream &amp; Compound Data'!H291,'Potency Factors '!D$387:E$399,2,FALSE),IF(ISNUMBER(SEARCH("phosphate",G291))=TRUE,1,IF(ISNUMBER(SEARCH("nitrate",G291))=TRUE,0.1,0)))))</f>
        <v/>
      </c>
      <c r="CS291" s="456"/>
      <c r="CT291" s="84" t="str">
        <f>IF(F291&gt;$F$18,"",IF(CS291&lt;&gt;"","",IF(ISNA(VLOOKUP('I. Stream &amp; Compound Data'!H291,'Potency Factors '!$D$485:$F$558,3,FALSE))=TRUE,0,VLOOKUP('I. Stream &amp; Compound Data'!H291,'Potency Factors '!$D$485:$F$558,3,FALSE))))</f>
        <v/>
      </c>
      <c r="CU291" s="729"/>
    </row>
    <row r="292" spans="2:99" ht="15" x14ac:dyDescent="0.2">
      <c r="B292" s="716"/>
      <c r="C292" s="717"/>
      <c r="D292" s="717"/>
      <c r="E292" s="717"/>
      <c r="F292" s="73">
        <f t="shared" si="479"/>
        <v>31</v>
      </c>
      <c r="G292" s="74" t="str">
        <f t="shared" si="480"/>
        <v/>
      </c>
      <c r="H292" s="75" t="str">
        <f t="shared" si="481"/>
        <v/>
      </c>
      <c r="I292" s="75" t="str">
        <f t="shared" si="482"/>
        <v/>
      </c>
      <c r="J292" s="76" t="str">
        <f t="shared" si="483"/>
        <v/>
      </c>
      <c r="K292" s="450"/>
      <c r="L292" s="77" t="str">
        <f t="shared" si="478"/>
        <v/>
      </c>
      <c r="M292" s="77" t="str">
        <f t="shared" si="471"/>
        <v/>
      </c>
      <c r="N292" s="77" t="str">
        <f t="shared" si="472"/>
        <v/>
      </c>
      <c r="O292" s="77" t="str">
        <f t="shared" si="473"/>
        <v/>
      </c>
      <c r="P292" s="78" t="str">
        <f t="shared" si="474"/>
        <v/>
      </c>
      <c r="Q292" s="79" t="str">
        <f t="shared" si="477"/>
        <v/>
      </c>
      <c r="R292" s="450"/>
      <c r="S292" s="426"/>
      <c r="T292" s="451"/>
      <c r="U292" s="450"/>
      <c r="V292" s="426"/>
      <c r="W292" s="80" t="str">
        <f t="shared" si="475"/>
        <v/>
      </c>
      <c r="X292" s="452"/>
      <c r="Y292" s="450"/>
      <c r="Z292" s="426"/>
      <c r="AA292" s="426"/>
      <c r="AB292" s="454"/>
      <c r="AC292" s="81"/>
      <c r="AD292" s="77"/>
      <c r="AE292" s="77"/>
      <c r="AF292" s="454"/>
      <c r="AG292" s="453"/>
      <c r="AH292" s="426"/>
      <c r="AI292" s="77"/>
      <c r="AJ292" s="426"/>
      <c r="AK292" s="77"/>
      <c r="AL292" s="96"/>
      <c r="AM292" s="450"/>
      <c r="AN292" s="426"/>
      <c r="AO292" s="426"/>
      <c r="AP292" s="455"/>
      <c r="AQ292" s="81" t="str">
        <f t="shared" si="484"/>
        <v/>
      </c>
      <c r="AR292" s="456"/>
      <c r="AS292" s="81" t="str">
        <f t="shared" si="485"/>
        <v/>
      </c>
      <c r="AT292" s="456"/>
      <c r="AU292" s="81" t="str">
        <f t="shared" si="486"/>
        <v/>
      </c>
      <c r="AV292" s="75"/>
      <c r="AW292" s="75"/>
      <c r="AX292" s="454"/>
      <c r="AY292" s="453"/>
      <c r="AZ292" s="462"/>
      <c r="BA292" s="77"/>
      <c r="BB292" s="457"/>
      <c r="BC292" s="77"/>
      <c r="BD292" s="458"/>
      <c r="BE292" s="95"/>
      <c r="BF292" s="82"/>
      <c r="BG292" s="459"/>
      <c r="BH292" s="459"/>
      <c r="BI292" s="77"/>
      <c r="BJ292" s="454"/>
      <c r="BK292" s="460"/>
      <c r="BL292" s="461"/>
      <c r="BM292" s="461"/>
      <c r="BN292" s="462"/>
      <c r="BO292" s="463"/>
      <c r="BP292" s="81" t="str">
        <f>IF(F292&gt;$F$18,"",IF(BO292&lt;&gt;"","",IF(ISNA(VLOOKUP('I. Stream &amp; Compound Data'!H292,'Potency Factors '!D$4:E$55,2,FALSE))=TRUE,0,VLOOKUP('I. Stream &amp; Compound Data'!H292,'Potency Factors '!D$4:E$55,2,FALSE))))</f>
        <v/>
      </c>
      <c r="BQ292" s="456"/>
      <c r="BR292" s="81" t="str">
        <f>IF(F292&gt;$F$18,"",IF(BQ292&lt;&gt;"","",IF(ISNA(VLOOKUP('I. Stream &amp; Compound Data'!H292,'Potency Factors '!D$68:E$167,2,FALSE))=TRUE,0,VLOOKUP('I. Stream &amp; Compound Data'!H292,'Potency Factors '!D$68:E$167,2,FALSE))))</f>
        <v/>
      </c>
      <c r="BS292" s="456"/>
      <c r="BT292" s="81" t="str">
        <f>IF(F292&gt;$F$18,"",IF(BS292&lt;&gt;"","",IF(ISNA(VLOOKUP('I. Stream &amp; Compound Data'!H292,'Potency Factors '!$D$412:$F$473,3,FALSE))=TRUE,0,VLOOKUP('I. Stream &amp; Compound Data'!H292,'Potency Factors '!$D$412:$F$473,3,FALSE))))</f>
        <v/>
      </c>
      <c r="BU292" s="456"/>
      <c r="BV292" s="81" t="str">
        <f>IF(F292&gt;$F$18,"",IF(BU292&lt;&gt;"","",IF(ISNA(VLOOKUP('I. Stream &amp; Compound Data'!H292,'Potency Factors '!D$180:E$185,2,FALSE))=TRUE,0,VLOOKUP('I. Stream &amp; Compound Data'!H292,'Potency Factors '!D$180:E$185,2,FALSE))))</f>
        <v/>
      </c>
      <c r="BW292" s="83"/>
      <c r="BX292" s="82" t="str">
        <f t="shared" si="487"/>
        <v/>
      </c>
      <c r="BY292" s="83"/>
      <c r="BZ292" s="82" t="str">
        <f t="shared" si="488"/>
        <v/>
      </c>
      <c r="CA292" s="83"/>
      <c r="CB292" s="462"/>
      <c r="CC292" s="82" t="str">
        <f t="shared" si="489"/>
        <v/>
      </c>
      <c r="CD292" s="456"/>
      <c r="CE292" s="81" t="str">
        <f>IF(F292&gt;$F$18,"",IF(CD292&lt;&gt;"","",IF(ISNA(VLOOKUP('I. Stream &amp; Compound Data'!H292,'Potency Factors '!D$224:F$345,3,FALSE))=TRUE,0,VLOOKUP('I. Stream &amp; Compound Data'!H292,'Potency Factors '!D$224:F$345,3,FALSE))))</f>
        <v/>
      </c>
      <c r="CF292" s="456"/>
      <c r="CG292" s="81" t="str">
        <f>IF(F292&gt;$F$18,"",IF(CF292&lt;&gt;"","",IF(ISNA(VLOOKUP('I. Stream &amp; Compound Data'!H292,'Potency Factors '!D$361:F$374,3,FALSE))=TRUE,0,VLOOKUP('I. Stream &amp; Compound Data'!H292,'Potency Factors '!D$361:F$374,3,FALSE))))</f>
        <v/>
      </c>
      <c r="CH292" s="83"/>
      <c r="CI292" s="83"/>
      <c r="CJ292" s="83"/>
      <c r="CK292" s="83"/>
      <c r="CL292" s="83"/>
      <c r="CM292" s="83"/>
      <c r="CN292" s="83"/>
      <c r="CO292" s="83"/>
      <c r="CP292" s="83" t="str">
        <f t="shared" si="490"/>
        <v/>
      </c>
      <c r="CQ292" s="456"/>
      <c r="CR292" s="81" t="str">
        <f>IF(F292&gt;$F$18,"",IF(CQ292&lt;&gt;"","",IF(ISNA(VLOOKUP('I. Stream &amp; Compound Data'!H292,'Potency Factors '!D$387:E$399,2,FALSE))=FALSE,VLOOKUP('I. Stream &amp; Compound Data'!H292,'Potency Factors '!D$387:E$399,2,FALSE),IF(ISNUMBER(SEARCH("phosphate",G292))=TRUE,1,IF(ISNUMBER(SEARCH("nitrate",G292))=TRUE,0.1,0)))))</f>
        <v/>
      </c>
      <c r="CS292" s="456"/>
      <c r="CT292" s="84" t="str">
        <f>IF(F292&gt;$F$18,"",IF(CS292&lt;&gt;"","",IF(ISNA(VLOOKUP('I. Stream &amp; Compound Data'!H292,'Potency Factors '!$D$485:$F$558,3,FALSE))=TRUE,0,VLOOKUP('I. Stream &amp; Compound Data'!H292,'Potency Factors '!$D$485:$F$558,3,FALSE))))</f>
        <v/>
      </c>
      <c r="CU292" s="729"/>
    </row>
    <row r="293" spans="2:99" ht="15" x14ac:dyDescent="0.2">
      <c r="B293" s="716"/>
      <c r="C293" s="717"/>
      <c r="D293" s="717"/>
      <c r="E293" s="717"/>
      <c r="F293" s="73">
        <f t="shared" si="479"/>
        <v>32</v>
      </c>
      <c r="G293" s="74" t="str">
        <f t="shared" si="480"/>
        <v/>
      </c>
      <c r="H293" s="75" t="str">
        <f t="shared" si="481"/>
        <v/>
      </c>
      <c r="I293" s="75" t="str">
        <f t="shared" si="482"/>
        <v/>
      </c>
      <c r="J293" s="76" t="str">
        <f t="shared" si="483"/>
        <v/>
      </c>
      <c r="K293" s="450"/>
      <c r="L293" s="77" t="str">
        <f t="shared" si="478"/>
        <v/>
      </c>
      <c r="M293" s="77" t="str">
        <f t="shared" si="471"/>
        <v/>
      </c>
      <c r="N293" s="77" t="str">
        <f t="shared" si="472"/>
        <v/>
      </c>
      <c r="O293" s="77" t="str">
        <f t="shared" si="473"/>
        <v/>
      </c>
      <c r="P293" s="78" t="str">
        <f t="shared" si="474"/>
        <v/>
      </c>
      <c r="Q293" s="79" t="str">
        <f t="shared" si="477"/>
        <v/>
      </c>
      <c r="R293" s="450"/>
      <c r="S293" s="426"/>
      <c r="T293" s="451"/>
      <c r="U293" s="450"/>
      <c r="V293" s="426"/>
      <c r="W293" s="80" t="str">
        <f t="shared" si="475"/>
        <v/>
      </c>
      <c r="X293" s="452"/>
      <c r="Y293" s="450"/>
      <c r="Z293" s="426"/>
      <c r="AA293" s="426"/>
      <c r="AB293" s="454"/>
      <c r="AC293" s="81"/>
      <c r="AD293" s="77"/>
      <c r="AE293" s="77"/>
      <c r="AF293" s="454"/>
      <c r="AG293" s="453"/>
      <c r="AH293" s="426"/>
      <c r="AI293" s="77"/>
      <c r="AJ293" s="426"/>
      <c r="AK293" s="77"/>
      <c r="AL293" s="96"/>
      <c r="AM293" s="450"/>
      <c r="AN293" s="426"/>
      <c r="AO293" s="426"/>
      <c r="AP293" s="455"/>
      <c r="AQ293" s="81" t="str">
        <f t="shared" si="484"/>
        <v/>
      </c>
      <c r="AR293" s="456"/>
      <c r="AS293" s="81" t="str">
        <f t="shared" si="485"/>
        <v/>
      </c>
      <c r="AT293" s="456"/>
      <c r="AU293" s="81" t="str">
        <f t="shared" si="486"/>
        <v/>
      </c>
      <c r="AV293" s="75"/>
      <c r="AW293" s="75"/>
      <c r="AX293" s="454"/>
      <c r="AY293" s="453"/>
      <c r="AZ293" s="462"/>
      <c r="BA293" s="77"/>
      <c r="BB293" s="457"/>
      <c r="BC293" s="77"/>
      <c r="BD293" s="458"/>
      <c r="BE293" s="95"/>
      <c r="BF293" s="82"/>
      <c r="BG293" s="459"/>
      <c r="BH293" s="459"/>
      <c r="BI293" s="77"/>
      <c r="BJ293" s="454"/>
      <c r="BK293" s="460"/>
      <c r="BL293" s="461"/>
      <c r="BM293" s="461"/>
      <c r="BN293" s="462"/>
      <c r="BO293" s="463"/>
      <c r="BP293" s="81" t="str">
        <f>IF(F293&gt;$F$18,"",IF(BO293&lt;&gt;"","",IF(ISNA(VLOOKUP('I. Stream &amp; Compound Data'!H293,'Potency Factors '!D$4:E$55,2,FALSE))=TRUE,0,VLOOKUP('I. Stream &amp; Compound Data'!H293,'Potency Factors '!D$4:E$55,2,FALSE))))</f>
        <v/>
      </c>
      <c r="BQ293" s="456"/>
      <c r="BR293" s="81" t="str">
        <f>IF(F293&gt;$F$18,"",IF(BQ293&lt;&gt;"","",IF(ISNA(VLOOKUP('I. Stream &amp; Compound Data'!H293,'Potency Factors '!D$68:E$167,2,FALSE))=TRUE,0,VLOOKUP('I. Stream &amp; Compound Data'!H293,'Potency Factors '!D$68:E$167,2,FALSE))))</f>
        <v/>
      </c>
      <c r="BS293" s="456"/>
      <c r="BT293" s="81" t="str">
        <f>IF(F293&gt;$F$18,"",IF(BS293&lt;&gt;"","",IF(ISNA(VLOOKUP('I. Stream &amp; Compound Data'!H293,'Potency Factors '!$D$412:$F$473,3,FALSE))=TRUE,0,VLOOKUP('I. Stream &amp; Compound Data'!H293,'Potency Factors '!$D$412:$F$473,3,FALSE))))</f>
        <v/>
      </c>
      <c r="BU293" s="456"/>
      <c r="BV293" s="81" t="str">
        <f>IF(F293&gt;$F$18,"",IF(BU293&lt;&gt;"","",IF(ISNA(VLOOKUP('I. Stream &amp; Compound Data'!H293,'Potency Factors '!D$180:E$185,2,FALSE))=TRUE,0,VLOOKUP('I. Stream &amp; Compound Data'!H293,'Potency Factors '!D$180:E$185,2,FALSE))))</f>
        <v/>
      </c>
      <c r="BW293" s="83"/>
      <c r="BX293" s="82" t="str">
        <f t="shared" si="487"/>
        <v/>
      </c>
      <c r="BY293" s="83"/>
      <c r="BZ293" s="82" t="str">
        <f t="shared" si="488"/>
        <v/>
      </c>
      <c r="CA293" s="83"/>
      <c r="CB293" s="462"/>
      <c r="CC293" s="82" t="str">
        <f t="shared" si="489"/>
        <v/>
      </c>
      <c r="CD293" s="456"/>
      <c r="CE293" s="81" t="str">
        <f>IF(F293&gt;$F$18,"",IF(CD293&lt;&gt;"","",IF(ISNA(VLOOKUP('I. Stream &amp; Compound Data'!H293,'Potency Factors '!D$224:F$345,3,FALSE))=TRUE,0,VLOOKUP('I. Stream &amp; Compound Data'!H293,'Potency Factors '!D$224:F$345,3,FALSE))))</f>
        <v/>
      </c>
      <c r="CF293" s="456"/>
      <c r="CG293" s="81" t="str">
        <f>IF(F293&gt;$F$18,"",IF(CF293&lt;&gt;"","",IF(ISNA(VLOOKUP('I. Stream &amp; Compound Data'!H293,'Potency Factors '!D$361:F$374,3,FALSE))=TRUE,0,VLOOKUP('I. Stream &amp; Compound Data'!H293,'Potency Factors '!D$361:F$374,3,FALSE))))</f>
        <v/>
      </c>
      <c r="CH293" s="83"/>
      <c r="CI293" s="83"/>
      <c r="CJ293" s="83"/>
      <c r="CK293" s="83"/>
      <c r="CL293" s="83"/>
      <c r="CM293" s="83"/>
      <c r="CN293" s="83"/>
      <c r="CO293" s="83"/>
      <c r="CP293" s="83" t="str">
        <f t="shared" si="490"/>
        <v/>
      </c>
      <c r="CQ293" s="456"/>
      <c r="CR293" s="81" t="str">
        <f>IF(F293&gt;$F$18,"",IF(CQ293&lt;&gt;"","",IF(ISNA(VLOOKUP('I. Stream &amp; Compound Data'!H293,'Potency Factors '!D$387:E$399,2,FALSE))=FALSE,VLOOKUP('I. Stream &amp; Compound Data'!H293,'Potency Factors '!D$387:E$399,2,FALSE),IF(ISNUMBER(SEARCH("phosphate",G293))=TRUE,1,IF(ISNUMBER(SEARCH("nitrate",G293))=TRUE,0.1,0)))))</f>
        <v/>
      </c>
      <c r="CS293" s="456"/>
      <c r="CT293" s="84" t="str">
        <f>IF(F293&gt;$F$18,"",IF(CS293&lt;&gt;"","",IF(ISNA(VLOOKUP('I. Stream &amp; Compound Data'!H293,'Potency Factors '!$D$485:$F$558,3,FALSE))=TRUE,0,VLOOKUP('I. Stream &amp; Compound Data'!H293,'Potency Factors '!$D$485:$F$558,3,FALSE))))</f>
        <v/>
      </c>
      <c r="CU293" s="729"/>
    </row>
    <row r="294" spans="2:99" ht="15" x14ac:dyDescent="0.2">
      <c r="B294" s="716"/>
      <c r="C294" s="717"/>
      <c r="D294" s="717"/>
      <c r="E294" s="717"/>
      <c r="F294" s="73">
        <f t="shared" si="479"/>
        <v>33</v>
      </c>
      <c r="G294" s="74" t="str">
        <f t="shared" si="480"/>
        <v/>
      </c>
      <c r="H294" s="75" t="str">
        <f t="shared" si="481"/>
        <v/>
      </c>
      <c r="I294" s="75" t="str">
        <f t="shared" si="482"/>
        <v/>
      </c>
      <c r="J294" s="76" t="str">
        <f t="shared" si="483"/>
        <v/>
      </c>
      <c r="K294" s="450"/>
      <c r="L294" s="77" t="str">
        <f t="shared" si="478"/>
        <v/>
      </c>
      <c r="M294" s="77" t="str">
        <f t="shared" si="471"/>
        <v/>
      </c>
      <c r="N294" s="77" t="str">
        <f t="shared" si="472"/>
        <v/>
      </c>
      <c r="O294" s="77" t="str">
        <f t="shared" si="473"/>
        <v/>
      </c>
      <c r="P294" s="78" t="str">
        <f t="shared" si="474"/>
        <v/>
      </c>
      <c r="Q294" s="79" t="str">
        <f t="shared" si="477"/>
        <v/>
      </c>
      <c r="R294" s="450"/>
      <c r="S294" s="426"/>
      <c r="T294" s="451"/>
      <c r="U294" s="450"/>
      <c r="V294" s="426"/>
      <c r="W294" s="80" t="str">
        <f t="shared" si="475"/>
        <v/>
      </c>
      <c r="X294" s="452"/>
      <c r="Y294" s="450"/>
      <c r="Z294" s="426"/>
      <c r="AA294" s="426"/>
      <c r="AB294" s="454"/>
      <c r="AC294" s="81"/>
      <c r="AD294" s="77"/>
      <c r="AE294" s="77"/>
      <c r="AF294" s="454"/>
      <c r="AG294" s="453"/>
      <c r="AH294" s="426"/>
      <c r="AI294" s="77"/>
      <c r="AJ294" s="426"/>
      <c r="AK294" s="77"/>
      <c r="AL294" s="96"/>
      <c r="AM294" s="450"/>
      <c r="AN294" s="426"/>
      <c r="AO294" s="426"/>
      <c r="AP294" s="455"/>
      <c r="AQ294" s="81" t="str">
        <f t="shared" si="484"/>
        <v/>
      </c>
      <c r="AR294" s="456"/>
      <c r="AS294" s="81" t="str">
        <f t="shared" si="485"/>
        <v/>
      </c>
      <c r="AT294" s="456"/>
      <c r="AU294" s="81" t="str">
        <f t="shared" si="486"/>
        <v/>
      </c>
      <c r="AV294" s="75"/>
      <c r="AW294" s="75"/>
      <c r="AX294" s="454"/>
      <c r="AY294" s="453"/>
      <c r="AZ294" s="462"/>
      <c r="BA294" s="77"/>
      <c r="BB294" s="457"/>
      <c r="BC294" s="77"/>
      <c r="BD294" s="458"/>
      <c r="BE294" s="95"/>
      <c r="BF294" s="82"/>
      <c r="BG294" s="459"/>
      <c r="BH294" s="459"/>
      <c r="BI294" s="77"/>
      <c r="BJ294" s="454"/>
      <c r="BK294" s="460"/>
      <c r="BL294" s="461"/>
      <c r="BM294" s="461"/>
      <c r="BN294" s="462"/>
      <c r="BO294" s="463"/>
      <c r="BP294" s="81" t="str">
        <f>IF(F294&gt;$F$18,"",IF(BO294&lt;&gt;"","",IF(ISNA(VLOOKUP('I. Stream &amp; Compound Data'!H294,'Potency Factors '!D$4:E$55,2,FALSE))=TRUE,0,VLOOKUP('I. Stream &amp; Compound Data'!H294,'Potency Factors '!D$4:E$55,2,FALSE))))</f>
        <v/>
      </c>
      <c r="BQ294" s="456"/>
      <c r="BR294" s="81" t="str">
        <f>IF(F294&gt;$F$18,"",IF(BQ294&lt;&gt;"","",IF(ISNA(VLOOKUP('I. Stream &amp; Compound Data'!H294,'Potency Factors '!D$68:E$167,2,FALSE))=TRUE,0,VLOOKUP('I. Stream &amp; Compound Data'!H294,'Potency Factors '!D$68:E$167,2,FALSE))))</f>
        <v/>
      </c>
      <c r="BS294" s="456"/>
      <c r="BT294" s="81" t="str">
        <f>IF(F294&gt;$F$18,"",IF(BS294&lt;&gt;"","",IF(ISNA(VLOOKUP('I. Stream &amp; Compound Data'!H294,'Potency Factors '!$D$412:$F$473,3,FALSE))=TRUE,0,VLOOKUP('I. Stream &amp; Compound Data'!H294,'Potency Factors '!$D$412:$F$473,3,FALSE))))</f>
        <v/>
      </c>
      <c r="BU294" s="456"/>
      <c r="BV294" s="81" t="str">
        <f>IF(F294&gt;$F$18,"",IF(BU294&lt;&gt;"","",IF(ISNA(VLOOKUP('I. Stream &amp; Compound Data'!H294,'Potency Factors '!D$180:E$185,2,FALSE))=TRUE,0,VLOOKUP('I. Stream &amp; Compound Data'!H294,'Potency Factors '!D$180:E$185,2,FALSE))))</f>
        <v/>
      </c>
      <c r="BW294" s="83"/>
      <c r="BX294" s="82" t="str">
        <f t="shared" si="487"/>
        <v/>
      </c>
      <c r="BY294" s="83"/>
      <c r="BZ294" s="82" t="str">
        <f t="shared" si="488"/>
        <v/>
      </c>
      <c r="CA294" s="83"/>
      <c r="CB294" s="462"/>
      <c r="CC294" s="82" t="str">
        <f t="shared" si="489"/>
        <v/>
      </c>
      <c r="CD294" s="456"/>
      <c r="CE294" s="81" t="str">
        <f>IF(F294&gt;$F$18,"",IF(CD294&lt;&gt;"","",IF(ISNA(VLOOKUP('I. Stream &amp; Compound Data'!H294,'Potency Factors '!D$224:F$345,3,FALSE))=TRUE,0,VLOOKUP('I. Stream &amp; Compound Data'!H294,'Potency Factors '!D$224:F$345,3,FALSE))))</f>
        <v/>
      </c>
      <c r="CF294" s="456"/>
      <c r="CG294" s="81" t="str">
        <f>IF(F294&gt;$F$18,"",IF(CF294&lt;&gt;"","",IF(ISNA(VLOOKUP('I. Stream &amp; Compound Data'!H294,'Potency Factors '!D$361:F$374,3,FALSE))=TRUE,0,VLOOKUP('I. Stream &amp; Compound Data'!H294,'Potency Factors '!D$361:F$374,3,FALSE))))</f>
        <v/>
      </c>
      <c r="CH294" s="83"/>
      <c r="CI294" s="83"/>
      <c r="CJ294" s="83"/>
      <c r="CK294" s="83"/>
      <c r="CL294" s="83"/>
      <c r="CM294" s="83"/>
      <c r="CN294" s="83"/>
      <c r="CO294" s="83"/>
      <c r="CP294" s="83" t="str">
        <f t="shared" si="490"/>
        <v/>
      </c>
      <c r="CQ294" s="456"/>
      <c r="CR294" s="81" t="str">
        <f>IF(F294&gt;$F$18,"",IF(CQ294&lt;&gt;"","",IF(ISNA(VLOOKUP('I. Stream &amp; Compound Data'!H294,'Potency Factors '!D$387:E$399,2,FALSE))=FALSE,VLOOKUP('I. Stream &amp; Compound Data'!H294,'Potency Factors '!D$387:E$399,2,FALSE),IF(ISNUMBER(SEARCH("phosphate",G294))=TRUE,1,IF(ISNUMBER(SEARCH("nitrate",G294))=TRUE,0.1,0)))))</f>
        <v/>
      </c>
      <c r="CS294" s="456"/>
      <c r="CT294" s="84" t="str">
        <f>IF(F294&gt;$F$18,"",IF(CS294&lt;&gt;"","",IF(ISNA(VLOOKUP('I. Stream &amp; Compound Data'!H294,'Potency Factors '!$D$485:$F$558,3,FALSE))=TRUE,0,VLOOKUP('I. Stream &amp; Compound Data'!H294,'Potency Factors '!$D$485:$F$558,3,FALSE))))</f>
        <v/>
      </c>
      <c r="CU294" s="729"/>
    </row>
    <row r="295" spans="2:99" ht="15" x14ac:dyDescent="0.2">
      <c r="B295" s="716"/>
      <c r="C295" s="717"/>
      <c r="D295" s="717"/>
      <c r="E295" s="717"/>
      <c r="F295" s="73">
        <f t="shared" si="479"/>
        <v>34</v>
      </c>
      <c r="G295" s="74" t="str">
        <f t="shared" si="480"/>
        <v/>
      </c>
      <c r="H295" s="75" t="str">
        <f t="shared" si="481"/>
        <v/>
      </c>
      <c r="I295" s="75" t="str">
        <f t="shared" si="482"/>
        <v/>
      </c>
      <c r="J295" s="76" t="str">
        <f t="shared" si="483"/>
        <v/>
      </c>
      <c r="K295" s="450"/>
      <c r="L295" s="77" t="str">
        <f t="shared" si="478"/>
        <v/>
      </c>
      <c r="M295" s="77" t="str">
        <f t="shared" si="471"/>
        <v/>
      </c>
      <c r="N295" s="77" t="str">
        <f t="shared" si="472"/>
        <v/>
      </c>
      <c r="O295" s="77" t="str">
        <f t="shared" si="473"/>
        <v/>
      </c>
      <c r="P295" s="78" t="str">
        <f t="shared" si="474"/>
        <v/>
      </c>
      <c r="Q295" s="79" t="str">
        <f t="shared" si="477"/>
        <v/>
      </c>
      <c r="R295" s="450"/>
      <c r="S295" s="426"/>
      <c r="T295" s="451"/>
      <c r="U295" s="450"/>
      <c r="V295" s="426"/>
      <c r="W295" s="80" t="str">
        <f t="shared" si="475"/>
        <v/>
      </c>
      <c r="X295" s="452"/>
      <c r="Y295" s="450"/>
      <c r="Z295" s="426"/>
      <c r="AA295" s="426"/>
      <c r="AB295" s="454"/>
      <c r="AC295" s="81"/>
      <c r="AD295" s="77"/>
      <c r="AE295" s="77"/>
      <c r="AF295" s="454"/>
      <c r="AG295" s="453"/>
      <c r="AH295" s="426"/>
      <c r="AI295" s="77"/>
      <c r="AJ295" s="426"/>
      <c r="AK295" s="77"/>
      <c r="AL295" s="96"/>
      <c r="AM295" s="450"/>
      <c r="AN295" s="426"/>
      <c r="AO295" s="426"/>
      <c r="AP295" s="455"/>
      <c r="AQ295" s="81" t="str">
        <f t="shared" si="484"/>
        <v/>
      </c>
      <c r="AR295" s="456"/>
      <c r="AS295" s="81" t="str">
        <f t="shared" si="485"/>
        <v/>
      </c>
      <c r="AT295" s="456"/>
      <c r="AU295" s="81" t="str">
        <f t="shared" si="486"/>
        <v/>
      </c>
      <c r="AV295" s="75"/>
      <c r="AW295" s="75"/>
      <c r="AX295" s="454"/>
      <c r="AY295" s="453"/>
      <c r="AZ295" s="462"/>
      <c r="BA295" s="77"/>
      <c r="BB295" s="457"/>
      <c r="BC295" s="77"/>
      <c r="BD295" s="458"/>
      <c r="BE295" s="95"/>
      <c r="BF295" s="82"/>
      <c r="BG295" s="459"/>
      <c r="BH295" s="459"/>
      <c r="BI295" s="77"/>
      <c r="BJ295" s="454"/>
      <c r="BK295" s="460"/>
      <c r="BL295" s="461"/>
      <c r="BM295" s="461"/>
      <c r="BN295" s="462"/>
      <c r="BO295" s="463"/>
      <c r="BP295" s="81" t="str">
        <f>IF(F295&gt;$F$18,"",IF(BO295&lt;&gt;"","",IF(ISNA(VLOOKUP('I. Stream &amp; Compound Data'!H295,'Potency Factors '!D$4:E$55,2,FALSE))=TRUE,0,VLOOKUP('I. Stream &amp; Compound Data'!H295,'Potency Factors '!D$4:E$55,2,FALSE))))</f>
        <v/>
      </c>
      <c r="BQ295" s="456"/>
      <c r="BR295" s="81" t="str">
        <f>IF(F295&gt;$F$18,"",IF(BQ295&lt;&gt;"","",IF(ISNA(VLOOKUP('I. Stream &amp; Compound Data'!H295,'Potency Factors '!D$68:E$167,2,FALSE))=TRUE,0,VLOOKUP('I. Stream &amp; Compound Data'!H295,'Potency Factors '!D$68:E$167,2,FALSE))))</f>
        <v/>
      </c>
      <c r="BS295" s="456"/>
      <c r="BT295" s="81" t="str">
        <f>IF(F295&gt;$F$18,"",IF(BS295&lt;&gt;"","",IF(ISNA(VLOOKUP('I. Stream &amp; Compound Data'!H295,'Potency Factors '!$D$412:$F$473,3,FALSE))=TRUE,0,VLOOKUP('I. Stream &amp; Compound Data'!H295,'Potency Factors '!$D$412:$F$473,3,FALSE))))</f>
        <v/>
      </c>
      <c r="BU295" s="456"/>
      <c r="BV295" s="81" t="str">
        <f>IF(F295&gt;$F$18,"",IF(BU295&lt;&gt;"","",IF(ISNA(VLOOKUP('I. Stream &amp; Compound Data'!H295,'Potency Factors '!D$180:E$185,2,FALSE))=TRUE,0,VLOOKUP('I. Stream &amp; Compound Data'!H295,'Potency Factors '!D$180:E$185,2,FALSE))))</f>
        <v/>
      </c>
      <c r="BW295" s="83"/>
      <c r="BX295" s="82" t="str">
        <f t="shared" si="487"/>
        <v/>
      </c>
      <c r="BY295" s="83"/>
      <c r="BZ295" s="82" t="str">
        <f t="shared" si="488"/>
        <v/>
      </c>
      <c r="CA295" s="83"/>
      <c r="CB295" s="462"/>
      <c r="CC295" s="82" t="str">
        <f t="shared" si="489"/>
        <v/>
      </c>
      <c r="CD295" s="456"/>
      <c r="CE295" s="81" t="str">
        <f>IF(F295&gt;$F$18,"",IF(CD295&lt;&gt;"","",IF(ISNA(VLOOKUP('I. Stream &amp; Compound Data'!H295,'Potency Factors '!D$224:F$345,3,FALSE))=TRUE,0,VLOOKUP('I. Stream &amp; Compound Data'!H295,'Potency Factors '!D$224:F$345,3,FALSE))))</f>
        <v/>
      </c>
      <c r="CF295" s="456"/>
      <c r="CG295" s="81" t="str">
        <f>IF(F295&gt;$F$18,"",IF(CF295&lt;&gt;"","",IF(ISNA(VLOOKUP('I. Stream &amp; Compound Data'!H295,'Potency Factors '!D$361:F$374,3,FALSE))=TRUE,0,VLOOKUP('I. Stream &amp; Compound Data'!H295,'Potency Factors '!D$361:F$374,3,FALSE))))</f>
        <v/>
      </c>
      <c r="CH295" s="83"/>
      <c r="CI295" s="83"/>
      <c r="CJ295" s="83"/>
      <c r="CK295" s="83"/>
      <c r="CL295" s="83"/>
      <c r="CM295" s="83"/>
      <c r="CN295" s="83"/>
      <c r="CO295" s="83"/>
      <c r="CP295" s="83" t="str">
        <f t="shared" si="490"/>
        <v/>
      </c>
      <c r="CQ295" s="456"/>
      <c r="CR295" s="81" t="str">
        <f>IF(F295&gt;$F$18,"",IF(CQ295&lt;&gt;"","",IF(ISNA(VLOOKUP('I. Stream &amp; Compound Data'!H295,'Potency Factors '!D$387:E$399,2,FALSE))=FALSE,VLOOKUP('I. Stream &amp; Compound Data'!H295,'Potency Factors '!D$387:E$399,2,FALSE),IF(ISNUMBER(SEARCH("phosphate",G295))=TRUE,1,IF(ISNUMBER(SEARCH("nitrate",G295))=TRUE,0.1,0)))))</f>
        <v/>
      </c>
      <c r="CS295" s="456"/>
      <c r="CT295" s="84" t="str">
        <f>IF(F295&gt;$F$18,"",IF(CS295&lt;&gt;"","",IF(ISNA(VLOOKUP('I. Stream &amp; Compound Data'!H295,'Potency Factors '!$D$485:$F$558,3,FALSE))=TRUE,0,VLOOKUP('I. Stream &amp; Compound Data'!H295,'Potency Factors '!$D$485:$F$558,3,FALSE))))</f>
        <v/>
      </c>
      <c r="CU295" s="729"/>
    </row>
    <row r="296" spans="2:99" ht="15" x14ac:dyDescent="0.2">
      <c r="B296" s="716"/>
      <c r="C296" s="717"/>
      <c r="D296" s="717"/>
      <c r="E296" s="717"/>
      <c r="F296" s="73">
        <f t="shared" si="479"/>
        <v>35</v>
      </c>
      <c r="G296" s="74" t="str">
        <f t="shared" si="480"/>
        <v/>
      </c>
      <c r="H296" s="75" t="str">
        <f t="shared" si="481"/>
        <v/>
      </c>
      <c r="I296" s="75" t="str">
        <f t="shared" si="482"/>
        <v/>
      </c>
      <c r="J296" s="76" t="str">
        <f t="shared" si="483"/>
        <v/>
      </c>
      <c r="K296" s="450"/>
      <c r="L296" s="77" t="str">
        <f t="shared" si="478"/>
        <v/>
      </c>
      <c r="M296" s="77" t="str">
        <f t="shared" si="471"/>
        <v/>
      </c>
      <c r="N296" s="77" t="str">
        <f t="shared" si="472"/>
        <v/>
      </c>
      <c r="O296" s="77" t="str">
        <f t="shared" si="473"/>
        <v/>
      </c>
      <c r="P296" s="78" t="str">
        <f t="shared" si="474"/>
        <v/>
      </c>
      <c r="Q296" s="79" t="str">
        <f t="shared" si="477"/>
        <v/>
      </c>
      <c r="R296" s="450"/>
      <c r="S296" s="426"/>
      <c r="T296" s="451"/>
      <c r="U296" s="450"/>
      <c r="V296" s="426"/>
      <c r="W296" s="80" t="str">
        <f t="shared" si="475"/>
        <v/>
      </c>
      <c r="X296" s="452"/>
      <c r="Y296" s="450"/>
      <c r="Z296" s="426"/>
      <c r="AA296" s="426"/>
      <c r="AB296" s="454"/>
      <c r="AC296" s="81"/>
      <c r="AD296" s="77"/>
      <c r="AE296" s="77"/>
      <c r="AF296" s="454"/>
      <c r="AG296" s="453"/>
      <c r="AH296" s="426"/>
      <c r="AI296" s="77"/>
      <c r="AJ296" s="426"/>
      <c r="AK296" s="77"/>
      <c r="AL296" s="96"/>
      <c r="AM296" s="450"/>
      <c r="AN296" s="426"/>
      <c r="AO296" s="426"/>
      <c r="AP296" s="455"/>
      <c r="AQ296" s="81" t="str">
        <f t="shared" si="484"/>
        <v/>
      </c>
      <c r="AR296" s="456"/>
      <c r="AS296" s="81" t="str">
        <f t="shared" si="485"/>
        <v/>
      </c>
      <c r="AT296" s="456"/>
      <c r="AU296" s="81" t="str">
        <f t="shared" si="486"/>
        <v/>
      </c>
      <c r="AV296" s="75"/>
      <c r="AW296" s="75"/>
      <c r="AX296" s="454"/>
      <c r="AY296" s="453"/>
      <c r="AZ296" s="462"/>
      <c r="BA296" s="77"/>
      <c r="BB296" s="457"/>
      <c r="BC296" s="77"/>
      <c r="BD296" s="458"/>
      <c r="BE296" s="95"/>
      <c r="BF296" s="82"/>
      <c r="BG296" s="459"/>
      <c r="BH296" s="459"/>
      <c r="BI296" s="77"/>
      <c r="BJ296" s="454"/>
      <c r="BK296" s="460"/>
      <c r="BL296" s="461"/>
      <c r="BM296" s="461"/>
      <c r="BN296" s="462"/>
      <c r="BO296" s="463"/>
      <c r="BP296" s="81" t="str">
        <f>IF(F296&gt;$F$18,"",IF(BO296&lt;&gt;"","",IF(ISNA(VLOOKUP('I. Stream &amp; Compound Data'!H296,'Potency Factors '!D$4:E$55,2,FALSE))=TRUE,0,VLOOKUP('I. Stream &amp; Compound Data'!H296,'Potency Factors '!D$4:E$55,2,FALSE))))</f>
        <v/>
      </c>
      <c r="BQ296" s="456"/>
      <c r="BR296" s="81" t="str">
        <f>IF(F296&gt;$F$18,"",IF(BQ296&lt;&gt;"","",IF(ISNA(VLOOKUP('I. Stream &amp; Compound Data'!H296,'Potency Factors '!D$68:E$167,2,FALSE))=TRUE,0,VLOOKUP('I. Stream &amp; Compound Data'!H296,'Potency Factors '!D$68:E$167,2,FALSE))))</f>
        <v/>
      </c>
      <c r="BS296" s="456"/>
      <c r="BT296" s="81" t="str">
        <f>IF(F296&gt;$F$18,"",IF(BS296&lt;&gt;"","",IF(ISNA(VLOOKUP('I. Stream &amp; Compound Data'!H296,'Potency Factors '!$D$412:$F$473,3,FALSE))=TRUE,0,VLOOKUP('I. Stream &amp; Compound Data'!H296,'Potency Factors '!$D$412:$F$473,3,FALSE))))</f>
        <v/>
      </c>
      <c r="BU296" s="456"/>
      <c r="BV296" s="81" t="str">
        <f>IF(F296&gt;$F$18,"",IF(BU296&lt;&gt;"","",IF(ISNA(VLOOKUP('I. Stream &amp; Compound Data'!H296,'Potency Factors '!D$180:E$185,2,FALSE))=TRUE,0,VLOOKUP('I. Stream &amp; Compound Data'!H296,'Potency Factors '!D$180:E$185,2,FALSE))))</f>
        <v/>
      </c>
      <c r="BW296" s="83"/>
      <c r="BX296" s="82" t="str">
        <f t="shared" si="487"/>
        <v/>
      </c>
      <c r="BY296" s="83"/>
      <c r="BZ296" s="82" t="str">
        <f t="shared" si="488"/>
        <v/>
      </c>
      <c r="CA296" s="83"/>
      <c r="CB296" s="462"/>
      <c r="CC296" s="82" t="str">
        <f t="shared" si="489"/>
        <v/>
      </c>
      <c r="CD296" s="456"/>
      <c r="CE296" s="81" t="str">
        <f>IF(F296&gt;$F$18,"",IF(CD296&lt;&gt;"","",IF(ISNA(VLOOKUP('I. Stream &amp; Compound Data'!H296,'Potency Factors '!D$224:F$345,3,FALSE))=TRUE,0,VLOOKUP('I. Stream &amp; Compound Data'!H296,'Potency Factors '!D$224:F$345,3,FALSE))))</f>
        <v/>
      </c>
      <c r="CF296" s="456"/>
      <c r="CG296" s="81" t="str">
        <f>IF(F296&gt;$F$18,"",IF(CF296&lt;&gt;"","",IF(ISNA(VLOOKUP('I. Stream &amp; Compound Data'!H296,'Potency Factors '!D$361:F$374,3,FALSE))=TRUE,0,VLOOKUP('I. Stream &amp; Compound Data'!H296,'Potency Factors '!D$361:F$374,3,FALSE))))</f>
        <v/>
      </c>
      <c r="CH296" s="83"/>
      <c r="CI296" s="83"/>
      <c r="CJ296" s="83"/>
      <c r="CK296" s="83"/>
      <c r="CL296" s="83"/>
      <c r="CM296" s="83"/>
      <c r="CN296" s="83"/>
      <c r="CO296" s="83"/>
      <c r="CP296" s="83" t="str">
        <f t="shared" si="490"/>
        <v/>
      </c>
      <c r="CQ296" s="456"/>
      <c r="CR296" s="81" t="str">
        <f>IF(F296&gt;$F$18,"",IF(CQ296&lt;&gt;"","",IF(ISNA(VLOOKUP('I. Stream &amp; Compound Data'!H296,'Potency Factors '!D$387:E$399,2,FALSE))=FALSE,VLOOKUP('I. Stream &amp; Compound Data'!H296,'Potency Factors '!D$387:E$399,2,FALSE),IF(ISNUMBER(SEARCH("phosphate",G296))=TRUE,1,IF(ISNUMBER(SEARCH("nitrate",G296))=TRUE,0.1,0)))))</f>
        <v/>
      </c>
      <c r="CS296" s="456"/>
      <c r="CT296" s="84" t="str">
        <f>IF(F296&gt;$F$18,"",IF(CS296&lt;&gt;"","",IF(ISNA(VLOOKUP('I. Stream &amp; Compound Data'!H296,'Potency Factors '!$D$485:$F$558,3,FALSE))=TRUE,0,VLOOKUP('I. Stream &amp; Compound Data'!H296,'Potency Factors '!$D$485:$F$558,3,FALSE))))</f>
        <v/>
      </c>
      <c r="CU296" s="729"/>
    </row>
    <row r="297" spans="2:99" ht="15" x14ac:dyDescent="0.2">
      <c r="B297" s="716"/>
      <c r="C297" s="717"/>
      <c r="D297" s="717"/>
      <c r="E297" s="717"/>
      <c r="F297" s="73">
        <f t="shared" si="479"/>
        <v>36</v>
      </c>
      <c r="G297" s="74" t="str">
        <f t="shared" si="480"/>
        <v/>
      </c>
      <c r="H297" s="75" t="str">
        <f t="shared" si="481"/>
        <v/>
      </c>
      <c r="I297" s="75" t="str">
        <f t="shared" si="482"/>
        <v/>
      </c>
      <c r="J297" s="76" t="str">
        <f t="shared" si="483"/>
        <v/>
      </c>
      <c r="K297" s="450"/>
      <c r="L297" s="77" t="str">
        <f t="shared" si="478"/>
        <v/>
      </c>
      <c r="M297" s="77" t="str">
        <f t="shared" si="471"/>
        <v/>
      </c>
      <c r="N297" s="77" t="str">
        <f t="shared" si="472"/>
        <v/>
      </c>
      <c r="O297" s="77" t="str">
        <f t="shared" si="473"/>
        <v/>
      </c>
      <c r="P297" s="78" t="str">
        <f t="shared" si="474"/>
        <v/>
      </c>
      <c r="Q297" s="79" t="str">
        <f t="shared" si="477"/>
        <v/>
      </c>
      <c r="R297" s="450"/>
      <c r="S297" s="426"/>
      <c r="T297" s="451"/>
      <c r="U297" s="450"/>
      <c r="V297" s="426"/>
      <c r="W297" s="80" t="str">
        <f t="shared" si="475"/>
        <v/>
      </c>
      <c r="X297" s="452"/>
      <c r="Y297" s="450"/>
      <c r="Z297" s="426"/>
      <c r="AA297" s="426"/>
      <c r="AB297" s="454"/>
      <c r="AC297" s="81"/>
      <c r="AD297" s="77"/>
      <c r="AE297" s="77"/>
      <c r="AF297" s="454"/>
      <c r="AG297" s="453"/>
      <c r="AH297" s="426"/>
      <c r="AI297" s="77"/>
      <c r="AJ297" s="426"/>
      <c r="AK297" s="77"/>
      <c r="AL297" s="96"/>
      <c r="AM297" s="450"/>
      <c r="AN297" s="426"/>
      <c r="AO297" s="426"/>
      <c r="AP297" s="455"/>
      <c r="AQ297" s="81" t="str">
        <f t="shared" si="484"/>
        <v/>
      </c>
      <c r="AR297" s="456"/>
      <c r="AS297" s="81" t="str">
        <f t="shared" si="485"/>
        <v/>
      </c>
      <c r="AT297" s="456"/>
      <c r="AU297" s="81" t="str">
        <f t="shared" si="486"/>
        <v/>
      </c>
      <c r="AV297" s="75"/>
      <c r="AW297" s="75"/>
      <c r="AX297" s="454"/>
      <c r="AY297" s="453"/>
      <c r="AZ297" s="462"/>
      <c r="BA297" s="77"/>
      <c r="BB297" s="457"/>
      <c r="BC297" s="77"/>
      <c r="BD297" s="458"/>
      <c r="BE297" s="95"/>
      <c r="BF297" s="82"/>
      <c r="BG297" s="459"/>
      <c r="BH297" s="459"/>
      <c r="BI297" s="77"/>
      <c r="BJ297" s="454"/>
      <c r="BK297" s="460"/>
      <c r="BL297" s="461"/>
      <c r="BM297" s="461"/>
      <c r="BN297" s="462"/>
      <c r="BO297" s="463"/>
      <c r="BP297" s="81" t="str">
        <f>IF(F297&gt;$F$18,"",IF(BO297&lt;&gt;"","",IF(ISNA(VLOOKUP('I. Stream &amp; Compound Data'!H297,'Potency Factors '!D$4:E$55,2,FALSE))=TRUE,0,VLOOKUP('I. Stream &amp; Compound Data'!H297,'Potency Factors '!D$4:E$55,2,FALSE))))</f>
        <v/>
      </c>
      <c r="BQ297" s="456"/>
      <c r="BR297" s="81" t="str">
        <f>IF(F297&gt;$F$18,"",IF(BQ297&lt;&gt;"","",IF(ISNA(VLOOKUP('I. Stream &amp; Compound Data'!H297,'Potency Factors '!D$68:E$167,2,FALSE))=TRUE,0,VLOOKUP('I. Stream &amp; Compound Data'!H297,'Potency Factors '!D$68:E$167,2,FALSE))))</f>
        <v/>
      </c>
      <c r="BS297" s="456"/>
      <c r="BT297" s="81" t="str">
        <f>IF(F297&gt;$F$18,"",IF(BS297&lt;&gt;"","",IF(ISNA(VLOOKUP('I. Stream &amp; Compound Data'!H297,'Potency Factors '!$D$412:$F$473,3,FALSE))=TRUE,0,VLOOKUP('I. Stream &amp; Compound Data'!H297,'Potency Factors '!$D$412:$F$473,3,FALSE))))</f>
        <v/>
      </c>
      <c r="BU297" s="456"/>
      <c r="BV297" s="81" t="str">
        <f>IF(F297&gt;$F$18,"",IF(BU297&lt;&gt;"","",IF(ISNA(VLOOKUP('I. Stream &amp; Compound Data'!H297,'Potency Factors '!D$180:E$185,2,FALSE))=TRUE,0,VLOOKUP('I. Stream &amp; Compound Data'!H297,'Potency Factors '!D$180:E$185,2,FALSE))))</f>
        <v/>
      </c>
      <c r="BW297" s="83"/>
      <c r="BX297" s="82" t="str">
        <f t="shared" si="487"/>
        <v/>
      </c>
      <c r="BY297" s="83"/>
      <c r="BZ297" s="82" t="str">
        <f t="shared" si="488"/>
        <v/>
      </c>
      <c r="CA297" s="83"/>
      <c r="CB297" s="462"/>
      <c r="CC297" s="82" t="str">
        <f t="shared" si="489"/>
        <v/>
      </c>
      <c r="CD297" s="456"/>
      <c r="CE297" s="81" t="str">
        <f>IF(F297&gt;$F$18,"",IF(CD297&lt;&gt;"","",IF(ISNA(VLOOKUP('I. Stream &amp; Compound Data'!H297,'Potency Factors '!D$224:F$345,3,FALSE))=TRUE,0,VLOOKUP('I. Stream &amp; Compound Data'!H297,'Potency Factors '!D$224:F$345,3,FALSE))))</f>
        <v/>
      </c>
      <c r="CF297" s="456"/>
      <c r="CG297" s="81" t="str">
        <f>IF(F297&gt;$F$18,"",IF(CF297&lt;&gt;"","",IF(ISNA(VLOOKUP('I. Stream &amp; Compound Data'!H297,'Potency Factors '!D$361:F$374,3,FALSE))=TRUE,0,VLOOKUP('I. Stream &amp; Compound Data'!H297,'Potency Factors '!D$361:F$374,3,FALSE))))</f>
        <v/>
      </c>
      <c r="CH297" s="83"/>
      <c r="CI297" s="83"/>
      <c r="CJ297" s="83"/>
      <c r="CK297" s="83"/>
      <c r="CL297" s="83"/>
      <c r="CM297" s="83"/>
      <c r="CN297" s="83"/>
      <c r="CO297" s="83"/>
      <c r="CP297" s="83" t="str">
        <f t="shared" si="490"/>
        <v/>
      </c>
      <c r="CQ297" s="456"/>
      <c r="CR297" s="81" t="str">
        <f>IF(F297&gt;$F$18,"",IF(CQ297&lt;&gt;"","",IF(ISNA(VLOOKUP('I. Stream &amp; Compound Data'!H297,'Potency Factors '!D$387:E$399,2,FALSE))=FALSE,VLOOKUP('I. Stream &amp; Compound Data'!H297,'Potency Factors '!D$387:E$399,2,FALSE),IF(ISNUMBER(SEARCH("phosphate",G297))=TRUE,1,IF(ISNUMBER(SEARCH("nitrate",G297))=TRUE,0.1,0)))))</f>
        <v/>
      </c>
      <c r="CS297" s="456"/>
      <c r="CT297" s="84" t="str">
        <f>IF(F297&gt;$F$18,"",IF(CS297&lt;&gt;"","",IF(ISNA(VLOOKUP('I. Stream &amp; Compound Data'!H297,'Potency Factors '!$D$485:$F$558,3,FALSE))=TRUE,0,VLOOKUP('I. Stream &amp; Compound Data'!H297,'Potency Factors '!$D$485:$F$558,3,FALSE))))</f>
        <v/>
      </c>
      <c r="CU297" s="729"/>
    </row>
    <row r="298" spans="2:99" ht="15" x14ac:dyDescent="0.2">
      <c r="B298" s="716"/>
      <c r="C298" s="717"/>
      <c r="D298" s="717"/>
      <c r="E298" s="717"/>
      <c r="F298" s="73">
        <f t="shared" si="479"/>
        <v>37</v>
      </c>
      <c r="G298" s="74" t="str">
        <f t="shared" si="480"/>
        <v/>
      </c>
      <c r="H298" s="75" t="str">
        <f t="shared" si="481"/>
        <v/>
      </c>
      <c r="I298" s="75" t="str">
        <f t="shared" si="482"/>
        <v/>
      </c>
      <c r="J298" s="76" t="str">
        <f t="shared" si="483"/>
        <v/>
      </c>
      <c r="K298" s="450"/>
      <c r="L298" s="77" t="str">
        <f t="shared" si="478"/>
        <v/>
      </c>
      <c r="M298" s="77" t="str">
        <f t="shared" si="471"/>
        <v/>
      </c>
      <c r="N298" s="77" t="str">
        <f t="shared" si="472"/>
        <v/>
      </c>
      <c r="O298" s="77" t="str">
        <f t="shared" si="473"/>
        <v/>
      </c>
      <c r="P298" s="78" t="str">
        <f t="shared" si="474"/>
        <v/>
      </c>
      <c r="Q298" s="79" t="str">
        <f t="shared" si="477"/>
        <v/>
      </c>
      <c r="R298" s="450"/>
      <c r="S298" s="426"/>
      <c r="T298" s="451"/>
      <c r="U298" s="450"/>
      <c r="V298" s="426"/>
      <c r="W298" s="80" t="str">
        <f t="shared" si="475"/>
        <v/>
      </c>
      <c r="X298" s="452"/>
      <c r="Y298" s="450"/>
      <c r="Z298" s="426"/>
      <c r="AA298" s="426"/>
      <c r="AB298" s="454"/>
      <c r="AC298" s="81"/>
      <c r="AD298" s="77"/>
      <c r="AE298" s="77"/>
      <c r="AF298" s="454"/>
      <c r="AG298" s="453"/>
      <c r="AH298" s="426"/>
      <c r="AI298" s="77"/>
      <c r="AJ298" s="426"/>
      <c r="AK298" s="77"/>
      <c r="AL298" s="96"/>
      <c r="AM298" s="450"/>
      <c r="AN298" s="426"/>
      <c r="AO298" s="426"/>
      <c r="AP298" s="455"/>
      <c r="AQ298" s="81" t="str">
        <f t="shared" si="484"/>
        <v/>
      </c>
      <c r="AR298" s="456"/>
      <c r="AS298" s="81" t="str">
        <f t="shared" si="485"/>
        <v/>
      </c>
      <c r="AT298" s="456"/>
      <c r="AU298" s="81" t="str">
        <f t="shared" si="486"/>
        <v/>
      </c>
      <c r="AV298" s="75"/>
      <c r="AW298" s="75"/>
      <c r="AX298" s="454"/>
      <c r="AY298" s="453"/>
      <c r="AZ298" s="462"/>
      <c r="BA298" s="77"/>
      <c r="BB298" s="457"/>
      <c r="BC298" s="77"/>
      <c r="BD298" s="458"/>
      <c r="BE298" s="95"/>
      <c r="BF298" s="82"/>
      <c r="BG298" s="459"/>
      <c r="BH298" s="459"/>
      <c r="BI298" s="77"/>
      <c r="BJ298" s="454"/>
      <c r="BK298" s="460"/>
      <c r="BL298" s="461"/>
      <c r="BM298" s="461"/>
      <c r="BN298" s="462"/>
      <c r="BO298" s="463"/>
      <c r="BP298" s="81" t="str">
        <f>IF(F298&gt;$F$18,"",IF(BO298&lt;&gt;"","",IF(ISNA(VLOOKUP('I. Stream &amp; Compound Data'!H298,'Potency Factors '!D$4:E$55,2,FALSE))=TRUE,0,VLOOKUP('I. Stream &amp; Compound Data'!H298,'Potency Factors '!D$4:E$55,2,FALSE))))</f>
        <v/>
      </c>
      <c r="BQ298" s="456"/>
      <c r="BR298" s="81" t="str">
        <f>IF(F298&gt;$F$18,"",IF(BQ298&lt;&gt;"","",IF(ISNA(VLOOKUP('I. Stream &amp; Compound Data'!H298,'Potency Factors '!D$68:E$167,2,FALSE))=TRUE,0,VLOOKUP('I. Stream &amp; Compound Data'!H298,'Potency Factors '!D$68:E$167,2,FALSE))))</f>
        <v/>
      </c>
      <c r="BS298" s="456"/>
      <c r="BT298" s="81" t="str">
        <f>IF(F298&gt;$F$18,"",IF(BS298&lt;&gt;"","",IF(ISNA(VLOOKUP('I. Stream &amp; Compound Data'!H298,'Potency Factors '!$D$412:$F$473,3,FALSE))=TRUE,0,VLOOKUP('I. Stream &amp; Compound Data'!H298,'Potency Factors '!$D$412:$F$473,3,FALSE))))</f>
        <v/>
      </c>
      <c r="BU298" s="456"/>
      <c r="BV298" s="81" t="str">
        <f>IF(F298&gt;$F$18,"",IF(BU298&lt;&gt;"","",IF(ISNA(VLOOKUP('I. Stream &amp; Compound Data'!H298,'Potency Factors '!D$180:E$185,2,FALSE))=TRUE,0,VLOOKUP('I. Stream &amp; Compound Data'!H298,'Potency Factors '!D$180:E$185,2,FALSE))))</f>
        <v/>
      </c>
      <c r="BW298" s="83"/>
      <c r="BX298" s="82" t="str">
        <f t="shared" si="487"/>
        <v/>
      </c>
      <c r="BY298" s="83"/>
      <c r="BZ298" s="82" t="str">
        <f t="shared" si="488"/>
        <v/>
      </c>
      <c r="CA298" s="83"/>
      <c r="CB298" s="462"/>
      <c r="CC298" s="82" t="str">
        <f t="shared" si="489"/>
        <v/>
      </c>
      <c r="CD298" s="456"/>
      <c r="CE298" s="81" t="str">
        <f>IF(F298&gt;$F$18,"",IF(CD298&lt;&gt;"","",IF(ISNA(VLOOKUP('I. Stream &amp; Compound Data'!H298,'Potency Factors '!D$224:F$345,3,FALSE))=TRUE,0,VLOOKUP('I. Stream &amp; Compound Data'!H298,'Potency Factors '!D$224:F$345,3,FALSE))))</f>
        <v/>
      </c>
      <c r="CF298" s="456"/>
      <c r="CG298" s="81" t="str">
        <f>IF(F298&gt;$F$18,"",IF(CF298&lt;&gt;"","",IF(ISNA(VLOOKUP('I. Stream &amp; Compound Data'!H298,'Potency Factors '!D$361:F$374,3,FALSE))=TRUE,0,VLOOKUP('I. Stream &amp; Compound Data'!H298,'Potency Factors '!D$361:F$374,3,FALSE))))</f>
        <v/>
      </c>
      <c r="CH298" s="83"/>
      <c r="CI298" s="83"/>
      <c r="CJ298" s="83"/>
      <c r="CK298" s="83"/>
      <c r="CL298" s="83"/>
      <c r="CM298" s="83"/>
      <c r="CN298" s="83"/>
      <c r="CO298" s="83"/>
      <c r="CP298" s="83" t="str">
        <f t="shared" si="490"/>
        <v/>
      </c>
      <c r="CQ298" s="456"/>
      <c r="CR298" s="81" t="str">
        <f>IF(F298&gt;$F$18,"",IF(CQ298&lt;&gt;"","",IF(ISNA(VLOOKUP('I. Stream &amp; Compound Data'!H298,'Potency Factors '!D$387:E$399,2,FALSE))=FALSE,VLOOKUP('I. Stream &amp; Compound Data'!H298,'Potency Factors '!D$387:E$399,2,FALSE),IF(ISNUMBER(SEARCH("phosphate",G298))=TRUE,1,IF(ISNUMBER(SEARCH("nitrate",G298))=TRUE,0.1,0)))))</f>
        <v/>
      </c>
      <c r="CS298" s="456"/>
      <c r="CT298" s="84" t="str">
        <f>IF(F298&gt;$F$18,"",IF(CS298&lt;&gt;"","",IF(ISNA(VLOOKUP('I. Stream &amp; Compound Data'!H298,'Potency Factors '!$D$485:$F$558,3,FALSE))=TRUE,0,VLOOKUP('I. Stream &amp; Compound Data'!H298,'Potency Factors '!$D$485:$F$558,3,FALSE))))</f>
        <v/>
      </c>
      <c r="CU298" s="729"/>
    </row>
    <row r="299" spans="2:99" ht="15" x14ac:dyDescent="0.2">
      <c r="B299" s="716"/>
      <c r="C299" s="717"/>
      <c r="D299" s="717"/>
      <c r="E299" s="717"/>
      <c r="F299" s="73">
        <f t="shared" si="479"/>
        <v>38</v>
      </c>
      <c r="G299" s="74" t="str">
        <f t="shared" si="480"/>
        <v/>
      </c>
      <c r="H299" s="75" t="str">
        <f t="shared" si="481"/>
        <v/>
      </c>
      <c r="I299" s="75" t="str">
        <f t="shared" si="482"/>
        <v/>
      </c>
      <c r="J299" s="76" t="str">
        <f t="shared" si="483"/>
        <v/>
      </c>
      <c r="K299" s="450"/>
      <c r="L299" s="77" t="str">
        <f t="shared" si="478"/>
        <v/>
      </c>
      <c r="M299" s="77" t="str">
        <f t="shared" si="471"/>
        <v/>
      </c>
      <c r="N299" s="77" t="str">
        <f t="shared" si="472"/>
        <v/>
      </c>
      <c r="O299" s="77" t="str">
        <f t="shared" si="473"/>
        <v/>
      </c>
      <c r="P299" s="78" t="str">
        <f t="shared" si="474"/>
        <v/>
      </c>
      <c r="Q299" s="79" t="str">
        <f t="shared" si="477"/>
        <v/>
      </c>
      <c r="R299" s="450"/>
      <c r="S299" s="426"/>
      <c r="T299" s="451"/>
      <c r="U299" s="450"/>
      <c r="V299" s="426"/>
      <c r="W299" s="80" t="str">
        <f t="shared" si="475"/>
        <v/>
      </c>
      <c r="X299" s="452"/>
      <c r="Y299" s="450"/>
      <c r="Z299" s="426"/>
      <c r="AA299" s="426"/>
      <c r="AB299" s="454"/>
      <c r="AC299" s="81"/>
      <c r="AD299" s="77"/>
      <c r="AE299" s="77"/>
      <c r="AF299" s="454"/>
      <c r="AG299" s="453"/>
      <c r="AH299" s="426"/>
      <c r="AI299" s="77"/>
      <c r="AJ299" s="426"/>
      <c r="AK299" s="77"/>
      <c r="AL299" s="96"/>
      <c r="AM299" s="450"/>
      <c r="AN299" s="426"/>
      <c r="AO299" s="426"/>
      <c r="AP299" s="455"/>
      <c r="AQ299" s="81" t="str">
        <f t="shared" si="484"/>
        <v/>
      </c>
      <c r="AR299" s="456"/>
      <c r="AS299" s="81" t="str">
        <f t="shared" si="485"/>
        <v/>
      </c>
      <c r="AT299" s="456"/>
      <c r="AU299" s="81" t="str">
        <f t="shared" si="486"/>
        <v/>
      </c>
      <c r="AV299" s="75"/>
      <c r="AW299" s="75"/>
      <c r="AX299" s="454"/>
      <c r="AY299" s="453"/>
      <c r="AZ299" s="462"/>
      <c r="BA299" s="77"/>
      <c r="BB299" s="457"/>
      <c r="BC299" s="77"/>
      <c r="BD299" s="458"/>
      <c r="BE299" s="95"/>
      <c r="BF299" s="82"/>
      <c r="BG299" s="459"/>
      <c r="BH299" s="459"/>
      <c r="BI299" s="77"/>
      <c r="BJ299" s="454"/>
      <c r="BK299" s="460"/>
      <c r="BL299" s="461"/>
      <c r="BM299" s="461"/>
      <c r="BN299" s="462"/>
      <c r="BO299" s="463"/>
      <c r="BP299" s="81" t="str">
        <f>IF(F299&gt;$F$18,"",IF(BO299&lt;&gt;"","",IF(ISNA(VLOOKUP('I. Stream &amp; Compound Data'!H299,'Potency Factors '!D$4:E$55,2,FALSE))=TRUE,0,VLOOKUP('I. Stream &amp; Compound Data'!H299,'Potency Factors '!D$4:E$55,2,FALSE))))</f>
        <v/>
      </c>
      <c r="BQ299" s="456"/>
      <c r="BR299" s="81" t="str">
        <f>IF(F299&gt;$F$18,"",IF(BQ299&lt;&gt;"","",IF(ISNA(VLOOKUP('I. Stream &amp; Compound Data'!H299,'Potency Factors '!D$68:E$167,2,FALSE))=TRUE,0,VLOOKUP('I. Stream &amp; Compound Data'!H299,'Potency Factors '!D$68:E$167,2,FALSE))))</f>
        <v/>
      </c>
      <c r="BS299" s="456"/>
      <c r="BT299" s="81" t="str">
        <f>IF(F299&gt;$F$18,"",IF(BS299&lt;&gt;"","",IF(ISNA(VLOOKUP('I. Stream &amp; Compound Data'!H299,'Potency Factors '!$D$412:$F$473,3,FALSE))=TRUE,0,VLOOKUP('I. Stream &amp; Compound Data'!H299,'Potency Factors '!$D$412:$F$473,3,FALSE))))</f>
        <v/>
      </c>
      <c r="BU299" s="456"/>
      <c r="BV299" s="81" t="str">
        <f>IF(F299&gt;$F$18,"",IF(BU299&lt;&gt;"","",IF(ISNA(VLOOKUP('I. Stream &amp; Compound Data'!H299,'Potency Factors '!D$180:E$185,2,FALSE))=TRUE,0,VLOOKUP('I. Stream &amp; Compound Data'!H299,'Potency Factors '!D$180:E$185,2,FALSE))))</f>
        <v/>
      </c>
      <c r="BW299" s="83"/>
      <c r="BX299" s="82" t="str">
        <f t="shared" si="487"/>
        <v/>
      </c>
      <c r="BY299" s="83"/>
      <c r="BZ299" s="82" t="str">
        <f t="shared" si="488"/>
        <v/>
      </c>
      <c r="CA299" s="83"/>
      <c r="CB299" s="462"/>
      <c r="CC299" s="82" t="str">
        <f t="shared" si="489"/>
        <v/>
      </c>
      <c r="CD299" s="456"/>
      <c r="CE299" s="81" t="str">
        <f>IF(F299&gt;$F$18,"",IF(CD299&lt;&gt;"","",IF(ISNA(VLOOKUP('I. Stream &amp; Compound Data'!H299,'Potency Factors '!D$224:F$345,3,FALSE))=TRUE,0,VLOOKUP('I. Stream &amp; Compound Data'!H299,'Potency Factors '!D$224:F$345,3,FALSE))))</f>
        <v/>
      </c>
      <c r="CF299" s="456"/>
      <c r="CG299" s="81" t="str">
        <f>IF(F299&gt;$F$18,"",IF(CF299&lt;&gt;"","",IF(ISNA(VLOOKUP('I. Stream &amp; Compound Data'!H299,'Potency Factors '!D$361:F$374,3,FALSE))=TRUE,0,VLOOKUP('I. Stream &amp; Compound Data'!H299,'Potency Factors '!D$361:F$374,3,FALSE))))</f>
        <v/>
      </c>
      <c r="CH299" s="83"/>
      <c r="CI299" s="83"/>
      <c r="CJ299" s="83"/>
      <c r="CK299" s="83"/>
      <c r="CL299" s="83"/>
      <c r="CM299" s="83"/>
      <c r="CN299" s="83"/>
      <c r="CO299" s="83"/>
      <c r="CP299" s="83" t="str">
        <f t="shared" si="490"/>
        <v/>
      </c>
      <c r="CQ299" s="456"/>
      <c r="CR299" s="81" t="str">
        <f>IF(F299&gt;$F$18,"",IF(CQ299&lt;&gt;"","",IF(ISNA(VLOOKUP('I. Stream &amp; Compound Data'!H299,'Potency Factors '!D$387:E$399,2,FALSE))=FALSE,VLOOKUP('I. Stream &amp; Compound Data'!H299,'Potency Factors '!D$387:E$399,2,FALSE),IF(ISNUMBER(SEARCH("phosphate",G299))=TRUE,1,IF(ISNUMBER(SEARCH("nitrate",G299))=TRUE,0.1,0)))))</f>
        <v/>
      </c>
      <c r="CS299" s="456"/>
      <c r="CT299" s="84" t="str">
        <f>IF(F299&gt;$F$18,"",IF(CS299&lt;&gt;"","",IF(ISNA(VLOOKUP('I. Stream &amp; Compound Data'!H299,'Potency Factors '!$D$485:$F$558,3,FALSE))=TRUE,0,VLOOKUP('I. Stream &amp; Compound Data'!H299,'Potency Factors '!$D$485:$F$558,3,FALSE))))</f>
        <v/>
      </c>
      <c r="CU299" s="729"/>
    </row>
    <row r="300" spans="2:99" ht="15" x14ac:dyDescent="0.2">
      <c r="B300" s="716"/>
      <c r="C300" s="717"/>
      <c r="D300" s="717"/>
      <c r="E300" s="717"/>
      <c r="F300" s="73">
        <f t="shared" si="479"/>
        <v>39</v>
      </c>
      <c r="G300" s="74" t="str">
        <f t="shared" si="480"/>
        <v/>
      </c>
      <c r="H300" s="75" t="str">
        <f t="shared" si="481"/>
        <v/>
      </c>
      <c r="I300" s="75" t="str">
        <f t="shared" si="482"/>
        <v/>
      </c>
      <c r="J300" s="76" t="str">
        <f t="shared" si="483"/>
        <v/>
      </c>
      <c r="K300" s="450"/>
      <c r="L300" s="77" t="str">
        <f t="shared" si="478"/>
        <v/>
      </c>
      <c r="M300" s="77" t="str">
        <f t="shared" si="471"/>
        <v/>
      </c>
      <c r="N300" s="77" t="str">
        <f t="shared" si="472"/>
        <v/>
      </c>
      <c r="O300" s="77" t="str">
        <f t="shared" si="473"/>
        <v/>
      </c>
      <c r="P300" s="78" t="str">
        <f t="shared" si="474"/>
        <v/>
      </c>
      <c r="Q300" s="79" t="str">
        <f t="shared" si="477"/>
        <v/>
      </c>
      <c r="R300" s="450"/>
      <c r="S300" s="426"/>
      <c r="T300" s="451"/>
      <c r="U300" s="450"/>
      <c r="V300" s="426"/>
      <c r="W300" s="80" t="str">
        <f t="shared" si="475"/>
        <v/>
      </c>
      <c r="X300" s="452"/>
      <c r="Y300" s="450"/>
      <c r="Z300" s="426"/>
      <c r="AA300" s="426"/>
      <c r="AB300" s="454"/>
      <c r="AC300" s="81"/>
      <c r="AD300" s="77"/>
      <c r="AE300" s="77"/>
      <c r="AF300" s="454"/>
      <c r="AG300" s="453"/>
      <c r="AH300" s="426"/>
      <c r="AI300" s="77"/>
      <c r="AJ300" s="426"/>
      <c r="AK300" s="77"/>
      <c r="AL300" s="96"/>
      <c r="AM300" s="450"/>
      <c r="AN300" s="426"/>
      <c r="AO300" s="426"/>
      <c r="AP300" s="455"/>
      <c r="AQ300" s="81" t="str">
        <f t="shared" si="484"/>
        <v/>
      </c>
      <c r="AR300" s="456"/>
      <c r="AS300" s="81" t="str">
        <f t="shared" si="485"/>
        <v/>
      </c>
      <c r="AT300" s="456"/>
      <c r="AU300" s="81" t="str">
        <f t="shared" si="486"/>
        <v/>
      </c>
      <c r="AV300" s="75"/>
      <c r="AW300" s="75"/>
      <c r="AX300" s="454"/>
      <c r="AY300" s="453"/>
      <c r="AZ300" s="462"/>
      <c r="BA300" s="77"/>
      <c r="BB300" s="457"/>
      <c r="BC300" s="77"/>
      <c r="BD300" s="458"/>
      <c r="BE300" s="95"/>
      <c r="BF300" s="82"/>
      <c r="BG300" s="459"/>
      <c r="BH300" s="459"/>
      <c r="BI300" s="77"/>
      <c r="BJ300" s="454"/>
      <c r="BK300" s="460"/>
      <c r="BL300" s="461"/>
      <c r="BM300" s="461"/>
      <c r="BN300" s="462"/>
      <c r="BO300" s="463"/>
      <c r="BP300" s="81" t="str">
        <f>IF(F300&gt;$F$18,"",IF(BO300&lt;&gt;"","",IF(ISNA(VLOOKUP('I. Stream &amp; Compound Data'!H300,'Potency Factors '!D$4:E$55,2,FALSE))=TRUE,0,VLOOKUP('I. Stream &amp; Compound Data'!H300,'Potency Factors '!D$4:E$55,2,FALSE))))</f>
        <v/>
      </c>
      <c r="BQ300" s="456"/>
      <c r="BR300" s="81" t="str">
        <f>IF(F300&gt;$F$18,"",IF(BQ300&lt;&gt;"","",IF(ISNA(VLOOKUP('I. Stream &amp; Compound Data'!H300,'Potency Factors '!D$68:E$167,2,FALSE))=TRUE,0,VLOOKUP('I. Stream &amp; Compound Data'!H300,'Potency Factors '!D$68:E$167,2,FALSE))))</f>
        <v/>
      </c>
      <c r="BS300" s="456"/>
      <c r="BT300" s="81" t="str">
        <f>IF(F300&gt;$F$18,"",IF(BS300&lt;&gt;"","",IF(ISNA(VLOOKUP('I. Stream &amp; Compound Data'!H300,'Potency Factors '!$D$412:$F$473,3,FALSE))=TRUE,0,VLOOKUP('I. Stream &amp; Compound Data'!H300,'Potency Factors '!$D$412:$F$473,3,FALSE))))</f>
        <v/>
      </c>
      <c r="BU300" s="456"/>
      <c r="BV300" s="81" t="str">
        <f>IF(F300&gt;$F$18,"",IF(BU300&lt;&gt;"","",IF(ISNA(VLOOKUP('I. Stream &amp; Compound Data'!H300,'Potency Factors '!D$180:E$185,2,FALSE))=TRUE,0,VLOOKUP('I. Stream &amp; Compound Data'!H300,'Potency Factors '!D$180:E$185,2,FALSE))))</f>
        <v/>
      </c>
      <c r="BW300" s="83"/>
      <c r="BX300" s="82" t="str">
        <f t="shared" si="487"/>
        <v/>
      </c>
      <c r="BY300" s="83"/>
      <c r="BZ300" s="82" t="str">
        <f t="shared" si="488"/>
        <v/>
      </c>
      <c r="CA300" s="83"/>
      <c r="CB300" s="462"/>
      <c r="CC300" s="82" t="str">
        <f t="shared" si="489"/>
        <v/>
      </c>
      <c r="CD300" s="456"/>
      <c r="CE300" s="81" t="str">
        <f>IF(F300&gt;$F$18,"",IF(CD300&lt;&gt;"","",IF(ISNA(VLOOKUP('I. Stream &amp; Compound Data'!H300,'Potency Factors '!D$224:F$345,3,FALSE))=TRUE,0,VLOOKUP('I. Stream &amp; Compound Data'!H300,'Potency Factors '!D$224:F$345,3,FALSE))))</f>
        <v/>
      </c>
      <c r="CF300" s="456"/>
      <c r="CG300" s="81" t="str">
        <f>IF(F300&gt;$F$18,"",IF(CF300&lt;&gt;"","",IF(ISNA(VLOOKUP('I. Stream &amp; Compound Data'!H300,'Potency Factors '!D$361:F$374,3,FALSE))=TRUE,0,VLOOKUP('I. Stream &amp; Compound Data'!H300,'Potency Factors '!D$361:F$374,3,FALSE))))</f>
        <v/>
      </c>
      <c r="CH300" s="83"/>
      <c r="CI300" s="83"/>
      <c r="CJ300" s="83"/>
      <c r="CK300" s="83"/>
      <c r="CL300" s="83"/>
      <c r="CM300" s="83"/>
      <c r="CN300" s="83"/>
      <c r="CO300" s="83"/>
      <c r="CP300" s="83" t="str">
        <f t="shared" si="490"/>
        <v/>
      </c>
      <c r="CQ300" s="456"/>
      <c r="CR300" s="81" t="str">
        <f>IF(F300&gt;$F$18,"",IF(CQ300&lt;&gt;"","",IF(ISNA(VLOOKUP('I. Stream &amp; Compound Data'!H300,'Potency Factors '!D$387:E$399,2,FALSE))=FALSE,VLOOKUP('I. Stream &amp; Compound Data'!H300,'Potency Factors '!D$387:E$399,2,FALSE),IF(ISNUMBER(SEARCH("phosphate",G300))=TRUE,1,IF(ISNUMBER(SEARCH("nitrate",G300))=TRUE,0.1,0)))))</f>
        <v/>
      </c>
      <c r="CS300" s="456"/>
      <c r="CT300" s="84" t="str">
        <f>IF(F300&gt;$F$18,"",IF(CS300&lt;&gt;"","",IF(ISNA(VLOOKUP('I. Stream &amp; Compound Data'!H300,'Potency Factors '!$D$485:$F$558,3,FALSE))=TRUE,0,VLOOKUP('I. Stream &amp; Compound Data'!H300,'Potency Factors '!$D$485:$F$558,3,FALSE))))</f>
        <v/>
      </c>
      <c r="CU300" s="729"/>
    </row>
    <row r="301" spans="2:99" ht="15" x14ac:dyDescent="0.2">
      <c r="B301" s="716"/>
      <c r="C301" s="717"/>
      <c r="D301" s="717"/>
      <c r="E301" s="717"/>
      <c r="F301" s="73">
        <f t="shared" si="479"/>
        <v>40</v>
      </c>
      <c r="G301" s="74" t="str">
        <f t="shared" si="480"/>
        <v/>
      </c>
      <c r="H301" s="75" t="str">
        <f t="shared" si="481"/>
        <v/>
      </c>
      <c r="I301" s="75" t="str">
        <f t="shared" si="482"/>
        <v/>
      </c>
      <c r="J301" s="76" t="str">
        <f t="shared" si="483"/>
        <v/>
      </c>
      <c r="K301" s="450"/>
      <c r="L301" s="77" t="str">
        <f t="shared" si="478"/>
        <v/>
      </c>
      <c r="M301" s="77" t="str">
        <f t="shared" si="471"/>
        <v/>
      </c>
      <c r="N301" s="77" t="str">
        <f t="shared" si="472"/>
        <v/>
      </c>
      <c r="O301" s="77" t="str">
        <f t="shared" si="473"/>
        <v/>
      </c>
      <c r="P301" s="78" t="str">
        <f t="shared" si="474"/>
        <v/>
      </c>
      <c r="Q301" s="79" t="str">
        <f t="shared" si="477"/>
        <v/>
      </c>
      <c r="R301" s="450"/>
      <c r="S301" s="426"/>
      <c r="T301" s="451"/>
      <c r="U301" s="450"/>
      <c r="V301" s="426"/>
      <c r="W301" s="80" t="str">
        <f t="shared" si="475"/>
        <v/>
      </c>
      <c r="X301" s="452"/>
      <c r="Y301" s="450"/>
      <c r="Z301" s="426"/>
      <c r="AA301" s="426"/>
      <c r="AB301" s="454"/>
      <c r="AC301" s="81"/>
      <c r="AD301" s="77"/>
      <c r="AE301" s="77"/>
      <c r="AF301" s="454"/>
      <c r="AG301" s="453"/>
      <c r="AH301" s="426"/>
      <c r="AI301" s="77"/>
      <c r="AJ301" s="426"/>
      <c r="AK301" s="77"/>
      <c r="AL301" s="96"/>
      <c r="AM301" s="450"/>
      <c r="AN301" s="426"/>
      <c r="AO301" s="426"/>
      <c r="AP301" s="455"/>
      <c r="AQ301" s="81" t="str">
        <f t="shared" si="484"/>
        <v/>
      </c>
      <c r="AR301" s="456"/>
      <c r="AS301" s="81" t="str">
        <f t="shared" si="485"/>
        <v/>
      </c>
      <c r="AT301" s="456"/>
      <c r="AU301" s="81" t="str">
        <f t="shared" si="486"/>
        <v/>
      </c>
      <c r="AV301" s="75"/>
      <c r="AW301" s="75"/>
      <c r="AX301" s="454"/>
      <c r="AY301" s="453"/>
      <c r="AZ301" s="462"/>
      <c r="BA301" s="77"/>
      <c r="BB301" s="457"/>
      <c r="BC301" s="77"/>
      <c r="BD301" s="458"/>
      <c r="BE301" s="95"/>
      <c r="BF301" s="82"/>
      <c r="BG301" s="459"/>
      <c r="BH301" s="459"/>
      <c r="BI301" s="77"/>
      <c r="BJ301" s="454"/>
      <c r="BK301" s="460"/>
      <c r="BL301" s="461"/>
      <c r="BM301" s="461"/>
      <c r="BN301" s="462"/>
      <c r="BO301" s="463"/>
      <c r="BP301" s="81" t="str">
        <f>IF(F301&gt;$F$18,"",IF(BO301&lt;&gt;"","",IF(ISNA(VLOOKUP('I. Stream &amp; Compound Data'!H301,'Potency Factors '!D$4:E$55,2,FALSE))=TRUE,0,VLOOKUP('I. Stream &amp; Compound Data'!H301,'Potency Factors '!D$4:E$55,2,FALSE))))</f>
        <v/>
      </c>
      <c r="BQ301" s="456"/>
      <c r="BR301" s="81" t="str">
        <f>IF(F301&gt;$F$18,"",IF(BQ301&lt;&gt;"","",IF(ISNA(VLOOKUP('I. Stream &amp; Compound Data'!H301,'Potency Factors '!D$68:E$167,2,FALSE))=TRUE,0,VLOOKUP('I. Stream &amp; Compound Data'!H301,'Potency Factors '!D$68:E$167,2,FALSE))))</f>
        <v/>
      </c>
      <c r="BS301" s="456"/>
      <c r="BT301" s="81" t="str">
        <f>IF(F301&gt;$F$18,"",IF(BS301&lt;&gt;"","",IF(ISNA(VLOOKUP('I. Stream &amp; Compound Data'!H301,'Potency Factors '!$D$412:$F$473,3,FALSE))=TRUE,0,VLOOKUP('I. Stream &amp; Compound Data'!H301,'Potency Factors '!$D$412:$F$473,3,FALSE))))</f>
        <v/>
      </c>
      <c r="BU301" s="456"/>
      <c r="BV301" s="81" t="str">
        <f>IF(F301&gt;$F$18,"",IF(BU301&lt;&gt;"","",IF(ISNA(VLOOKUP('I. Stream &amp; Compound Data'!H301,'Potency Factors '!D$180:E$185,2,FALSE))=TRUE,0,VLOOKUP('I. Stream &amp; Compound Data'!H301,'Potency Factors '!D$180:E$185,2,FALSE))))</f>
        <v/>
      </c>
      <c r="BW301" s="83"/>
      <c r="BX301" s="82" t="str">
        <f t="shared" si="487"/>
        <v/>
      </c>
      <c r="BY301" s="83"/>
      <c r="BZ301" s="82" t="str">
        <f t="shared" si="488"/>
        <v/>
      </c>
      <c r="CA301" s="83"/>
      <c r="CB301" s="462"/>
      <c r="CC301" s="82" t="str">
        <f t="shared" si="489"/>
        <v/>
      </c>
      <c r="CD301" s="456"/>
      <c r="CE301" s="81" t="str">
        <f>IF(F301&gt;$F$18,"",IF(CD301&lt;&gt;"","",IF(ISNA(VLOOKUP('I. Stream &amp; Compound Data'!H301,'Potency Factors '!D$224:F$345,3,FALSE))=TRUE,0,VLOOKUP('I. Stream &amp; Compound Data'!H301,'Potency Factors '!D$224:F$345,3,FALSE))))</f>
        <v/>
      </c>
      <c r="CF301" s="456"/>
      <c r="CG301" s="81" t="str">
        <f>IF(F301&gt;$F$18,"",IF(CF301&lt;&gt;"","",IF(ISNA(VLOOKUP('I. Stream &amp; Compound Data'!H301,'Potency Factors '!D$361:F$374,3,FALSE))=TRUE,0,VLOOKUP('I. Stream &amp; Compound Data'!H301,'Potency Factors '!D$361:F$374,3,FALSE))))</f>
        <v/>
      </c>
      <c r="CH301" s="83"/>
      <c r="CI301" s="83"/>
      <c r="CJ301" s="83"/>
      <c r="CK301" s="83"/>
      <c r="CL301" s="83"/>
      <c r="CM301" s="83"/>
      <c r="CN301" s="83"/>
      <c r="CO301" s="83"/>
      <c r="CP301" s="83" t="str">
        <f t="shared" si="490"/>
        <v/>
      </c>
      <c r="CQ301" s="456"/>
      <c r="CR301" s="81" t="str">
        <f>IF(F301&gt;$F$18,"",IF(CQ301&lt;&gt;"","",IF(ISNA(VLOOKUP('I. Stream &amp; Compound Data'!H301,'Potency Factors '!D$387:E$399,2,FALSE))=FALSE,VLOOKUP('I. Stream &amp; Compound Data'!H301,'Potency Factors '!D$387:E$399,2,FALSE),IF(ISNUMBER(SEARCH("phosphate",G301))=TRUE,1,IF(ISNUMBER(SEARCH("nitrate",G301))=TRUE,0.1,0)))))</f>
        <v/>
      </c>
      <c r="CS301" s="456"/>
      <c r="CT301" s="84" t="str">
        <f>IF(F301&gt;$F$18,"",IF(CS301&lt;&gt;"","",IF(ISNA(VLOOKUP('I. Stream &amp; Compound Data'!H301,'Potency Factors '!$D$485:$F$558,3,FALSE))=TRUE,0,VLOOKUP('I. Stream &amp; Compound Data'!H301,'Potency Factors '!$D$485:$F$558,3,FALSE))))</f>
        <v/>
      </c>
      <c r="CU301" s="729"/>
    </row>
    <row r="302" spans="2:99" ht="15" x14ac:dyDescent="0.2">
      <c r="B302" s="716"/>
      <c r="C302" s="717"/>
      <c r="D302" s="717"/>
      <c r="E302" s="717"/>
      <c r="F302" s="73">
        <f t="shared" si="479"/>
        <v>41</v>
      </c>
      <c r="G302" s="74" t="str">
        <f t="shared" si="480"/>
        <v/>
      </c>
      <c r="H302" s="75" t="str">
        <f t="shared" si="481"/>
        <v/>
      </c>
      <c r="I302" s="75" t="str">
        <f t="shared" si="482"/>
        <v/>
      </c>
      <c r="J302" s="76" t="str">
        <f t="shared" si="483"/>
        <v/>
      </c>
      <c r="K302" s="450"/>
      <c r="L302" s="77" t="str">
        <f t="shared" si="478"/>
        <v/>
      </c>
      <c r="M302" s="77" t="str">
        <f t="shared" si="471"/>
        <v/>
      </c>
      <c r="N302" s="77" t="str">
        <f t="shared" si="472"/>
        <v/>
      </c>
      <c r="O302" s="77" t="str">
        <f t="shared" si="473"/>
        <v/>
      </c>
      <c r="P302" s="78" t="str">
        <f t="shared" si="474"/>
        <v/>
      </c>
      <c r="Q302" s="79" t="str">
        <f t="shared" si="477"/>
        <v/>
      </c>
      <c r="R302" s="450"/>
      <c r="S302" s="426"/>
      <c r="T302" s="451"/>
      <c r="U302" s="450"/>
      <c r="V302" s="426"/>
      <c r="W302" s="80" t="str">
        <f t="shared" si="475"/>
        <v/>
      </c>
      <c r="X302" s="452"/>
      <c r="Y302" s="450"/>
      <c r="Z302" s="426"/>
      <c r="AA302" s="426"/>
      <c r="AB302" s="454"/>
      <c r="AC302" s="81"/>
      <c r="AD302" s="77"/>
      <c r="AE302" s="77"/>
      <c r="AF302" s="454"/>
      <c r="AG302" s="453"/>
      <c r="AH302" s="426"/>
      <c r="AI302" s="77"/>
      <c r="AJ302" s="426"/>
      <c r="AK302" s="77"/>
      <c r="AL302" s="96"/>
      <c r="AM302" s="450"/>
      <c r="AN302" s="426"/>
      <c r="AO302" s="426"/>
      <c r="AP302" s="455"/>
      <c r="AQ302" s="81" t="str">
        <f t="shared" si="484"/>
        <v/>
      </c>
      <c r="AR302" s="456"/>
      <c r="AS302" s="81" t="str">
        <f t="shared" si="485"/>
        <v/>
      </c>
      <c r="AT302" s="456"/>
      <c r="AU302" s="81" t="str">
        <f t="shared" si="486"/>
        <v/>
      </c>
      <c r="AV302" s="75"/>
      <c r="AW302" s="75"/>
      <c r="AX302" s="454"/>
      <c r="AY302" s="453"/>
      <c r="AZ302" s="462"/>
      <c r="BA302" s="77"/>
      <c r="BB302" s="457"/>
      <c r="BC302" s="77"/>
      <c r="BD302" s="458"/>
      <c r="BE302" s="95"/>
      <c r="BF302" s="82"/>
      <c r="BG302" s="459"/>
      <c r="BH302" s="459"/>
      <c r="BI302" s="77"/>
      <c r="BJ302" s="454"/>
      <c r="BK302" s="460"/>
      <c r="BL302" s="461"/>
      <c r="BM302" s="461"/>
      <c r="BN302" s="462"/>
      <c r="BO302" s="463"/>
      <c r="BP302" s="81" t="str">
        <f>IF(F302&gt;$F$18,"",IF(BO302&lt;&gt;"","",IF(ISNA(VLOOKUP('I. Stream &amp; Compound Data'!H302,'Potency Factors '!D$4:E$55,2,FALSE))=TRUE,0,VLOOKUP('I. Stream &amp; Compound Data'!H302,'Potency Factors '!D$4:E$55,2,FALSE))))</f>
        <v/>
      </c>
      <c r="BQ302" s="456"/>
      <c r="BR302" s="81" t="str">
        <f>IF(F302&gt;$F$18,"",IF(BQ302&lt;&gt;"","",IF(ISNA(VLOOKUP('I. Stream &amp; Compound Data'!H302,'Potency Factors '!D$68:E$167,2,FALSE))=TRUE,0,VLOOKUP('I. Stream &amp; Compound Data'!H302,'Potency Factors '!D$68:E$167,2,FALSE))))</f>
        <v/>
      </c>
      <c r="BS302" s="456"/>
      <c r="BT302" s="81" t="str">
        <f>IF(F302&gt;$F$18,"",IF(BS302&lt;&gt;"","",IF(ISNA(VLOOKUP('I. Stream &amp; Compound Data'!H302,'Potency Factors '!$D$412:$F$473,3,FALSE))=TRUE,0,VLOOKUP('I. Stream &amp; Compound Data'!H302,'Potency Factors '!$D$412:$F$473,3,FALSE))))</f>
        <v/>
      </c>
      <c r="BU302" s="456"/>
      <c r="BV302" s="81" t="str">
        <f>IF(F302&gt;$F$18,"",IF(BU302&lt;&gt;"","",IF(ISNA(VLOOKUP('I. Stream &amp; Compound Data'!H302,'Potency Factors '!D$180:E$185,2,FALSE))=TRUE,0,VLOOKUP('I. Stream &amp; Compound Data'!H302,'Potency Factors '!D$180:E$185,2,FALSE))))</f>
        <v/>
      </c>
      <c r="BW302" s="83"/>
      <c r="BX302" s="82" t="str">
        <f t="shared" si="487"/>
        <v/>
      </c>
      <c r="BY302" s="83"/>
      <c r="BZ302" s="82" t="str">
        <f t="shared" si="488"/>
        <v/>
      </c>
      <c r="CA302" s="83"/>
      <c r="CB302" s="462"/>
      <c r="CC302" s="82" t="str">
        <f t="shared" si="489"/>
        <v/>
      </c>
      <c r="CD302" s="456"/>
      <c r="CE302" s="81" t="str">
        <f>IF(F302&gt;$F$18,"",IF(CD302&lt;&gt;"","",IF(ISNA(VLOOKUP('I. Stream &amp; Compound Data'!H302,'Potency Factors '!D$224:F$345,3,FALSE))=TRUE,0,VLOOKUP('I. Stream &amp; Compound Data'!H302,'Potency Factors '!D$224:F$345,3,FALSE))))</f>
        <v/>
      </c>
      <c r="CF302" s="456"/>
      <c r="CG302" s="81" t="str">
        <f>IF(F302&gt;$F$18,"",IF(CF302&lt;&gt;"","",IF(ISNA(VLOOKUP('I. Stream &amp; Compound Data'!H302,'Potency Factors '!D$361:F$374,3,FALSE))=TRUE,0,VLOOKUP('I. Stream &amp; Compound Data'!H302,'Potency Factors '!D$361:F$374,3,FALSE))))</f>
        <v/>
      </c>
      <c r="CH302" s="83"/>
      <c r="CI302" s="83"/>
      <c r="CJ302" s="83"/>
      <c r="CK302" s="83"/>
      <c r="CL302" s="83"/>
      <c r="CM302" s="83"/>
      <c r="CN302" s="83"/>
      <c r="CO302" s="83"/>
      <c r="CP302" s="83" t="str">
        <f t="shared" si="490"/>
        <v/>
      </c>
      <c r="CQ302" s="456"/>
      <c r="CR302" s="81" t="str">
        <f>IF(F302&gt;$F$18,"",IF(CQ302&lt;&gt;"","",IF(ISNA(VLOOKUP('I. Stream &amp; Compound Data'!H302,'Potency Factors '!D$387:E$399,2,FALSE))=FALSE,VLOOKUP('I. Stream &amp; Compound Data'!H302,'Potency Factors '!D$387:E$399,2,FALSE),IF(ISNUMBER(SEARCH("phosphate",G302))=TRUE,1,IF(ISNUMBER(SEARCH("nitrate",G302))=TRUE,0.1,0)))))</f>
        <v/>
      </c>
      <c r="CS302" s="456"/>
      <c r="CT302" s="84" t="str">
        <f>IF(F302&gt;$F$18,"",IF(CS302&lt;&gt;"","",IF(ISNA(VLOOKUP('I. Stream &amp; Compound Data'!H302,'Potency Factors '!$D$485:$F$558,3,FALSE))=TRUE,0,VLOOKUP('I. Stream &amp; Compound Data'!H302,'Potency Factors '!$D$485:$F$558,3,FALSE))))</f>
        <v/>
      </c>
      <c r="CU302" s="729"/>
    </row>
    <row r="303" spans="2:99" ht="15" x14ac:dyDescent="0.2">
      <c r="B303" s="716"/>
      <c r="C303" s="717"/>
      <c r="D303" s="717"/>
      <c r="E303" s="717"/>
      <c r="F303" s="73">
        <f t="shared" si="479"/>
        <v>42</v>
      </c>
      <c r="G303" s="74" t="str">
        <f t="shared" si="480"/>
        <v/>
      </c>
      <c r="H303" s="75" t="str">
        <f t="shared" si="481"/>
        <v/>
      </c>
      <c r="I303" s="75" t="str">
        <f t="shared" si="482"/>
        <v/>
      </c>
      <c r="J303" s="76" t="str">
        <f t="shared" si="483"/>
        <v/>
      </c>
      <c r="K303" s="450"/>
      <c r="L303" s="77" t="str">
        <f t="shared" si="478"/>
        <v/>
      </c>
      <c r="M303" s="77" t="str">
        <f t="shared" si="471"/>
        <v/>
      </c>
      <c r="N303" s="77" t="str">
        <f t="shared" si="472"/>
        <v/>
      </c>
      <c r="O303" s="77" t="str">
        <f t="shared" si="473"/>
        <v/>
      </c>
      <c r="P303" s="78" t="str">
        <f t="shared" si="474"/>
        <v/>
      </c>
      <c r="Q303" s="79" t="str">
        <f t="shared" si="477"/>
        <v/>
      </c>
      <c r="R303" s="450"/>
      <c r="S303" s="426"/>
      <c r="T303" s="451"/>
      <c r="U303" s="450"/>
      <c r="V303" s="426"/>
      <c r="W303" s="80" t="str">
        <f t="shared" si="475"/>
        <v/>
      </c>
      <c r="X303" s="452"/>
      <c r="Y303" s="450"/>
      <c r="Z303" s="426"/>
      <c r="AA303" s="426"/>
      <c r="AB303" s="454"/>
      <c r="AC303" s="81"/>
      <c r="AD303" s="77"/>
      <c r="AE303" s="77"/>
      <c r="AF303" s="454"/>
      <c r="AG303" s="453"/>
      <c r="AH303" s="426"/>
      <c r="AI303" s="77"/>
      <c r="AJ303" s="426"/>
      <c r="AK303" s="77"/>
      <c r="AL303" s="96"/>
      <c r="AM303" s="450"/>
      <c r="AN303" s="426"/>
      <c r="AO303" s="426"/>
      <c r="AP303" s="455"/>
      <c r="AQ303" s="81" t="str">
        <f t="shared" si="484"/>
        <v/>
      </c>
      <c r="AR303" s="456"/>
      <c r="AS303" s="81" t="str">
        <f t="shared" si="485"/>
        <v/>
      </c>
      <c r="AT303" s="456"/>
      <c r="AU303" s="81" t="str">
        <f t="shared" si="486"/>
        <v/>
      </c>
      <c r="AV303" s="75"/>
      <c r="AW303" s="75"/>
      <c r="AX303" s="454"/>
      <c r="AY303" s="453"/>
      <c r="AZ303" s="462"/>
      <c r="BA303" s="77"/>
      <c r="BB303" s="457"/>
      <c r="BC303" s="77"/>
      <c r="BD303" s="458"/>
      <c r="BE303" s="95"/>
      <c r="BF303" s="82"/>
      <c r="BG303" s="459"/>
      <c r="BH303" s="459"/>
      <c r="BI303" s="77"/>
      <c r="BJ303" s="454"/>
      <c r="BK303" s="460"/>
      <c r="BL303" s="461"/>
      <c r="BM303" s="461"/>
      <c r="BN303" s="462"/>
      <c r="BO303" s="463"/>
      <c r="BP303" s="81" t="str">
        <f>IF(F303&gt;$F$18,"",IF(BO303&lt;&gt;"","",IF(ISNA(VLOOKUP('I. Stream &amp; Compound Data'!H303,'Potency Factors '!D$4:E$55,2,FALSE))=TRUE,0,VLOOKUP('I. Stream &amp; Compound Data'!H303,'Potency Factors '!D$4:E$55,2,FALSE))))</f>
        <v/>
      </c>
      <c r="BQ303" s="456"/>
      <c r="BR303" s="81" t="str">
        <f>IF(F303&gt;$F$18,"",IF(BQ303&lt;&gt;"","",IF(ISNA(VLOOKUP('I. Stream &amp; Compound Data'!H303,'Potency Factors '!D$68:E$167,2,FALSE))=TRUE,0,VLOOKUP('I. Stream &amp; Compound Data'!H303,'Potency Factors '!D$68:E$167,2,FALSE))))</f>
        <v/>
      </c>
      <c r="BS303" s="456"/>
      <c r="BT303" s="81" t="str">
        <f>IF(F303&gt;$F$18,"",IF(BS303&lt;&gt;"","",IF(ISNA(VLOOKUP('I. Stream &amp; Compound Data'!H303,'Potency Factors '!$D$412:$F$473,3,FALSE))=TRUE,0,VLOOKUP('I. Stream &amp; Compound Data'!H303,'Potency Factors '!$D$412:$F$473,3,FALSE))))</f>
        <v/>
      </c>
      <c r="BU303" s="456"/>
      <c r="BV303" s="81" t="str">
        <f>IF(F303&gt;$F$18,"",IF(BU303&lt;&gt;"","",IF(ISNA(VLOOKUP('I. Stream &amp; Compound Data'!H303,'Potency Factors '!D$180:E$185,2,FALSE))=TRUE,0,VLOOKUP('I. Stream &amp; Compound Data'!H303,'Potency Factors '!D$180:E$185,2,FALSE))))</f>
        <v/>
      </c>
      <c r="BW303" s="83"/>
      <c r="BX303" s="82" t="str">
        <f t="shared" si="487"/>
        <v/>
      </c>
      <c r="BY303" s="83"/>
      <c r="BZ303" s="82" t="str">
        <f t="shared" si="488"/>
        <v/>
      </c>
      <c r="CA303" s="83"/>
      <c r="CB303" s="462"/>
      <c r="CC303" s="82" t="str">
        <f t="shared" si="489"/>
        <v/>
      </c>
      <c r="CD303" s="456"/>
      <c r="CE303" s="81" t="str">
        <f>IF(F303&gt;$F$18,"",IF(CD303&lt;&gt;"","",IF(ISNA(VLOOKUP('I. Stream &amp; Compound Data'!H303,'Potency Factors '!D$224:F$345,3,FALSE))=TRUE,0,VLOOKUP('I. Stream &amp; Compound Data'!H303,'Potency Factors '!D$224:F$345,3,FALSE))))</f>
        <v/>
      </c>
      <c r="CF303" s="456"/>
      <c r="CG303" s="81" t="str">
        <f>IF(F303&gt;$F$18,"",IF(CF303&lt;&gt;"","",IF(ISNA(VLOOKUP('I. Stream &amp; Compound Data'!H303,'Potency Factors '!D$361:F$374,3,FALSE))=TRUE,0,VLOOKUP('I. Stream &amp; Compound Data'!H303,'Potency Factors '!D$361:F$374,3,FALSE))))</f>
        <v/>
      </c>
      <c r="CH303" s="83"/>
      <c r="CI303" s="83"/>
      <c r="CJ303" s="83"/>
      <c r="CK303" s="83"/>
      <c r="CL303" s="83"/>
      <c r="CM303" s="83"/>
      <c r="CN303" s="83"/>
      <c r="CO303" s="83"/>
      <c r="CP303" s="83" t="str">
        <f t="shared" si="490"/>
        <v/>
      </c>
      <c r="CQ303" s="456"/>
      <c r="CR303" s="81" t="str">
        <f>IF(F303&gt;$F$18,"",IF(CQ303&lt;&gt;"","",IF(ISNA(VLOOKUP('I. Stream &amp; Compound Data'!H303,'Potency Factors '!D$387:E$399,2,FALSE))=FALSE,VLOOKUP('I. Stream &amp; Compound Data'!H303,'Potency Factors '!D$387:E$399,2,FALSE),IF(ISNUMBER(SEARCH("phosphate",G303))=TRUE,1,IF(ISNUMBER(SEARCH("nitrate",G303))=TRUE,0.1,0)))))</f>
        <v/>
      </c>
      <c r="CS303" s="456"/>
      <c r="CT303" s="84" t="str">
        <f>IF(F303&gt;$F$18,"",IF(CS303&lt;&gt;"","",IF(ISNA(VLOOKUP('I. Stream &amp; Compound Data'!H303,'Potency Factors '!$D$485:$F$558,3,FALSE))=TRUE,0,VLOOKUP('I. Stream &amp; Compound Data'!H303,'Potency Factors '!$D$485:$F$558,3,FALSE))))</f>
        <v/>
      </c>
      <c r="CU303" s="729"/>
    </row>
    <row r="304" spans="2:99" ht="15" x14ac:dyDescent="0.2">
      <c r="B304" s="716"/>
      <c r="C304" s="717"/>
      <c r="D304" s="717"/>
      <c r="E304" s="717"/>
      <c r="F304" s="73">
        <f t="shared" si="479"/>
        <v>43</v>
      </c>
      <c r="G304" s="74" t="str">
        <f t="shared" si="480"/>
        <v/>
      </c>
      <c r="H304" s="75" t="str">
        <f t="shared" si="481"/>
        <v/>
      </c>
      <c r="I304" s="75" t="str">
        <f t="shared" si="482"/>
        <v/>
      </c>
      <c r="J304" s="76" t="str">
        <f t="shared" si="483"/>
        <v/>
      </c>
      <c r="K304" s="450"/>
      <c r="L304" s="77" t="str">
        <f t="shared" si="478"/>
        <v/>
      </c>
      <c r="M304" s="77" t="str">
        <f t="shared" si="471"/>
        <v/>
      </c>
      <c r="N304" s="77" t="str">
        <f t="shared" si="472"/>
        <v/>
      </c>
      <c r="O304" s="77" t="str">
        <f t="shared" si="473"/>
        <v/>
      </c>
      <c r="P304" s="78" t="str">
        <f t="shared" si="474"/>
        <v/>
      </c>
      <c r="Q304" s="79" t="str">
        <f t="shared" si="477"/>
        <v/>
      </c>
      <c r="R304" s="450"/>
      <c r="S304" s="426"/>
      <c r="T304" s="451"/>
      <c r="U304" s="450"/>
      <c r="V304" s="426"/>
      <c r="W304" s="80" t="str">
        <f t="shared" si="475"/>
        <v/>
      </c>
      <c r="X304" s="452"/>
      <c r="Y304" s="450"/>
      <c r="Z304" s="426"/>
      <c r="AA304" s="426"/>
      <c r="AB304" s="454"/>
      <c r="AC304" s="81"/>
      <c r="AD304" s="77"/>
      <c r="AE304" s="77"/>
      <c r="AF304" s="454"/>
      <c r="AG304" s="453"/>
      <c r="AH304" s="426"/>
      <c r="AI304" s="77"/>
      <c r="AJ304" s="426"/>
      <c r="AK304" s="77"/>
      <c r="AL304" s="96"/>
      <c r="AM304" s="450"/>
      <c r="AN304" s="426"/>
      <c r="AO304" s="426"/>
      <c r="AP304" s="455"/>
      <c r="AQ304" s="81" t="str">
        <f t="shared" si="484"/>
        <v/>
      </c>
      <c r="AR304" s="456"/>
      <c r="AS304" s="81" t="str">
        <f t="shared" si="485"/>
        <v/>
      </c>
      <c r="AT304" s="456"/>
      <c r="AU304" s="81" t="str">
        <f t="shared" si="486"/>
        <v/>
      </c>
      <c r="AV304" s="75"/>
      <c r="AW304" s="75"/>
      <c r="AX304" s="454"/>
      <c r="AY304" s="453"/>
      <c r="AZ304" s="462"/>
      <c r="BA304" s="77"/>
      <c r="BB304" s="457"/>
      <c r="BC304" s="77"/>
      <c r="BD304" s="458"/>
      <c r="BE304" s="95"/>
      <c r="BF304" s="82"/>
      <c r="BG304" s="459"/>
      <c r="BH304" s="459"/>
      <c r="BI304" s="77"/>
      <c r="BJ304" s="454"/>
      <c r="BK304" s="460"/>
      <c r="BL304" s="461"/>
      <c r="BM304" s="461"/>
      <c r="BN304" s="462"/>
      <c r="BO304" s="463"/>
      <c r="BP304" s="81" t="str">
        <f>IF(F304&gt;$F$18,"",IF(BO304&lt;&gt;"","",IF(ISNA(VLOOKUP('I. Stream &amp; Compound Data'!H304,'Potency Factors '!D$4:E$55,2,FALSE))=TRUE,0,VLOOKUP('I. Stream &amp; Compound Data'!H304,'Potency Factors '!D$4:E$55,2,FALSE))))</f>
        <v/>
      </c>
      <c r="BQ304" s="456"/>
      <c r="BR304" s="81" t="str">
        <f>IF(F304&gt;$F$18,"",IF(BQ304&lt;&gt;"","",IF(ISNA(VLOOKUP('I. Stream &amp; Compound Data'!H304,'Potency Factors '!D$68:E$167,2,FALSE))=TRUE,0,VLOOKUP('I. Stream &amp; Compound Data'!H304,'Potency Factors '!D$68:E$167,2,FALSE))))</f>
        <v/>
      </c>
      <c r="BS304" s="456"/>
      <c r="BT304" s="81" t="str">
        <f>IF(F304&gt;$F$18,"",IF(BS304&lt;&gt;"","",IF(ISNA(VLOOKUP('I. Stream &amp; Compound Data'!H304,'Potency Factors '!$D$412:$F$473,3,FALSE))=TRUE,0,VLOOKUP('I. Stream &amp; Compound Data'!H304,'Potency Factors '!$D$412:$F$473,3,FALSE))))</f>
        <v/>
      </c>
      <c r="BU304" s="456"/>
      <c r="BV304" s="81" t="str">
        <f>IF(F304&gt;$F$18,"",IF(BU304&lt;&gt;"","",IF(ISNA(VLOOKUP('I. Stream &amp; Compound Data'!H304,'Potency Factors '!D$180:E$185,2,FALSE))=TRUE,0,VLOOKUP('I. Stream &amp; Compound Data'!H304,'Potency Factors '!D$180:E$185,2,FALSE))))</f>
        <v/>
      </c>
      <c r="BW304" s="83"/>
      <c r="BX304" s="82" t="str">
        <f t="shared" si="487"/>
        <v/>
      </c>
      <c r="BY304" s="83"/>
      <c r="BZ304" s="82" t="str">
        <f t="shared" si="488"/>
        <v/>
      </c>
      <c r="CA304" s="83"/>
      <c r="CB304" s="462"/>
      <c r="CC304" s="82" t="str">
        <f t="shared" si="489"/>
        <v/>
      </c>
      <c r="CD304" s="456"/>
      <c r="CE304" s="81" t="str">
        <f>IF(F304&gt;$F$18,"",IF(CD304&lt;&gt;"","",IF(ISNA(VLOOKUP('I. Stream &amp; Compound Data'!H304,'Potency Factors '!D$224:F$345,3,FALSE))=TRUE,0,VLOOKUP('I. Stream &amp; Compound Data'!H304,'Potency Factors '!D$224:F$345,3,FALSE))))</f>
        <v/>
      </c>
      <c r="CF304" s="456"/>
      <c r="CG304" s="81" t="str">
        <f>IF(F304&gt;$F$18,"",IF(CF304&lt;&gt;"","",IF(ISNA(VLOOKUP('I. Stream &amp; Compound Data'!H304,'Potency Factors '!D$361:F$374,3,FALSE))=TRUE,0,VLOOKUP('I. Stream &amp; Compound Data'!H304,'Potency Factors '!D$361:F$374,3,FALSE))))</f>
        <v/>
      </c>
      <c r="CH304" s="83"/>
      <c r="CI304" s="83"/>
      <c r="CJ304" s="83"/>
      <c r="CK304" s="83"/>
      <c r="CL304" s="83"/>
      <c r="CM304" s="83"/>
      <c r="CN304" s="83"/>
      <c r="CO304" s="83"/>
      <c r="CP304" s="83" t="str">
        <f t="shared" si="490"/>
        <v/>
      </c>
      <c r="CQ304" s="456"/>
      <c r="CR304" s="81" t="str">
        <f>IF(F304&gt;$F$18,"",IF(CQ304&lt;&gt;"","",IF(ISNA(VLOOKUP('I. Stream &amp; Compound Data'!H304,'Potency Factors '!D$387:E$399,2,FALSE))=FALSE,VLOOKUP('I. Stream &amp; Compound Data'!H304,'Potency Factors '!D$387:E$399,2,FALSE),IF(ISNUMBER(SEARCH("phosphate",G304))=TRUE,1,IF(ISNUMBER(SEARCH("nitrate",G304))=TRUE,0.1,0)))))</f>
        <v/>
      </c>
      <c r="CS304" s="456"/>
      <c r="CT304" s="84" t="str">
        <f>IF(F304&gt;$F$18,"",IF(CS304&lt;&gt;"","",IF(ISNA(VLOOKUP('I. Stream &amp; Compound Data'!H304,'Potency Factors '!$D$485:$F$558,3,FALSE))=TRUE,0,VLOOKUP('I. Stream &amp; Compound Data'!H304,'Potency Factors '!$D$485:$F$558,3,FALSE))))</f>
        <v/>
      </c>
      <c r="CU304" s="729"/>
    </row>
    <row r="305" spans="2:99" ht="15" x14ac:dyDescent="0.2">
      <c r="B305" s="716"/>
      <c r="C305" s="717"/>
      <c r="D305" s="717"/>
      <c r="E305" s="717"/>
      <c r="F305" s="73">
        <f t="shared" si="479"/>
        <v>44</v>
      </c>
      <c r="G305" s="74" t="str">
        <f t="shared" si="480"/>
        <v/>
      </c>
      <c r="H305" s="75" t="str">
        <f t="shared" si="481"/>
        <v/>
      </c>
      <c r="I305" s="75" t="str">
        <f t="shared" si="482"/>
        <v/>
      </c>
      <c r="J305" s="76" t="str">
        <f t="shared" si="483"/>
        <v/>
      </c>
      <c r="K305" s="450"/>
      <c r="L305" s="77" t="str">
        <f t="shared" si="478"/>
        <v/>
      </c>
      <c r="M305" s="77" t="str">
        <f t="shared" si="471"/>
        <v/>
      </c>
      <c r="N305" s="77" t="str">
        <f t="shared" si="472"/>
        <v/>
      </c>
      <c r="O305" s="77" t="str">
        <f t="shared" si="473"/>
        <v/>
      </c>
      <c r="P305" s="78" t="str">
        <f t="shared" si="474"/>
        <v/>
      </c>
      <c r="Q305" s="79" t="str">
        <f t="shared" si="477"/>
        <v/>
      </c>
      <c r="R305" s="450"/>
      <c r="S305" s="426"/>
      <c r="T305" s="451"/>
      <c r="U305" s="450"/>
      <c r="V305" s="426"/>
      <c r="W305" s="80" t="str">
        <f t="shared" si="475"/>
        <v/>
      </c>
      <c r="X305" s="452"/>
      <c r="Y305" s="450"/>
      <c r="Z305" s="426"/>
      <c r="AA305" s="426"/>
      <c r="AB305" s="454"/>
      <c r="AC305" s="81"/>
      <c r="AD305" s="77"/>
      <c r="AE305" s="77"/>
      <c r="AF305" s="454"/>
      <c r="AG305" s="453"/>
      <c r="AH305" s="426"/>
      <c r="AI305" s="77"/>
      <c r="AJ305" s="426"/>
      <c r="AK305" s="77"/>
      <c r="AL305" s="96"/>
      <c r="AM305" s="450"/>
      <c r="AN305" s="426"/>
      <c r="AO305" s="426"/>
      <c r="AP305" s="455"/>
      <c r="AQ305" s="81" t="str">
        <f t="shared" si="484"/>
        <v/>
      </c>
      <c r="AR305" s="456"/>
      <c r="AS305" s="81" t="str">
        <f t="shared" si="485"/>
        <v/>
      </c>
      <c r="AT305" s="456"/>
      <c r="AU305" s="81" t="str">
        <f t="shared" si="486"/>
        <v/>
      </c>
      <c r="AV305" s="75"/>
      <c r="AW305" s="75"/>
      <c r="AX305" s="454"/>
      <c r="AY305" s="453"/>
      <c r="AZ305" s="462"/>
      <c r="BA305" s="77"/>
      <c r="BB305" s="457"/>
      <c r="BC305" s="77"/>
      <c r="BD305" s="458"/>
      <c r="BE305" s="95"/>
      <c r="BF305" s="82"/>
      <c r="BG305" s="459"/>
      <c r="BH305" s="459"/>
      <c r="BI305" s="77"/>
      <c r="BJ305" s="454"/>
      <c r="BK305" s="460"/>
      <c r="BL305" s="461"/>
      <c r="BM305" s="461"/>
      <c r="BN305" s="462"/>
      <c r="BO305" s="463"/>
      <c r="BP305" s="81" t="str">
        <f>IF(F305&gt;$F$18,"",IF(BO305&lt;&gt;"","",IF(ISNA(VLOOKUP('I. Stream &amp; Compound Data'!H305,'Potency Factors '!D$4:E$55,2,FALSE))=TRUE,0,VLOOKUP('I. Stream &amp; Compound Data'!H305,'Potency Factors '!D$4:E$55,2,FALSE))))</f>
        <v/>
      </c>
      <c r="BQ305" s="456"/>
      <c r="BR305" s="81" t="str">
        <f>IF(F305&gt;$F$18,"",IF(BQ305&lt;&gt;"","",IF(ISNA(VLOOKUP('I. Stream &amp; Compound Data'!H305,'Potency Factors '!D$68:E$167,2,FALSE))=TRUE,0,VLOOKUP('I. Stream &amp; Compound Data'!H305,'Potency Factors '!D$68:E$167,2,FALSE))))</f>
        <v/>
      </c>
      <c r="BS305" s="456"/>
      <c r="BT305" s="81" t="str">
        <f>IF(F305&gt;$F$18,"",IF(BS305&lt;&gt;"","",IF(ISNA(VLOOKUP('I. Stream &amp; Compound Data'!H305,'Potency Factors '!$D$412:$F$473,3,FALSE))=TRUE,0,VLOOKUP('I. Stream &amp; Compound Data'!H305,'Potency Factors '!$D$412:$F$473,3,FALSE))))</f>
        <v/>
      </c>
      <c r="BU305" s="456"/>
      <c r="BV305" s="81" t="str">
        <f>IF(F305&gt;$F$18,"",IF(BU305&lt;&gt;"","",IF(ISNA(VLOOKUP('I. Stream &amp; Compound Data'!H305,'Potency Factors '!D$180:E$185,2,FALSE))=TRUE,0,VLOOKUP('I. Stream &amp; Compound Data'!H305,'Potency Factors '!D$180:E$185,2,FALSE))))</f>
        <v/>
      </c>
      <c r="BW305" s="83"/>
      <c r="BX305" s="82" t="str">
        <f t="shared" si="487"/>
        <v/>
      </c>
      <c r="BY305" s="83"/>
      <c r="BZ305" s="82" t="str">
        <f t="shared" si="488"/>
        <v/>
      </c>
      <c r="CA305" s="83"/>
      <c r="CB305" s="462"/>
      <c r="CC305" s="82" t="str">
        <f t="shared" si="489"/>
        <v/>
      </c>
      <c r="CD305" s="456"/>
      <c r="CE305" s="81" t="str">
        <f>IF(F305&gt;$F$18,"",IF(CD305&lt;&gt;"","",IF(ISNA(VLOOKUP('I. Stream &amp; Compound Data'!H305,'Potency Factors '!D$224:F$345,3,FALSE))=TRUE,0,VLOOKUP('I. Stream &amp; Compound Data'!H305,'Potency Factors '!D$224:F$345,3,FALSE))))</f>
        <v/>
      </c>
      <c r="CF305" s="456"/>
      <c r="CG305" s="81" t="str">
        <f>IF(F305&gt;$F$18,"",IF(CF305&lt;&gt;"","",IF(ISNA(VLOOKUP('I. Stream &amp; Compound Data'!H305,'Potency Factors '!D$361:F$374,3,FALSE))=TRUE,0,VLOOKUP('I. Stream &amp; Compound Data'!H305,'Potency Factors '!D$361:F$374,3,FALSE))))</f>
        <v/>
      </c>
      <c r="CH305" s="83"/>
      <c r="CI305" s="83"/>
      <c r="CJ305" s="83"/>
      <c r="CK305" s="83"/>
      <c r="CL305" s="83"/>
      <c r="CM305" s="83"/>
      <c r="CN305" s="83"/>
      <c r="CO305" s="83"/>
      <c r="CP305" s="83" t="str">
        <f t="shared" si="490"/>
        <v/>
      </c>
      <c r="CQ305" s="456"/>
      <c r="CR305" s="81" t="str">
        <f>IF(F305&gt;$F$18,"",IF(CQ305&lt;&gt;"","",IF(ISNA(VLOOKUP('I. Stream &amp; Compound Data'!H305,'Potency Factors '!D$387:E$399,2,FALSE))=FALSE,VLOOKUP('I. Stream &amp; Compound Data'!H305,'Potency Factors '!D$387:E$399,2,FALSE),IF(ISNUMBER(SEARCH("phosphate",G305))=TRUE,1,IF(ISNUMBER(SEARCH("nitrate",G305))=TRUE,0.1,0)))))</f>
        <v/>
      </c>
      <c r="CS305" s="456"/>
      <c r="CT305" s="84" t="str">
        <f>IF(F305&gt;$F$18,"",IF(CS305&lt;&gt;"","",IF(ISNA(VLOOKUP('I. Stream &amp; Compound Data'!H305,'Potency Factors '!$D$485:$F$558,3,FALSE))=TRUE,0,VLOOKUP('I. Stream &amp; Compound Data'!H305,'Potency Factors '!$D$485:$F$558,3,FALSE))))</f>
        <v/>
      </c>
      <c r="CU305" s="729"/>
    </row>
    <row r="306" spans="2:99" ht="15" x14ac:dyDescent="0.2">
      <c r="B306" s="716"/>
      <c r="C306" s="717"/>
      <c r="D306" s="717"/>
      <c r="E306" s="717"/>
      <c r="F306" s="73">
        <f t="shared" si="479"/>
        <v>45</v>
      </c>
      <c r="G306" s="74" t="str">
        <f t="shared" si="480"/>
        <v/>
      </c>
      <c r="H306" s="75" t="str">
        <f t="shared" si="481"/>
        <v/>
      </c>
      <c r="I306" s="75" t="str">
        <f t="shared" si="482"/>
        <v/>
      </c>
      <c r="J306" s="76" t="str">
        <f t="shared" si="483"/>
        <v/>
      </c>
      <c r="K306" s="450"/>
      <c r="L306" s="77" t="str">
        <f t="shared" si="478"/>
        <v/>
      </c>
      <c r="M306" s="77" t="str">
        <f t="shared" si="471"/>
        <v/>
      </c>
      <c r="N306" s="77" t="str">
        <f t="shared" si="472"/>
        <v/>
      </c>
      <c r="O306" s="77" t="str">
        <f t="shared" si="473"/>
        <v/>
      </c>
      <c r="P306" s="78" t="str">
        <f t="shared" si="474"/>
        <v/>
      </c>
      <c r="Q306" s="79" t="str">
        <f t="shared" si="477"/>
        <v/>
      </c>
      <c r="R306" s="450"/>
      <c r="S306" s="426"/>
      <c r="T306" s="451"/>
      <c r="U306" s="450"/>
      <c r="V306" s="426"/>
      <c r="W306" s="80" t="str">
        <f t="shared" si="475"/>
        <v/>
      </c>
      <c r="X306" s="452"/>
      <c r="Y306" s="450"/>
      <c r="Z306" s="426"/>
      <c r="AA306" s="426"/>
      <c r="AB306" s="454"/>
      <c r="AC306" s="81"/>
      <c r="AD306" s="77"/>
      <c r="AE306" s="77"/>
      <c r="AF306" s="454"/>
      <c r="AG306" s="453"/>
      <c r="AH306" s="426"/>
      <c r="AI306" s="77"/>
      <c r="AJ306" s="426"/>
      <c r="AK306" s="77"/>
      <c r="AL306" s="96"/>
      <c r="AM306" s="450"/>
      <c r="AN306" s="426"/>
      <c r="AO306" s="426"/>
      <c r="AP306" s="455"/>
      <c r="AQ306" s="81" t="str">
        <f t="shared" si="484"/>
        <v/>
      </c>
      <c r="AR306" s="456"/>
      <c r="AS306" s="81" t="str">
        <f t="shared" si="485"/>
        <v/>
      </c>
      <c r="AT306" s="456"/>
      <c r="AU306" s="81" t="str">
        <f t="shared" si="486"/>
        <v/>
      </c>
      <c r="AV306" s="75"/>
      <c r="AW306" s="75"/>
      <c r="AX306" s="454"/>
      <c r="AY306" s="453"/>
      <c r="AZ306" s="462"/>
      <c r="BA306" s="77"/>
      <c r="BB306" s="457"/>
      <c r="BC306" s="77"/>
      <c r="BD306" s="458"/>
      <c r="BE306" s="95"/>
      <c r="BF306" s="82"/>
      <c r="BG306" s="459"/>
      <c r="BH306" s="459"/>
      <c r="BI306" s="77"/>
      <c r="BJ306" s="454"/>
      <c r="BK306" s="460"/>
      <c r="BL306" s="461"/>
      <c r="BM306" s="461"/>
      <c r="BN306" s="462"/>
      <c r="BO306" s="463"/>
      <c r="BP306" s="81" t="str">
        <f>IF(F306&gt;$F$18,"",IF(BO306&lt;&gt;"","",IF(ISNA(VLOOKUP('I. Stream &amp; Compound Data'!H306,'Potency Factors '!D$4:E$55,2,FALSE))=TRUE,0,VLOOKUP('I. Stream &amp; Compound Data'!H306,'Potency Factors '!D$4:E$55,2,FALSE))))</f>
        <v/>
      </c>
      <c r="BQ306" s="456"/>
      <c r="BR306" s="81" t="str">
        <f>IF(F306&gt;$F$18,"",IF(BQ306&lt;&gt;"","",IF(ISNA(VLOOKUP('I. Stream &amp; Compound Data'!H306,'Potency Factors '!D$68:E$167,2,FALSE))=TRUE,0,VLOOKUP('I. Stream &amp; Compound Data'!H306,'Potency Factors '!D$68:E$167,2,FALSE))))</f>
        <v/>
      </c>
      <c r="BS306" s="456"/>
      <c r="BT306" s="81" t="str">
        <f>IF(F306&gt;$F$18,"",IF(BS306&lt;&gt;"","",IF(ISNA(VLOOKUP('I. Stream &amp; Compound Data'!H306,'Potency Factors '!$D$412:$F$473,3,FALSE))=TRUE,0,VLOOKUP('I. Stream &amp; Compound Data'!H306,'Potency Factors '!$D$412:$F$473,3,FALSE))))</f>
        <v/>
      </c>
      <c r="BU306" s="456"/>
      <c r="BV306" s="81" t="str">
        <f>IF(F306&gt;$F$18,"",IF(BU306&lt;&gt;"","",IF(ISNA(VLOOKUP('I. Stream &amp; Compound Data'!H306,'Potency Factors '!D$180:E$185,2,FALSE))=TRUE,0,VLOOKUP('I. Stream &amp; Compound Data'!H306,'Potency Factors '!D$180:E$185,2,FALSE))))</f>
        <v/>
      </c>
      <c r="BW306" s="83"/>
      <c r="BX306" s="82" t="str">
        <f t="shared" si="487"/>
        <v/>
      </c>
      <c r="BY306" s="83"/>
      <c r="BZ306" s="82" t="str">
        <f t="shared" si="488"/>
        <v/>
      </c>
      <c r="CA306" s="83"/>
      <c r="CB306" s="462"/>
      <c r="CC306" s="82" t="str">
        <f t="shared" si="489"/>
        <v/>
      </c>
      <c r="CD306" s="456"/>
      <c r="CE306" s="81" t="str">
        <f>IF(F306&gt;$F$18,"",IF(CD306&lt;&gt;"","",IF(ISNA(VLOOKUP('I. Stream &amp; Compound Data'!H306,'Potency Factors '!D$224:F$345,3,FALSE))=TRUE,0,VLOOKUP('I. Stream &amp; Compound Data'!H306,'Potency Factors '!D$224:F$345,3,FALSE))))</f>
        <v/>
      </c>
      <c r="CF306" s="456"/>
      <c r="CG306" s="81" t="str">
        <f>IF(F306&gt;$F$18,"",IF(CF306&lt;&gt;"","",IF(ISNA(VLOOKUP('I. Stream &amp; Compound Data'!H306,'Potency Factors '!D$361:F$374,3,FALSE))=TRUE,0,VLOOKUP('I. Stream &amp; Compound Data'!H306,'Potency Factors '!D$361:F$374,3,FALSE))))</f>
        <v/>
      </c>
      <c r="CH306" s="83"/>
      <c r="CI306" s="83"/>
      <c r="CJ306" s="83"/>
      <c r="CK306" s="83"/>
      <c r="CL306" s="83"/>
      <c r="CM306" s="83"/>
      <c r="CN306" s="83"/>
      <c r="CO306" s="83"/>
      <c r="CP306" s="83" t="str">
        <f t="shared" si="490"/>
        <v/>
      </c>
      <c r="CQ306" s="456"/>
      <c r="CR306" s="81" t="str">
        <f>IF(F306&gt;$F$18,"",IF(CQ306&lt;&gt;"","",IF(ISNA(VLOOKUP('I. Stream &amp; Compound Data'!H306,'Potency Factors '!D$387:E$399,2,FALSE))=FALSE,VLOOKUP('I. Stream &amp; Compound Data'!H306,'Potency Factors '!D$387:E$399,2,FALSE),IF(ISNUMBER(SEARCH("phosphate",G306))=TRUE,1,IF(ISNUMBER(SEARCH("nitrate",G306))=TRUE,0.1,0)))))</f>
        <v/>
      </c>
      <c r="CS306" s="456"/>
      <c r="CT306" s="84" t="str">
        <f>IF(F306&gt;$F$18,"",IF(CS306&lt;&gt;"","",IF(ISNA(VLOOKUP('I. Stream &amp; Compound Data'!H306,'Potency Factors '!$D$485:$F$558,3,FALSE))=TRUE,0,VLOOKUP('I. Stream &amp; Compound Data'!H306,'Potency Factors '!$D$485:$F$558,3,FALSE))))</f>
        <v/>
      </c>
      <c r="CU306" s="729"/>
    </row>
    <row r="307" spans="2:99" ht="15" x14ac:dyDescent="0.2">
      <c r="B307" s="716"/>
      <c r="C307" s="717"/>
      <c r="D307" s="717"/>
      <c r="E307" s="717"/>
      <c r="F307" s="73">
        <f t="shared" si="479"/>
        <v>46</v>
      </c>
      <c r="G307" s="74" t="str">
        <f t="shared" si="480"/>
        <v/>
      </c>
      <c r="H307" s="75" t="str">
        <f t="shared" si="481"/>
        <v/>
      </c>
      <c r="I307" s="75" t="str">
        <f t="shared" si="482"/>
        <v/>
      </c>
      <c r="J307" s="76" t="str">
        <f t="shared" si="483"/>
        <v/>
      </c>
      <c r="K307" s="450"/>
      <c r="L307" s="77" t="str">
        <f t="shared" si="478"/>
        <v/>
      </c>
      <c r="M307" s="77" t="str">
        <f t="shared" si="471"/>
        <v/>
      </c>
      <c r="N307" s="77" t="str">
        <f t="shared" si="472"/>
        <v/>
      </c>
      <c r="O307" s="77" t="str">
        <f t="shared" si="473"/>
        <v/>
      </c>
      <c r="P307" s="78" t="str">
        <f t="shared" si="474"/>
        <v/>
      </c>
      <c r="Q307" s="79" t="str">
        <f t="shared" si="477"/>
        <v/>
      </c>
      <c r="R307" s="450"/>
      <c r="S307" s="426"/>
      <c r="T307" s="451"/>
      <c r="U307" s="450"/>
      <c r="V307" s="426"/>
      <c r="W307" s="80" t="str">
        <f t="shared" si="475"/>
        <v/>
      </c>
      <c r="X307" s="452"/>
      <c r="Y307" s="450"/>
      <c r="Z307" s="426"/>
      <c r="AA307" s="426"/>
      <c r="AB307" s="454"/>
      <c r="AC307" s="81"/>
      <c r="AD307" s="77"/>
      <c r="AE307" s="77"/>
      <c r="AF307" s="454"/>
      <c r="AG307" s="453"/>
      <c r="AH307" s="426"/>
      <c r="AI307" s="77"/>
      <c r="AJ307" s="426"/>
      <c r="AK307" s="77"/>
      <c r="AL307" s="96"/>
      <c r="AM307" s="450"/>
      <c r="AN307" s="426"/>
      <c r="AO307" s="426"/>
      <c r="AP307" s="455"/>
      <c r="AQ307" s="81" t="str">
        <f t="shared" si="484"/>
        <v/>
      </c>
      <c r="AR307" s="456"/>
      <c r="AS307" s="81" t="str">
        <f t="shared" si="485"/>
        <v/>
      </c>
      <c r="AT307" s="456"/>
      <c r="AU307" s="81" t="str">
        <f t="shared" si="486"/>
        <v/>
      </c>
      <c r="AV307" s="75"/>
      <c r="AW307" s="75"/>
      <c r="AX307" s="454"/>
      <c r="AY307" s="453"/>
      <c r="AZ307" s="462"/>
      <c r="BA307" s="77"/>
      <c r="BB307" s="457"/>
      <c r="BC307" s="77"/>
      <c r="BD307" s="458"/>
      <c r="BE307" s="95"/>
      <c r="BF307" s="82"/>
      <c r="BG307" s="459"/>
      <c r="BH307" s="459"/>
      <c r="BI307" s="77"/>
      <c r="BJ307" s="454"/>
      <c r="BK307" s="460"/>
      <c r="BL307" s="461"/>
      <c r="BM307" s="461"/>
      <c r="BN307" s="462"/>
      <c r="BO307" s="463"/>
      <c r="BP307" s="81" t="str">
        <f>IF(F307&gt;$F$18,"",IF(BO307&lt;&gt;"","",IF(ISNA(VLOOKUP('I. Stream &amp; Compound Data'!H307,'Potency Factors '!D$4:E$55,2,FALSE))=TRUE,0,VLOOKUP('I. Stream &amp; Compound Data'!H307,'Potency Factors '!D$4:E$55,2,FALSE))))</f>
        <v/>
      </c>
      <c r="BQ307" s="456"/>
      <c r="BR307" s="81" t="str">
        <f>IF(F307&gt;$F$18,"",IF(BQ307&lt;&gt;"","",IF(ISNA(VLOOKUP('I. Stream &amp; Compound Data'!H307,'Potency Factors '!D$68:E$167,2,FALSE))=TRUE,0,VLOOKUP('I. Stream &amp; Compound Data'!H307,'Potency Factors '!D$68:E$167,2,FALSE))))</f>
        <v/>
      </c>
      <c r="BS307" s="456"/>
      <c r="BT307" s="81" t="str">
        <f>IF(F307&gt;$F$18,"",IF(BS307&lt;&gt;"","",IF(ISNA(VLOOKUP('I. Stream &amp; Compound Data'!H307,'Potency Factors '!$D$412:$F$473,3,FALSE))=TRUE,0,VLOOKUP('I. Stream &amp; Compound Data'!H307,'Potency Factors '!$D$412:$F$473,3,FALSE))))</f>
        <v/>
      </c>
      <c r="BU307" s="456"/>
      <c r="BV307" s="81" t="str">
        <f>IF(F307&gt;$F$18,"",IF(BU307&lt;&gt;"","",IF(ISNA(VLOOKUP('I. Stream &amp; Compound Data'!H307,'Potency Factors '!D$180:E$185,2,FALSE))=TRUE,0,VLOOKUP('I. Stream &amp; Compound Data'!H307,'Potency Factors '!D$180:E$185,2,FALSE))))</f>
        <v/>
      </c>
      <c r="BW307" s="83"/>
      <c r="BX307" s="82" t="str">
        <f t="shared" si="487"/>
        <v/>
      </c>
      <c r="BY307" s="83"/>
      <c r="BZ307" s="82" t="str">
        <f t="shared" si="488"/>
        <v/>
      </c>
      <c r="CA307" s="83"/>
      <c r="CB307" s="462"/>
      <c r="CC307" s="82" t="str">
        <f t="shared" si="489"/>
        <v/>
      </c>
      <c r="CD307" s="456"/>
      <c r="CE307" s="81" t="str">
        <f>IF(F307&gt;$F$18,"",IF(CD307&lt;&gt;"","",IF(ISNA(VLOOKUP('I. Stream &amp; Compound Data'!H307,'Potency Factors '!D$224:F$345,3,FALSE))=TRUE,0,VLOOKUP('I. Stream &amp; Compound Data'!H307,'Potency Factors '!D$224:F$345,3,FALSE))))</f>
        <v/>
      </c>
      <c r="CF307" s="456"/>
      <c r="CG307" s="81" t="str">
        <f>IF(F307&gt;$F$18,"",IF(CF307&lt;&gt;"","",IF(ISNA(VLOOKUP('I. Stream &amp; Compound Data'!H307,'Potency Factors '!D$361:F$374,3,FALSE))=TRUE,0,VLOOKUP('I. Stream &amp; Compound Data'!H307,'Potency Factors '!D$361:F$374,3,FALSE))))</f>
        <v/>
      </c>
      <c r="CH307" s="83"/>
      <c r="CI307" s="83"/>
      <c r="CJ307" s="83"/>
      <c r="CK307" s="83"/>
      <c r="CL307" s="83"/>
      <c r="CM307" s="83"/>
      <c r="CN307" s="83"/>
      <c r="CO307" s="83"/>
      <c r="CP307" s="83" t="str">
        <f t="shared" si="490"/>
        <v/>
      </c>
      <c r="CQ307" s="456"/>
      <c r="CR307" s="81" t="str">
        <f>IF(F307&gt;$F$18,"",IF(CQ307&lt;&gt;"","",IF(ISNA(VLOOKUP('I. Stream &amp; Compound Data'!H307,'Potency Factors '!D$387:E$399,2,FALSE))=FALSE,VLOOKUP('I. Stream &amp; Compound Data'!H307,'Potency Factors '!D$387:E$399,2,FALSE),IF(ISNUMBER(SEARCH("phosphate",G307))=TRUE,1,IF(ISNUMBER(SEARCH("nitrate",G307))=TRUE,0.1,0)))))</f>
        <v/>
      </c>
      <c r="CS307" s="456"/>
      <c r="CT307" s="84" t="str">
        <f>IF(F307&gt;$F$18,"",IF(CS307&lt;&gt;"","",IF(ISNA(VLOOKUP('I. Stream &amp; Compound Data'!H307,'Potency Factors '!$D$485:$F$558,3,FALSE))=TRUE,0,VLOOKUP('I. Stream &amp; Compound Data'!H307,'Potency Factors '!$D$485:$F$558,3,FALSE))))</f>
        <v/>
      </c>
      <c r="CU307" s="729"/>
    </row>
    <row r="308" spans="2:99" ht="15" x14ac:dyDescent="0.2">
      <c r="B308" s="716"/>
      <c r="C308" s="717"/>
      <c r="D308" s="717"/>
      <c r="E308" s="717"/>
      <c r="F308" s="73">
        <f t="shared" si="479"/>
        <v>47</v>
      </c>
      <c r="G308" s="74" t="str">
        <f t="shared" si="480"/>
        <v/>
      </c>
      <c r="H308" s="75" t="str">
        <f t="shared" si="481"/>
        <v/>
      </c>
      <c r="I308" s="75" t="str">
        <f t="shared" si="482"/>
        <v/>
      </c>
      <c r="J308" s="76" t="str">
        <f t="shared" si="483"/>
        <v/>
      </c>
      <c r="K308" s="450"/>
      <c r="L308" s="77" t="str">
        <f t="shared" si="478"/>
        <v/>
      </c>
      <c r="M308" s="77" t="str">
        <f t="shared" si="471"/>
        <v/>
      </c>
      <c r="N308" s="77" t="str">
        <f t="shared" si="472"/>
        <v/>
      </c>
      <c r="O308" s="77" t="str">
        <f t="shared" si="473"/>
        <v/>
      </c>
      <c r="P308" s="78" t="str">
        <f t="shared" si="474"/>
        <v/>
      </c>
      <c r="Q308" s="79" t="str">
        <f t="shared" si="477"/>
        <v/>
      </c>
      <c r="R308" s="450"/>
      <c r="S308" s="426"/>
      <c r="T308" s="451"/>
      <c r="U308" s="450"/>
      <c r="V308" s="426"/>
      <c r="W308" s="80" t="str">
        <f t="shared" si="475"/>
        <v/>
      </c>
      <c r="X308" s="452"/>
      <c r="Y308" s="450"/>
      <c r="Z308" s="426"/>
      <c r="AA308" s="426"/>
      <c r="AB308" s="454"/>
      <c r="AC308" s="81"/>
      <c r="AD308" s="77"/>
      <c r="AE308" s="77"/>
      <c r="AF308" s="454"/>
      <c r="AG308" s="453"/>
      <c r="AH308" s="426"/>
      <c r="AI308" s="77"/>
      <c r="AJ308" s="426"/>
      <c r="AK308" s="77"/>
      <c r="AL308" s="96"/>
      <c r="AM308" s="450"/>
      <c r="AN308" s="426"/>
      <c r="AO308" s="426"/>
      <c r="AP308" s="455"/>
      <c r="AQ308" s="81" t="str">
        <f t="shared" si="484"/>
        <v/>
      </c>
      <c r="AR308" s="456"/>
      <c r="AS308" s="81" t="str">
        <f t="shared" si="485"/>
        <v/>
      </c>
      <c r="AT308" s="456"/>
      <c r="AU308" s="81" t="str">
        <f t="shared" si="486"/>
        <v/>
      </c>
      <c r="AV308" s="75"/>
      <c r="AW308" s="75"/>
      <c r="AX308" s="454"/>
      <c r="AY308" s="453"/>
      <c r="AZ308" s="462"/>
      <c r="BA308" s="77"/>
      <c r="BB308" s="457"/>
      <c r="BC308" s="77"/>
      <c r="BD308" s="458"/>
      <c r="BE308" s="95"/>
      <c r="BF308" s="82"/>
      <c r="BG308" s="459"/>
      <c r="BH308" s="459"/>
      <c r="BI308" s="77"/>
      <c r="BJ308" s="454"/>
      <c r="BK308" s="460"/>
      <c r="BL308" s="461"/>
      <c r="BM308" s="461"/>
      <c r="BN308" s="462"/>
      <c r="BO308" s="463"/>
      <c r="BP308" s="81" t="str">
        <f>IF(F308&gt;$F$18,"",IF(BO308&lt;&gt;"","",IF(ISNA(VLOOKUP('I. Stream &amp; Compound Data'!H308,'Potency Factors '!D$4:E$55,2,FALSE))=TRUE,0,VLOOKUP('I. Stream &amp; Compound Data'!H308,'Potency Factors '!D$4:E$55,2,FALSE))))</f>
        <v/>
      </c>
      <c r="BQ308" s="456"/>
      <c r="BR308" s="81" t="str">
        <f>IF(F308&gt;$F$18,"",IF(BQ308&lt;&gt;"","",IF(ISNA(VLOOKUP('I. Stream &amp; Compound Data'!H308,'Potency Factors '!D$68:E$167,2,FALSE))=TRUE,0,VLOOKUP('I. Stream &amp; Compound Data'!H308,'Potency Factors '!D$68:E$167,2,FALSE))))</f>
        <v/>
      </c>
      <c r="BS308" s="456"/>
      <c r="BT308" s="81" t="str">
        <f>IF(F308&gt;$F$18,"",IF(BS308&lt;&gt;"","",IF(ISNA(VLOOKUP('I. Stream &amp; Compound Data'!H308,'Potency Factors '!$D$412:$F$473,3,FALSE))=TRUE,0,VLOOKUP('I. Stream &amp; Compound Data'!H308,'Potency Factors '!$D$412:$F$473,3,FALSE))))</f>
        <v/>
      </c>
      <c r="BU308" s="456"/>
      <c r="BV308" s="81" t="str">
        <f>IF(F308&gt;$F$18,"",IF(BU308&lt;&gt;"","",IF(ISNA(VLOOKUP('I. Stream &amp; Compound Data'!H308,'Potency Factors '!D$180:E$185,2,FALSE))=TRUE,0,VLOOKUP('I. Stream &amp; Compound Data'!H308,'Potency Factors '!D$180:E$185,2,FALSE))))</f>
        <v/>
      </c>
      <c r="BW308" s="83"/>
      <c r="BX308" s="82" t="str">
        <f t="shared" si="487"/>
        <v/>
      </c>
      <c r="BY308" s="83"/>
      <c r="BZ308" s="82" t="str">
        <f t="shared" si="488"/>
        <v/>
      </c>
      <c r="CA308" s="83"/>
      <c r="CB308" s="462"/>
      <c r="CC308" s="82" t="str">
        <f t="shared" si="489"/>
        <v/>
      </c>
      <c r="CD308" s="456"/>
      <c r="CE308" s="81" t="str">
        <f>IF(F308&gt;$F$18,"",IF(CD308&lt;&gt;"","",IF(ISNA(VLOOKUP('I. Stream &amp; Compound Data'!H308,'Potency Factors '!D$224:F$345,3,FALSE))=TRUE,0,VLOOKUP('I. Stream &amp; Compound Data'!H308,'Potency Factors '!D$224:F$345,3,FALSE))))</f>
        <v/>
      </c>
      <c r="CF308" s="456"/>
      <c r="CG308" s="81" t="str">
        <f>IF(F308&gt;$F$18,"",IF(CF308&lt;&gt;"","",IF(ISNA(VLOOKUP('I. Stream &amp; Compound Data'!H308,'Potency Factors '!D$361:F$374,3,FALSE))=TRUE,0,VLOOKUP('I. Stream &amp; Compound Data'!H308,'Potency Factors '!D$361:F$374,3,FALSE))))</f>
        <v/>
      </c>
      <c r="CH308" s="83"/>
      <c r="CI308" s="83"/>
      <c r="CJ308" s="83"/>
      <c r="CK308" s="83"/>
      <c r="CL308" s="83"/>
      <c r="CM308" s="83"/>
      <c r="CN308" s="83"/>
      <c r="CO308" s="83"/>
      <c r="CP308" s="83" t="str">
        <f t="shared" si="490"/>
        <v/>
      </c>
      <c r="CQ308" s="456"/>
      <c r="CR308" s="81" t="str">
        <f>IF(F308&gt;$F$18,"",IF(CQ308&lt;&gt;"","",IF(ISNA(VLOOKUP('I. Stream &amp; Compound Data'!H308,'Potency Factors '!D$387:E$399,2,FALSE))=FALSE,VLOOKUP('I. Stream &amp; Compound Data'!H308,'Potency Factors '!D$387:E$399,2,FALSE),IF(ISNUMBER(SEARCH("phosphate",G308))=TRUE,1,IF(ISNUMBER(SEARCH("nitrate",G308))=TRUE,0.1,0)))))</f>
        <v/>
      </c>
      <c r="CS308" s="456"/>
      <c r="CT308" s="84" t="str">
        <f>IF(F308&gt;$F$18,"",IF(CS308&lt;&gt;"","",IF(ISNA(VLOOKUP('I. Stream &amp; Compound Data'!H308,'Potency Factors '!$D$485:$F$558,3,FALSE))=TRUE,0,VLOOKUP('I. Stream &amp; Compound Data'!H308,'Potency Factors '!$D$485:$F$558,3,FALSE))))</f>
        <v/>
      </c>
      <c r="CU308" s="729"/>
    </row>
    <row r="309" spans="2:99" ht="15" x14ac:dyDescent="0.2">
      <c r="B309" s="716"/>
      <c r="C309" s="717"/>
      <c r="D309" s="717"/>
      <c r="E309" s="717"/>
      <c r="F309" s="73">
        <f t="shared" si="479"/>
        <v>48</v>
      </c>
      <c r="G309" s="74" t="str">
        <f t="shared" si="480"/>
        <v/>
      </c>
      <c r="H309" s="75" t="str">
        <f t="shared" si="481"/>
        <v/>
      </c>
      <c r="I309" s="75" t="str">
        <f t="shared" si="482"/>
        <v/>
      </c>
      <c r="J309" s="76" t="str">
        <f t="shared" si="483"/>
        <v/>
      </c>
      <c r="K309" s="450"/>
      <c r="L309" s="77" t="str">
        <f t="shared" si="478"/>
        <v/>
      </c>
      <c r="M309" s="77" t="str">
        <f t="shared" si="471"/>
        <v/>
      </c>
      <c r="N309" s="77" t="str">
        <f t="shared" si="472"/>
        <v/>
      </c>
      <c r="O309" s="77" t="str">
        <f t="shared" si="473"/>
        <v/>
      </c>
      <c r="P309" s="78" t="str">
        <f t="shared" si="474"/>
        <v/>
      </c>
      <c r="Q309" s="79" t="str">
        <f t="shared" si="477"/>
        <v/>
      </c>
      <c r="R309" s="450"/>
      <c r="S309" s="426"/>
      <c r="T309" s="451"/>
      <c r="U309" s="450"/>
      <c r="V309" s="426"/>
      <c r="W309" s="80" t="str">
        <f t="shared" si="475"/>
        <v/>
      </c>
      <c r="X309" s="452"/>
      <c r="Y309" s="450"/>
      <c r="Z309" s="426"/>
      <c r="AA309" s="426"/>
      <c r="AB309" s="454"/>
      <c r="AC309" s="81"/>
      <c r="AD309" s="77"/>
      <c r="AE309" s="77"/>
      <c r="AF309" s="454"/>
      <c r="AG309" s="453"/>
      <c r="AH309" s="426"/>
      <c r="AI309" s="77"/>
      <c r="AJ309" s="426"/>
      <c r="AK309" s="77"/>
      <c r="AL309" s="96"/>
      <c r="AM309" s="450"/>
      <c r="AN309" s="426"/>
      <c r="AO309" s="426"/>
      <c r="AP309" s="455"/>
      <c r="AQ309" s="81" t="str">
        <f t="shared" si="484"/>
        <v/>
      </c>
      <c r="AR309" s="456"/>
      <c r="AS309" s="81" t="str">
        <f t="shared" si="485"/>
        <v/>
      </c>
      <c r="AT309" s="456"/>
      <c r="AU309" s="81" t="str">
        <f t="shared" si="486"/>
        <v/>
      </c>
      <c r="AV309" s="75"/>
      <c r="AW309" s="75"/>
      <c r="AX309" s="454"/>
      <c r="AY309" s="453"/>
      <c r="AZ309" s="462"/>
      <c r="BA309" s="77"/>
      <c r="BB309" s="457"/>
      <c r="BC309" s="77"/>
      <c r="BD309" s="458"/>
      <c r="BE309" s="95"/>
      <c r="BF309" s="82"/>
      <c r="BG309" s="459"/>
      <c r="BH309" s="459"/>
      <c r="BI309" s="77"/>
      <c r="BJ309" s="454"/>
      <c r="BK309" s="460"/>
      <c r="BL309" s="461"/>
      <c r="BM309" s="461"/>
      <c r="BN309" s="462"/>
      <c r="BO309" s="463"/>
      <c r="BP309" s="81" t="str">
        <f>IF(F309&gt;$F$18,"",IF(BO309&lt;&gt;"","",IF(ISNA(VLOOKUP('I. Stream &amp; Compound Data'!H309,'Potency Factors '!D$4:E$55,2,FALSE))=TRUE,0,VLOOKUP('I. Stream &amp; Compound Data'!H309,'Potency Factors '!D$4:E$55,2,FALSE))))</f>
        <v/>
      </c>
      <c r="BQ309" s="456"/>
      <c r="BR309" s="81" t="str">
        <f>IF(F309&gt;$F$18,"",IF(BQ309&lt;&gt;"","",IF(ISNA(VLOOKUP('I. Stream &amp; Compound Data'!H309,'Potency Factors '!D$68:E$167,2,FALSE))=TRUE,0,VLOOKUP('I. Stream &amp; Compound Data'!H309,'Potency Factors '!D$68:E$167,2,FALSE))))</f>
        <v/>
      </c>
      <c r="BS309" s="456"/>
      <c r="BT309" s="81" t="str">
        <f>IF(F309&gt;$F$18,"",IF(BS309&lt;&gt;"","",IF(ISNA(VLOOKUP('I. Stream &amp; Compound Data'!H309,'Potency Factors '!$D$412:$F$473,3,FALSE))=TRUE,0,VLOOKUP('I. Stream &amp; Compound Data'!H309,'Potency Factors '!$D$412:$F$473,3,FALSE))))</f>
        <v/>
      </c>
      <c r="BU309" s="456"/>
      <c r="BV309" s="81" t="str">
        <f>IF(F309&gt;$F$18,"",IF(BU309&lt;&gt;"","",IF(ISNA(VLOOKUP('I. Stream &amp; Compound Data'!H309,'Potency Factors '!D$180:E$185,2,FALSE))=TRUE,0,VLOOKUP('I. Stream &amp; Compound Data'!H309,'Potency Factors '!D$180:E$185,2,FALSE))))</f>
        <v/>
      </c>
      <c r="BW309" s="83"/>
      <c r="BX309" s="82" t="str">
        <f t="shared" si="487"/>
        <v/>
      </c>
      <c r="BY309" s="83"/>
      <c r="BZ309" s="82" t="str">
        <f t="shared" si="488"/>
        <v/>
      </c>
      <c r="CA309" s="83"/>
      <c r="CB309" s="462"/>
      <c r="CC309" s="82" t="str">
        <f t="shared" si="489"/>
        <v/>
      </c>
      <c r="CD309" s="456"/>
      <c r="CE309" s="81" t="str">
        <f>IF(F309&gt;$F$18,"",IF(CD309&lt;&gt;"","",IF(ISNA(VLOOKUP('I. Stream &amp; Compound Data'!H309,'Potency Factors '!D$224:F$345,3,FALSE))=TRUE,0,VLOOKUP('I. Stream &amp; Compound Data'!H309,'Potency Factors '!D$224:F$345,3,FALSE))))</f>
        <v/>
      </c>
      <c r="CF309" s="456"/>
      <c r="CG309" s="81" t="str">
        <f>IF(F309&gt;$F$18,"",IF(CF309&lt;&gt;"","",IF(ISNA(VLOOKUP('I. Stream &amp; Compound Data'!H309,'Potency Factors '!D$361:F$374,3,FALSE))=TRUE,0,VLOOKUP('I. Stream &amp; Compound Data'!H309,'Potency Factors '!D$361:F$374,3,FALSE))))</f>
        <v/>
      </c>
      <c r="CH309" s="83"/>
      <c r="CI309" s="83"/>
      <c r="CJ309" s="83"/>
      <c r="CK309" s="83"/>
      <c r="CL309" s="83"/>
      <c r="CM309" s="83"/>
      <c r="CN309" s="83"/>
      <c r="CO309" s="83"/>
      <c r="CP309" s="83" t="str">
        <f t="shared" si="490"/>
        <v/>
      </c>
      <c r="CQ309" s="456"/>
      <c r="CR309" s="81" t="str">
        <f>IF(F309&gt;$F$18,"",IF(CQ309&lt;&gt;"","",IF(ISNA(VLOOKUP('I. Stream &amp; Compound Data'!H309,'Potency Factors '!D$387:E$399,2,FALSE))=FALSE,VLOOKUP('I. Stream &amp; Compound Data'!H309,'Potency Factors '!D$387:E$399,2,FALSE),IF(ISNUMBER(SEARCH("phosphate",G309))=TRUE,1,IF(ISNUMBER(SEARCH("nitrate",G309))=TRUE,0.1,0)))))</f>
        <v/>
      </c>
      <c r="CS309" s="456"/>
      <c r="CT309" s="84" t="str">
        <f>IF(F309&gt;$F$18,"",IF(CS309&lt;&gt;"","",IF(ISNA(VLOOKUP('I. Stream &amp; Compound Data'!H309,'Potency Factors '!$D$485:$F$558,3,FALSE))=TRUE,0,VLOOKUP('I. Stream &amp; Compound Data'!H309,'Potency Factors '!$D$485:$F$558,3,FALSE))))</f>
        <v/>
      </c>
      <c r="CU309" s="729"/>
    </row>
    <row r="310" spans="2:99" ht="15" x14ac:dyDescent="0.2">
      <c r="B310" s="716"/>
      <c r="C310" s="717"/>
      <c r="D310" s="717"/>
      <c r="E310" s="717"/>
      <c r="F310" s="73">
        <f t="shared" si="479"/>
        <v>49</v>
      </c>
      <c r="G310" s="74" t="str">
        <f t="shared" si="480"/>
        <v/>
      </c>
      <c r="H310" s="75" t="str">
        <f t="shared" si="481"/>
        <v/>
      </c>
      <c r="I310" s="75" t="str">
        <f t="shared" si="482"/>
        <v/>
      </c>
      <c r="J310" s="76" t="str">
        <f t="shared" si="483"/>
        <v/>
      </c>
      <c r="K310" s="450"/>
      <c r="L310" s="77" t="str">
        <f t="shared" si="478"/>
        <v/>
      </c>
      <c r="M310" s="77" t="str">
        <f t="shared" si="471"/>
        <v/>
      </c>
      <c r="N310" s="77" t="str">
        <f t="shared" si="472"/>
        <v/>
      </c>
      <c r="O310" s="77" t="str">
        <f t="shared" si="473"/>
        <v/>
      </c>
      <c r="P310" s="78" t="str">
        <f t="shared" si="474"/>
        <v/>
      </c>
      <c r="Q310" s="79" t="str">
        <f t="shared" si="477"/>
        <v/>
      </c>
      <c r="R310" s="450"/>
      <c r="S310" s="426"/>
      <c r="T310" s="451"/>
      <c r="U310" s="450"/>
      <c r="V310" s="426"/>
      <c r="W310" s="80" t="str">
        <f t="shared" si="475"/>
        <v/>
      </c>
      <c r="X310" s="452"/>
      <c r="Y310" s="450"/>
      <c r="Z310" s="426"/>
      <c r="AA310" s="426"/>
      <c r="AB310" s="454"/>
      <c r="AC310" s="81"/>
      <c r="AD310" s="77"/>
      <c r="AE310" s="77"/>
      <c r="AF310" s="454"/>
      <c r="AG310" s="453"/>
      <c r="AH310" s="426"/>
      <c r="AI310" s="77"/>
      <c r="AJ310" s="426"/>
      <c r="AK310" s="77"/>
      <c r="AL310" s="96"/>
      <c r="AM310" s="450"/>
      <c r="AN310" s="426"/>
      <c r="AO310" s="426"/>
      <c r="AP310" s="455"/>
      <c r="AQ310" s="81" t="str">
        <f t="shared" si="484"/>
        <v/>
      </c>
      <c r="AR310" s="456"/>
      <c r="AS310" s="81" t="str">
        <f t="shared" si="485"/>
        <v/>
      </c>
      <c r="AT310" s="456"/>
      <c r="AU310" s="81" t="str">
        <f t="shared" si="486"/>
        <v/>
      </c>
      <c r="AV310" s="75"/>
      <c r="AW310" s="75"/>
      <c r="AX310" s="454"/>
      <c r="AY310" s="453"/>
      <c r="AZ310" s="462"/>
      <c r="BA310" s="77"/>
      <c r="BB310" s="457"/>
      <c r="BC310" s="77"/>
      <c r="BD310" s="458"/>
      <c r="BE310" s="95"/>
      <c r="BF310" s="82"/>
      <c r="BG310" s="459"/>
      <c r="BH310" s="459"/>
      <c r="BI310" s="77"/>
      <c r="BJ310" s="454"/>
      <c r="BK310" s="460"/>
      <c r="BL310" s="461"/>
      <c r="BM310" s="461"/>
      <c r="BN310" s="462"/>
      <c r="BO310" s="463"/>
      <c r="BP310" s="81" t="str">
        <f>IF(F310&gt;$F$18,"",IF(BO310&lt;&gt;"","",IF(ISNA(VLOOKUP('I. Stream &amp; Compound Data'!H310,'Potency Factors '!D$4:E$55,2,FALSE))=TRUE,0,VLOOKUP('I. Stream &amp; Compound Data'!H310,'Potency Factors '!D$4:E$55,2,FALSE))))</f>
        <v/>
      </c>
      <c r="BQ310" s="456"/>
      <c r="BR310" s="81" t="str">
        <f>IF(F310&gt;$F$18,"",IF(BQ310&lt;&gt;"","",IF(ISNA(VLOOKUP('I. Stream &amp; Compound Data'!H310,'Potency Factors '!D$68:E$167,2,FALSE))=TRUE,0,VLOOKUP('I. Stream &amp; Compound Data'!H310,'Potency Factors '!D$68:E$167,2,FALSE))))</f>
        <v/>
      </c>
      <c r="BS310" s="456"/>
      <c r="BT310" s="81" t="str">
        <f>IF(F310&gt;$F$18,"",IF(BS310&lt;&gt;"","",IF(ISNA(VLOOKUP('I. Stream &amp; Compound Data'!H310,'Potency Factors '!$D$412:$F$473,3,FALSE))=TRUE,0,VLOOKUP('I. Stream &amp; Compound Data'!H310,'Potency Factors '!$D$412:$F$473,3,FALSE))))</f>
        <v/>
      </c>
      <c r="BU310" s="456"/>
      <c r="BV310" s="81" t="str">
        <f>IF(F310&gt;$F$18,"",IF(BU310&lt;&gt;"","",IF(ISNA(VLOOKUP('I. Stream &amp; Compound Data'!H310,'Potency Factors '!D$180:E$185,2,FALSE))=TRUE,0,VLOOKUP('I. Stream &amp; Compound Data'!H310,'Potency Factors '!D$180:E$185,2,FALSE))))</f>
        <v/>
      </c>
      <c r="BW310" s="83"/>
      <c r="BX310" s="82" t="str">
        <f t="shared" si="487"/>
        <v/>
      </c>
      <c r="BY310" s="83"/>
      <c r="BZ310" s="82" t="str">
        <f t="shared" si="488"/>
        <v/>
      </c>
      <c r="CA310" s="83"/>
      <c r="CB310" s="462"/>
      <c r="CC310" s="82" t="str">
        <f t="shared" si="489"/>
        <v/>
      </c>
      <c r="CD310" s="456"/>
      <c r="CE310" s="81" t="str">
        <f>IF(F310&gt;$F$18,"",IF(CD310&lt;&gt;"","",IF(ISNA(VLOOKUP('I. Stream &amp; Compound Data'!H310,'Potency Factors '!D$224:F$345,3,FALSE))=TRUE,0,VLOOKUP('I. Stream &amp; Compound Data'!H310,'Potency Factors '!D$224:F$345,3,FALSE))))</f>
        <v/>
      </c>
      <c r="CF310" s="456"/>
      <c r="CG310" s="81" t="str">
        <f>IF(F310&gt;$F$18,"",IF(CF310&lt;&gt;"","",IF(ISNA(VLOOKUP('I. Stream &amp; Compound Data'!H310,'Potency Factors '!D$361:F$374,3,FALSE))=TRUE,0,VLOOKUP('I. Stream &amp; Compound Data'!H310,'Potency Factors '!D$361:F$374,3,FALSE))))</f>
        <v/>
      </c>
      <c r="CH310" s="83"/>
      <c r="CI310" s="83"/>
      <c r="CJ310" s="83"/>
      <c r="CK310" s="83"/>
      <c r="CL310" s="83"/>
      <c r="CM310" s="83"/>
      <c r="CN310" s="83"/>
      <c r="CO310" s="83"/>
      <c r="CP310" s="83" t="str">
        <f t="shared" si="490"/>
        <v/>
      </c>
      <c r="CQ310" s="456"/>
      <c r="CR310" s="81" t="str">
        <f>IF(F310&gt;$F$18,"",IF(CQ310&lt;&gt;"","",IF(ISNA(VLOOKUP('I. Stream &amp; Compound Data'!H310,'Potency Factors '!D$387:E$399,2,FALSE))=FALSE,VLOOKUP('I. Stream &amp; Compound Data'!H310,'Potency Factors '!D$387:E$399,2,FALSE),IF(ISNUMBER(SEARCH("phosphate",G310))=TRUE,1,IF(ISNUMBER(SEARCH("nitrate",G310))=TRUE,0.1,0)))))</f>
        <v/>
      </c>
      <c r="CS310" s="456"/>
      <c r="CT310" s="84" t="str">
        <f>IF(F310&gt;$F$18,"",IF(CS310&lt;&gt;"","",IF(ISNA(VLOOKUP('I. Stream &amp; Compound Data'!H310,'Potency Factors '!$D$485:$F$558,3,FALSE))=TRUE,0,VLOOKUP('I. Stream &amp; Compound Data'!H310,'Potency Factors '!$D$485:$F$558,3,FALSE))))</f>
        <v/>
      </c>
      <c r="CU310" s="729"/>
    </row>
    <row r="311" spans="2:99" ht="15.75" thickBot="1" x14ac:dyDescent="0.25">
      <c r="B311" s="716"/>
      <c r="C311" s="717"/>
      <c r="D311" s="717"/>
      <c r="E311" s="717"/>
      <c r="F311" s="85">
        <f t="shared" si="479"/>
        <v>50</v>
      </c>
      <c r="G311" s="86" t="str">
        <f t="shared" si="480"/>
        <v/>
      </c>
      <c r="H311" s="87" t="str">
        <f t="shared" si="481"/>
        <v/>
      </c>
      <c r="I311" s="87" t="str">
        <f t="shared" si="482"/>
        <v/>
      </c>
      <c r="J311" s="88" t="str">
        <f t="shared" si="483"/>
        <v/>
      </c>
      <c r="K311" s="466"/>
      <c r="L311" s="89" t="str">
        <f t="shared" si="478"/>
        <v/>
      </c>
      <c r="M311" s="89" t="str">
        <f t="shared" si="471"/>
        <v/>
      </c>
      <c r="N311" s="89" t="str">
        <f t="shared" si="472"/>
        <v/>
      </c>
      <c r="O311" s="89" t="str">
        <f t="shared" si="473"/>
        <v/>
      </c>
      <c r="P311" s="105" t="str">
        <f t="shared" si="474"/>
        <v/>
      </c>
      <c r="Q311" s="106" t="str">
        <f t="shared" si="477"/>
        <v/>
      </c>
      <c r="R311" s="466"/>
      <c r="S311" s="467"/>
      <c r="T311" s="468"/>
      <c r="U311" s="466"/>
      <c r="V311" s="467"/>
      <c r="W311" s="90" t="str">
        <f>IF(F311&gt;$F$18,"",IF(AZ311&gt;=25,1,0))</f>
        <v/>
      </c>
      <c r="X311" s="469"/>
      <c r="Y311" s="466"/>
      <c r="Z311" s="467"/>
      <c r="AA311" s="467"/>
      <c r="AB311" s="470"/>
      <c r="AC311" s="91"/>
      <c r="AD311" s="89"/>
      <c r="AE311" s="89"/>
      <c r="AF311" s="470"/>
      <c r="AG311" s="471"/>
      <c r="AH311" s="467"/>
      <c r="AI311" s="89"/>
      <c r="AJ311" s="467"/>
      <c r="AK311" s="89"/>
      <c r="AL311" s="72"/>
      <c r="AM311" s="466"/>
      <c r="AN311" s="467"/>
      <c r="AO311" s="467"/>
      <c r="AP311" s="472"/>
      <c r="AQ311" s="91" t="str">
        <f t="shared" si="484"/>
        <v/>
      </c>
      <c r="AR311" s="473"/>
      <c r="AS311" s="91" t="str">
        <f t="shared" si="485"/>
        <v/>
      </c>
      <c r="AT311" s="473"/>
      <c r="AU311" s="91" t="str">
        <f t="shared" si="486"/>
        <v/>
      </c>
      <c r="AV311" s="87"/>
      <c r="AW311" s="87"/>
      <c r="AX311" s="470"/>
      <c r="AY311" s="471"/>
      <c r="AZ311" s="474"/>
      <c r="BA311" s="89"/>
      <c r="BB311" s="475"/>
      <c r="BC311" s="89"/>
      <c r="BD311" s="476"/>
      <c r="BE311" s="71"/>
      <c r="BF311" s="107"/>
      <c r="BG311" s="477"/>
      <c r="BH311" s="477"/>
      <c r="BI311" s="89"/>
      <c r="BJ311" s="470"/>
      <c r="BK311" s="478"/>
      <c r="BL311" s="479"/>
      <c r="BM311" s="479"/>
      <c r="BN311" s="474"/>
      <c r="BO311" s="480"/>
      <c r="BP311" s="91" t="str">
        <f>IF(F311&gt;$F$18,"",IF(BO311&lt;&gt;"","",IF(ISNA(VLOOKUP('I. Stream &amp; Compound Data'!H311,'Potency Factors '!D$4:E$55,2,FALSE))=TRUE,0,VLOOKUP('I. Stream &amp; Compound Data'!H311,'Potency Factors '!D$4:E$55,2,FALSE))))</f>
        <v/>
      </c>
      <c r="BQ311" s="473"/>
      <c r="BR311" s="91" t="str">
        <f>IF(F311&gt;$F$18,"",IF(BQ311&lt;&gt;"","",IF(ISNA(VLOOKUP('I. Stream &amp; Compound Data'!H311,'Potency Factors '!D$68:E$167,2,FALSE))=TRUE,0,VLOOKUP('I. Stream &amp; Compound Data'!H311,'Potency Factors '!D$68:E$167,2,FALSE))))</f>
        <v/>
      </c>
      <c r="BS311" s="473"/>
      <c r="BT311" s="91" t="str">
        <f>IF(F311&gt;$F$18,"",IF(BS311&lt;&gt;"","",IF(ISNA(VLOOKUP('I. Stream &amp; Compound Data'!H311,'Potency Factors '!$D$412:$F$473,3,FALSE))=TRUE,0,VLOOKUP('I. Stream &amp; Compound Data'!H311,'Potency Factors '!$D$412:$F$473,3,FALSE))))</f>
        <v/>
      </c>
      <c r="BU311" s="473"/>
      <c r="BV311" s="91" t="str">
        <f>IF(F311&gt;$F$18,"",IF(BU311&lt;&gt;"","",IF(ISNA(VLOOKUP('I. Stream &amp; Compound Data'!H311,'Potency Factors '!D$180:E$185,2,FALSE))=TRUE,0,VLOOKUP('I. Stream &amp; Compound Data'!H311,'Potency Factors '!D$180:E$185,2,FALSE))))</f>
        <v/>
      </c>
      <c r="BW311" s="92"/>
      <c r="BX311" s="107" t="str">
        <f t="shared" si="487"/>
        <v/>
      </c>
      <c r="BY311" s="92"/>
      <c r="BZ311" s="107" t="str">
        <f t="shared" si="488"/>
        <v/>
      </c>
      <c r="CA311" s="92"/>
      <c r="CB311" s="474"/>
      <c r="CC311" s="107" t="str">
        <f t="shared" si="489"/>
        <v/>
      </c>
      <c r="CD311" s="473"/>
      <c r="CE311" s="91" t="str">
        <f>IF(F311&gt;$F$18,"",IF(CD311&lt;&gt;"","",IF(ISNA(VLOOKUP('I. Stream &amp; Compound Data'!H311,'Potency Factors '!D$224:F$345,3,FALSE))=TRUE,0,VLOOKUP('I. Stream &amp; Compound Data'!H311,'Potency Factors '!D$224:F$345,3,FALSE))))</f>
        <v/>
      </c>
      <c r="CF311" s="473"/>
      <c r="CG311" s="91" t="str">
        <f>IF(F311&gt;$F$18,"",IF(CF311&lt;&gt;"","",IF(ISNA(VLOOKUP('I. Stream &amp; Compound Data'!H311,'Potency Factors '!D$361:F$374,3,FALSE))=TRUE,0,VLOOKUP('I. Stream &amp; Compound Data'!H311,'Potency Factors '!D$361:F$374,3,FALSE))))</f>
        <v/>
      </c>
      <c r="CH311" s="92"/>
      <c r="CI311" s="92"/>
      <c r="CJ311" s="92"/>
      <c r="CK311" s="92"/>
      <c r="CL311" s="92"/>
      <c r="CM311" s="92"/>
      <c r="CN311" s="92"/>
      <c r="CO311" s="92"/>
      <c r="CP311" s="92" t="str">
        <f t="shared" si="490"/>
        <v/>
      </c>
      <c r="CQ311" s="473"/>
      <c r="CR311" s="91" t="str">
        <f>IF(F311&gt;$F$18,"",IF(CQ311&lt;&gt;"","",IF(ISNA(VLOOKUP('I. Stream &amp; Compound Data'!H311,'Potency Factors '!D$387:E$399,2,FALSE))=FALSE,VLOOKUP('I. Stream &amp; Compound Data'!H311,'Potency Factors '!D$387:E$399,2,FALSE),IF(ISNUMBER(SEARCH("phosphate",G311))=TRUE,1,IF(ISNUMBER(SEARCH("nitrate",G311))=TRUE,0.1,0)))))</f>
        <v/>
      </c>
      <c r="CS311" s="473"/>
      <c r="CT311" s="93" t="str">
        <f>IF(F311&gt;$F$18,"",IF(CS311&lt;&gt;"","",IF(ISNA(VLOOKUP('I. Stream &amp; Compound Data'!H311,'Potency Factors '!$D$485:$F$558,3,FALSE))=TRUE,0,VLOOKUP('I. Stream &amp; Compound Data'!H311,'Potency Factors '!$D$485:$F$558,3,FALSE))))</f>
        <v/>
      </c>
      <c r="CU311" s="729"/>
    </row>
    <row r="312" spans="2:99" ht="15.75" thickBot="1" x14ac:dyDescent="0.25">
      <c r="B312" s="718"/>
      <c r="C312" s="719"/>
      <c r="D312" s="719"/>
      <c r="E312" s="719"/>
      <c r="F312" s="150"/>
      <c r="G312" s="731"/>
      <c r="H312" s="731"/>
      <c r="I312" s="731"/>
      <c r="J312" s="731"/>
      <c r="K312" s="731"/>
      <c r="L312" s="731"/>
      <c r="M312" s="731"/>
      <c r="N312" s="731"/>
      <c r="O312" s="731"/>
      <c r="P312" s="731"/>
      <c r="Q312" s="731"/>
      <c r="R312" s="731"/>
      <c r="S312" s="731"/>
      <c r="T312" s="731"/>
      <c r="U312" s="731"/>
      <c r="V312" s="731"/>
      <c r="W312" s="731"/>
      <c r="X312" s="731"/>
      <c r="Y312" s="731"/>
      <c r="Z312" s="731"/>
      <c r="AA312" s="731"/>
      <c r="AB312" s="731"/>
      <c r="AC312" s="731"/>
      <c r="AD312" s="731"/>
      <c r="AE312" s="731"/>
      <c r="AF312" s="731"/>
      <c r="AG312" s="731"/>
      <c r="AH312" s="731"/>
      <c r="AI312" s="731"/>
      <c r="AJ312" s="731"/>
      <c r="AK312" s="731"/>
      <c r="AL312" s="731"/>
      <c r="AM312" s="731"/>
      <c r="AN312" s="731"/>
      <c r="AO312" s="731"/>
      <c r="AP312" s="731"/>
      <c r="AQ312" s="731"/>
      <c r="AR312" s="731"/>
      <c r="AS312" s="731"/>
      <c r="AT312" s="731"/>
      <c r="AU312" s="731"/>
      <c r="AV312" s="731"/>
      <c r="AW312" s="731"/>
      <c r="AX312" s="731"/>
      <c r="AY312" s="731"/>
      <c r="AZ312" s="731"/>
      <c r="BA312" s="731"/>
      <c r="BB312" s="731"/>
      <c r="BC312" s="731"/>
      <c r="BD312" s="731"/>
      <c r="BE312" s="731"/>
      <c r="BF312" s="731"/>
      <c r="BG312" s="731"/>
      <c r="BH312" s="731"/>
      <c r="BI312" s="731"/>
      <c r="BJ312" s="731"/>
      <c r="BK312" s="731"/>
      <c r="BL312" s="731"/>
      <c r="BM312" s="731"/>
      <c r="BN312" s="731"/>
      <c r="BO312" s="731"/>
      <c r="BP312" s="731"/>
      <c r="BQ312" s="731"/>
      <c r="BR312" s="731"/>
      <c r="BS312" s="731"/>
      <c r="BT312" s="731"/>
      <c r="BU312" s="731"/>
      <c r="BV312" s="731"/>
      <c r="BW312" s="731"/>
      <c r="BX312" s="731"/>
      <c r="BY312" s="731"/>
      <c r="BZ312" s="731"/>
      <c r="CA312" s="731"/>
      <c r="CB312" s="731"/>
      <c r="CC312" s="731"/>
      <c r="CD312" s="731"/>
      <c r="CE312" s="731"/>
      <c r="CF312" s="731"/>
      <c r="CG312" s="731"/>
      <c r="CH312" s="731"/>
      <c r="CI312" s="731"/>
      <c r="CJ312" s="731"/>
      <c r="CK312" s="731"/>
      <c r="CL312" s="731"/>
      <c r="CM312" s="731"/>
      <c r="CN312" s="731"/>
      <c r="CO312" s="731"/>
      <c r="CP312" s="731"/>
      <c r="CQ312" s="731"/>
      <c r="CR312" s="731"/>
      <c r="CS312" s="731"/>
      <c r="CT312" s="731"/>
      <c r="CU312" s="730"/>
    </row>
    <row r="313" spans="2:99" x14ac:dyDescent="0.2">
      <c r="I313" s="49"/>
      <c r="J313" s="49"/>
      <c r="K313" s="49"/>
      <c r="L313" s="49"/>
      <c r="M313" s="49"/>
      <c r="N313" s="49"/>
    </row>
    <row r="314" spans="2:99" x14ac:dyDescent="0.2">
      <c r="I314" s="49"/>
      <c r="J314" s="49"/>
      <c r="K314" s="49"/>
      <c r="L314" s="49"/>
      <c r="M314" s="49"/>
      <c r="N314" s="49"/>
    </row>
    <row r="315" spans="2:99" x14ac:dyDescent="0.2">
      <c r="I315" s="49"/>
      <c r="J315" s="49"/>
      <c r="K315" s="49"/>
      <c r="L315" s="49"/>
      <c r="M315" s="49"/>
      <c r="N315" s="49"/>
    </row>
    <row r="316" spans="2:99" x14ac:dyDescent="0.2">
      <c r="I316" s="49"/>
      <c r="J316" s="49"/>
      <c r="K316" s="49"/>
      <c r="L316" s="49"/>
      <c r="M316" s="49"/>
      <c r="N316" s="49"/>
    </row>
    <row r="317" spans="2:99" x14ac:dyDescent="0.2">
      <c r="I317" s="49"/>
      <c r="J317" s="49"/>
      <c r="K317" s="49"/>
      <c r="L317" s="49"/>
      <c r="M317" s="49"/>
      <c r="N317" s="49"/>
    </row>
    <row r="318" spans="2:99" x14ac:dyDescent="0.2">
      <c r="I318" s="49"/>
      <c r="J318" s="49"/>
      <c r="K318" s="49"/>
      <c r="L318" s="49"/>
      <c r="M318" s="49"/>
      <c r="N318" s="49"/>
    </row>
    <row r="319" spans="2:99" x14ac:dyDescent="0.2">
      <c r="I319" s="49"/>
      <c r="J319" s="49"/>
      <c r="K319" s="49"/>
      <c r="L319" s="49"/>
      <c r="M319" s="49"/>
      <c r="N319" s="49"/>
    </row>
    <row r="320" spans="2:99" x14ac:dyDescent="0.2">
      <c r="I320" s="49"/>
      <c r="J320" s="49"/>
      <c r="K320" s="49"/>
      <c r="L320" s="49"/>
      <c r="M320" s="49"/>
      <c r="N320" s="49"/>
    </row>
    <row r="321" spans="9:35" x14ac:dyDescent="0.2">
      <c r="I321" s="49"/>
      <c r="J321" s="49"/>
      <c r="K321" s="49"/>
      <c r="L321" s="49"/>
      <c r="M321" s="49"/>
      <c r="N321" s="49"/>
    </row>
    <row r="322" spans="9:35" x14ac:dyDescent="0.2">
      <c r="I322" s="49"/>
      <c r="J322" s="49"/>
      <c r="K322" s="49"/>
      <c r="L322" s="49"/>
      <c r="M322" s="49"/>
      <c r="N322" s="49"/>
    </row>
    <row r="323" spans="9:35" x14ac:dyDescent="0.2">
      <c r="I323" s="49"/>
      <c r="J323" s="49"/>
      <c r="K323" s="49"/>
      <c r="L323" s="49"/>
      <c r="M323" s="49"/>
      <c r="N323" s="49"/>
    </row>
    <row r="324" spans="9:35" x14ac:dyDescent="0.2">
      <c r="I324" s="49"/>
      <c r="J324" s="49"/>
      <c r="K324" s="49"/>
      <c r="L324" s="49"/>
      <c r="M324" s="49"/>
      <c r="N324" s="49"/>
    </row>
    <row r="334" spans="9:35" x14ac:dyDescent="0.2">
      <c r="I334" s="5"/>
      <c r="J334" s="5"/>
      <c r="M334" s="49"/>
      <c r="N334" s="49"/>
      <c r="O334" s="49"/>
      <c r="P334" s="49"/>
      <c r="Q334" s="49"/>
      <c r="R334" s="49"/>
      <c r="S334" s="49"/>
      <c r="T334" s="7"/>
      <c r="U334" s="5"/>
      <c r="V334" s="5"/>
      <c r="W334" s="5"/>
      <c r="X334" s="5"/>
      <c r="Y334" s="5"/>
      <c r="Z334" s="5"/>
      <c r="AA334" s="25"/>
      <c r="AB334" s="25"/>
      <c r="AC334" s="25"/>
      <c r="AD334" s="25"/>
      <c r="AE334" s="25"/>
      <c r="AF334" s="100"/>
      <c r="AG334" s="100"/>
      <c r="AH334" s="100"/>
      <c r="AI334" s="100"/>
    </row>
    <row r="335" spans="9:35" x14ac:dyDescent="0.2">
      <c r="I335" s="99"/>
      <c r="J335" s="99"/>
      <c r="K335" s="481"/>
      <c r="L335" s="481"/>
      <c r="M335" s="482"/>
      <c r="N335" s="481"/>
      <c r="O335" s="481"/>
      <c r="P335" s="482"/>
      <c r="Q335" s="481"/>
      <c r="R335" s="49"/>
      <c r="S335" s="49"/>
      <c r="T335" s="7"/>
      <c r="U335" s="5"/>
      <c r="V335" s="5"/>
      <c r="W335" s="5"/>
      <c r="X335" s="5"/>
      <c r="Y335" s="5"/>
      <c r="Z335" s="5"/>
      <c r="AA335" s="69"/>
      <c r="AB335" s="69"/>
      <c r="AC335" s="69"/>
      <c r="AD335" s="69"/>
      <c r="AE335" s="69"/>
      <c r="AF335" s="100"/>
      <c r="AG335" s="100"/>
      <c r="AH335" s="100"/>
      <c r="AI335" s="100"/>
    </row>
    <row r="336" spans="9:35" x14ac:dyDescent="0.2">
      <c r="I336" s="99"/>
      <c r="J336" s="99"/>
      <c r="K336" s="99"/>
      <c r="L336" s="99"/>
      <c r="M336" s="99"/>
      <c r="N336" s="99"/>
      <c r="O336" s="99"/>
      <c r="P336" s="483"/>
      <c r="Q336" s="484"/>
      <c r="R336" s="49"/>
      <c r="S336" s="49"/>
      <c r="T336" s="49"/>
      <c r="U336" s="5"/>
      <c r="V336" s="5"/>
      <c r="W336" s="5"/>
      <c r="X336" s="5"/>
      <c r="Y336" s="5"/>
      <c r="Z336" s="5"/>
      <c r="AA336" s="69"/>
      <c r="AB336" s="69"/>
      <c r="AC336" s="69"/>
      <c r="AD336" s="69"/>
      <c r="AE336" s="69"/>
      <c r="AF336" s="100"/>
      <c r="AG336" s="100"/>
      <c r="AH336" s="100"/>
      <c r="AI336" s="100"/>
    </row>
    <row r="337" spans="9:35" x14ac:dyDescent="0.2">
      <c r="I337" s="99"/>
      <c r="J337" s="99"/>
      <c r="K337" s="99"/>
      <c r="L337" s="99"/>
      <c r="M337" s="99"/>
      <c r="N337" s="99"/>
      <c r="O337" s="99"/>
      <c r="P337" s="483"/>
      <c r="Q337" s="484"/>
      <c r="R337" s="49"/>
      <c r="S337" s="49"/>
      <c r="T337" s="49"/>
      <c r="U337" s="5"/>
      <c r="V337" s="5"/>
      <c r="W337" s="5"/>
      <c r="X337" s="5"/>
      <c r="Y337" s="5"/>
      <c r="Z337" s="5"/>
      <c r="AA337" s="69"/>
      <c r="AB337" s="69"/>
      <c r="AC337" s="69"/>
      <c r="AD337" s="69"/>
      <c r="AE337" s="69"/>
      <c r="AF337" s="100"/>
      <c r="AG337" s="100"/>
      <c r="AH337" s="100"/>
      <c r="AI337" s="100"/>
    </row>
    <row r="338" spans="9:35" x14ac:dyDescent="0.2">
      <c r="I338" s="99"/>
      <c r="J338" s="99"/>
      <c r="K338" s="99"/>
      <c r="L338" s="99"/>
      <c r="M338" s="99"/>
      <c r="N338" s="99"/>
      <c r="O338" s="99"/>
      <c r="P338" s="485"/>
      <c r="Q338" s="484"/>
      <c r="R338" s="49"/>
      <c r="S338" s="49"/>
      <c r="T338" s="49"/>
      <c r="U338" s="69"/>
      <c r="V338" s="69"/>
      <c r="W338" s="69"/>
      <c r="X338" s="69"/>
      <c r="Y338" s="5"/>
      <c r="Z338" s="5"/>
      <c r="AA338" s="69"/>
      <c r="AB338" s="69"/>
      <c r="AC338" s="69"/>
      <c r="AD338" s="69"/>
      <c r="AE338" s="69"/>
      <c r="AF338" s="100"/>
      <c r="AG338" s="100"/>
      <c r="AH338" s="100"/>
      <c r="AI338" s="100"/>
    </row>
    <row r="339" spans="9:35" x14ac:dyDescent="0.2">
      <c r="I339" s="483"/>
      <c r="J339" s="99"/>
      <c r="K339" s="483"/>
      <c r="L339" s="99"/>
      <c r="M339" s="483"/>
      <c r="N339" s="483"/>
      <c r="O339" s="99"/>
      <c r="P339" s="485"/>
      <c r="Q339" s="484"/>
      <c r="R339" s="49"/>
      <c r="S339" s="49"/>
      <c r="T339" s="49"/>
      <c r="U339" s="69"/>
      <c r="V339" s="69"/>
      <c r="W339" s="69"/>
      <c r="X339" s="69"/>
      <c r="Y339" s="5"/>
      <c r="Z339" s="5"/>
      <c r="AA339" s="69"/>
      <c r="AB339" s="69"/>
      <c r="AC339" s="69"/>
      <c r="AD339" s="69"/>
      <c r="AE339" s="69"/>
      <c r="AF339" s="100"/>
      <c r="AG339" s="100"/>
      <c r="AH339" s="100"/>
      <c r="AI339" s="100"/>
    </row>
    <row r="340" spans="9:35" x14ac:dyDescent="0.2">
      <c r="I340" s="483"/>
      <c r="J340" s="99"/>
      <c r="K340" s="483"/>
      <c r="L340" s="99"/>
      <c r="M340" s="483"/>
      <c r="N340" s="483"/>
      <c r="O340" s="99"/>
      <c r="P340" s="485"/>
      <c r="Q340" s="484"/>
      <c r="R340" s="49"/>
      <c r="S340" s="49"/>
      <c r="T340" s="49"/>
      <c r="U340" s="69"/>
      <c r="V340" s="69"/>
      <c r="W340" s="69"/>
      <c r="X340" s="69"/>
      <c r="Y340" s="5"/>
      <c r="Z340" s="5"/>
      <c r="AA340" s="69"/>
      <c r="AB340" s="69"/>
      <c r="AC340" s="69"/>
      <c r="AD340" s="69"/>
      <c r="AE340" s="69"/>
      <c r="AF340" s="100"/>
      <c r="AG340" s="100"/>
      <c r="AH340" s="100"/>
      <c r="AI340" s="100"/>
    </row>
    <row r="341" spans="9:35" x14ac:dyDescent="0.2">
      <c r="I341" s="483"/>
      <c r="J341" s="99"/>
      <c r="K341" s="483"/>
      <c r="L341" s="99"/>
      <c r="M341" s="483"/>
      <c r="N341" s="483"/>
      <c r="O341" s="99"/>
      <c r="P341" s="485"/>
      <c r="Q341" s="484"/>
      <c r="R341" s="49"/>
      <c r="S341" s="49"/>
      <c r="T341" s="49"/>
      <c r="U341" s="69"/>
      <c r="V341" s="69"/>
      <c r="W341" s="69"/>
      <c r="X341" s="69"/>
      <c r="Y341" s="5"/>
      <c r="Z341" s="5"/>
      <c r="AA341" s="69"/>
      <c r="AB341" s="69"/>
      <c r="AC341" s="69"/>
      <c r="AD341" s="69"/>
      <c r="AE341" s="69"/>
      <c r="AF341" s="100"/>
      <c r="AG341" s="100"/>
      <c r="AH341" s="100"/>
      <c r="AI341" s="100"/>
    </row>
    <row r="342" spans="9:35" x14ac:dyDescent="0.2">
      <c r="I342" s="483"/>
      <c r="J342" s="483"/>
      <c r="K342" s="483"/>
      <c r="L342" s="483"/>
      <c r="M342" s="483"/>
      <c r="N342" s="483"/>
      <c r="O342" s="483"/>
      <c r="P342" s="483"/>
      <c r="Q342" s="326"/>
      <c r="R342" s="49"/>
      <c r="S342" s="49"/>
      <c r="T342" s="49"/>
      <c r="U342" s="69"/>
      <c r="V342" s="69"/>
      <c r="W342" s="69"/>
      <c r="X342" s="69"/>
      <c r="Y342" s="5"/>
      <c r="Z342" s="5"/>
      <c r="AA342" s="69"/>
      <c r="AB342" s="69"/>
      <c r="AC342" s="69"/>
      <c r="AD342" s="69"/>
      <c r="AE342" s="69"/>
      <c r="AF342" s="100"/>
      <c r="AG342" s="100"/>
      <c r="AH342" s="100"/>
      <c r="AI342" s="100"/>
    </row>
    <row r="343" spans="9:35" x14ac:dyDescent="0.2">
      <c r="I343" s="131"/>
      <c r="J343" s="131"/>
      <c r="K343" s="131"/>
      <c r="L343" s="69"/>
      <c r="M343" s="49"/>
      <c r="N343" s="49"/>
      <c r="O343" s="49"/>
      <c r="P343" s="49"/>
      <c r="Q343" s="49"/>
      <c r="R343" s="49"/>
      <c r="S343" s="49"/>
      <c r="T343" s="49"/>
      <c r="U343" s="69"/>
      <c r="V343" s="69"/>
      <c r="W343" s="69"/>
      <c r="X343" s="69"/>
      <c r="Y343" s="5"/>
      <c r="Z343" s="5"/>
      <c r="AA343" s="69"/>
      <c r="AB343" s="69"/>
      <c r="AC343" s="69"/>
      <c r="AD343" s="69"/>
      <c r="AE343" s="69"/>
      <c r="AF343" s="100"/>
      <c r="AG343" s="100"/>
      <c r="AH343" s="100"/>
      <c r="AI343" s="100"/>
    </row>
    <row r="344" spans="9:35" x14ac:dyDescent="0.2">
      <c r="I344" s="69"/>
      <c r="J344" s="69"/>
      <c r="K344" s="69"/>
      <c r="L344" s="69"/>
      <c r="M344" s="326"/>
      <c r="N344" s="326"/>
      <c r="O344" s="49"/>
      <c r="P344" s="49"/>
      <c r="Q344" s="49"/>
      <c r="R344" s="49"/>
      <c r="S344" s="49"/>
      <c r="T344" s="49"/>
      <c r="U344" s="69"/>
      <c r="V344" s="69"/>
      <c r="W344" s="69"/>
      <c r="X344" s="69"/>
      <c r="Y344" s="5"/>
      <c r="Z344" s="5"/>
      <c r="AA344" s="69"/>
      <c r="AB344" s="69"/>
      <c r="AC344" s="69"/>
      <c r="AD344" s="69"/>
      <c r="AE344" s="69"/>
      <c r="AF344" s="100"/>
      <c r="AG344" s="100"/>
      <c r="AH344" s="100"/>
      <c r="AI344" s="100"/>
    </row>
    <row r="345" spans="9:35" x14ac:dyDescent="0.2">
      <c r="I345" s="69"/>
      <c r="J345" s="69"/>
      <c r="K345" s="69"/>
      <c r="L345" s="69"/>
      <c r="M345" s="326"/>
      <c r="N345" s="326"/>
      <c r="O345" s="49"/>
      <c r="P345" s="49"/>
      <c r="Q345" s="49"/>
      <c r="R345" s="49"/>
      <c r="S345" s="49"/>
      <c r="T345" s="49"/>
      <c r="U345" s="69"/>
      <c r="V345" s="69"/>
      <c r="W345" s="69"/>
      <c r="X345" s="69"/>
      <c r="Y345" s="5"/>
      <c r="Z345" s="5"/>
      <c r="AA345" s="69"/>
      <c r="AB345" s="69"/>
      <c r="AC345" s="69"/>
      <c r="AD345" s="69"/>
      <c r="AE345" s="69"/>
      <c r="AF345" s="100"/>
      <c r="AG345" s="100"/>
      <c r="AH345" s="100"/>
      <c r="AI345" s="100"/>
    </row>
    <row r="346" spans="9:35" x14ac:dyDescent="0.2">
      <c r="I346" s="69"/>
      <c r="J346" s="69"/>
      <c r="K346" s="69"/>
      <c r="L346" s="69"/>
      <c r="M346" s="326"/>
      <c r="N346" s="326"/>
      <c r="O346" s="49"/>
      <c r="P346" s="49"/>
      <c r="Q346" s="49"/>
      <c r="R346" s="49"/>
      <c r="S346" s="49"/>
      <c r="T346" s="49"/>
      <c r="U346" s="69"/>
      <c r="V346" s="69"/>
      <c r="W346" s="69"/>
      <c r="X346" s="69"/>
      <c r="Y346" s="5"/>
      <c r="Z346" s="5"/>
      <c r="AA346" s="25"/>
      <c r="AB346" s="25"/>
      <c r="AC346" s="25"/>
      <c r="AD346" s="25"/>
      <c r="AE346" s="25"/>
      <c r="AF346" s="100"/>
      <c r="AG346" s="100"/>
      <c r="AH346" s="100"/>
      <c r="AI346" s="100"/>
    </row>
    <row r="347" spans="9:35" x14ac:dyDescent="0.2">
      <c r="I347" s="69"/>
      <c r="J347" s="69"/>
      <c r="K347" s="69"/>
      <c r="L347" s="69"/>
      <c r="M347" s="326"/>
      <c r="N347" s="326"/>
      <c r="O347" s="49"/>
      <c r="P347" s="49"/>
      <c r="Q347" s="49"/>
      <c r="R347" s="49"/>
      <c r="S347" s="49"/>
      <c r="T347" s="49"/>
      <c r="U347" s="69"/>
      <c r="V347" s="69"/>
      <c r="W347" s="69"/>
      <c r="X347" s="69"/>
      <c r="Y347" s="5"/>
      <c r="Z347" s="5"/>
      <c r="AA347" s="25"/>
      <c r="AB347" s="25"/>
      <c r="AC347" s="25"/>
      <c r="AD347" s="25"/>
      <c r="AE347" s="25"/>
      <c r="AF347" s="100"/>
      <c r="AG347" s="100"/>
      <c r="AH347" s="100"/>
      <c r="AI347" s="100"/>
    </row>
    <row r="348" spans="9:35" ht="20.25" x14ac:dyDescent="0.3">
      <c r="I348" s="486"/>
      <c r="J348" s="69"/>
      <c r="K348" s="69"/>
      <c r="L348" s="69"/>
      <c r="M348" s="69"/>
      <c r="N348" s="487"/>
      <c r="O348" s="391"/>
      <c r="S348" s="7"/>
      <c r="T348" s="49"/>
      <c r="U348" s="69"/>
      <c r="V348" s="69"/>
      <c r="W348" s="69"/>
      <c r="X348" s="69"/>
      <c r="Y348" s="5"/>
      <c r="Z348" s="5"/>
      <c r="AA348" s="25"/>
      <c r="AB348" s="25"/>
      <c r="AC348" s="25"/>
      <c r="AD348" s="25"/>
      <c r="AE348" s="25"/>
      <c r="AF348" s="100"/>
      <c r="AG348" s="100"/>
      <c r="AH348" s="100"/>
      <c r="AI348" s="100"/>
    </row>
    <row r="349" spans="9:35" x14ac:dyDescent="0.2">
      <c r="I349" s="99"/>
      <c r="J349" s="99"/>
      <c r="K349" s="481"/>
      <c r="L349" s="482"/>
      <c r="M349" s="481"/>
      <c r="N349" s="487"/>
      <c r="O349" s="391"/>
      <c r="S349" s="7"/>
      <c r="T349" s="49"/>
      <c r="U349" s="69"/>
      <c r="V349" s="69"/>
      <c r="W349" s="69"/>
      <c r="X349" s="69"/>
      <c r="Y349" s="5"/>
      <c r="Z349" s="5"/>
      <c r="AA349" s="25"/>
      <c r="AB349" s="25"/>
      <c r="AC349" s="25"/>
      <c r="AD349" s="25"/>
      <c r="AE349" s="25"/>
      <c r="AF349" s="100"/>
      <c r="AG349" s="100"/>
      <c r="AH349" s="100"/>
      <c r="AI349" s="100"/>
    </row>
    <row r="350" spans="9:35" x14ac:dyDescent="0.2">
      <c r="I350" s="99"/>
      <c r="J350" s="69"/>
      <c r="K350" s="69"/>
      <c r="L350" s="69"/>
      <c r="M350" s="69"/>
      <c r="N350" s="487"/>
      <c r="O350" s="391"/>
      <c r="S350" s="7"/>
      <c r="T350" s="49"/>
      <c r="U350" s="69"/>
      <c r="V350" s="69"/>
      <c r="W350" s="69"/>
      <c r="X350" s="69"/>
      <c r="Y350" s="5"/>
      <c r="Z350" s="5"/>
      <c r="AA350" s="5"/>
      <c r="AB350" s="5"/>
      <c r="AC350" s="5"/>
      <c r="AD350" s="5"/>
    </row>
    <row r="351" spans="9:35" x14ac:dyDescent="0.2">
      <c r="I351" s="69"/>
      <c r="J351" s="69"/>
      <c r="K351" s="69"/>
      <c r="L351" s="69"/>
      <c r="M351" s="69"/>
      <c r="N351" s="487"/>
      <c r="O351" s="391"/>
      <c r="S351" s="7"/>
      <c r="T351" s="49"/>
      <c r="U351" s="69"/>
      <c r="V351" s="69"/>
      <c r="W351" s="69"/>
      <c r="X351" s="69"/>
      <c r="Y351" s="5"/>
      <c r="Z351" s="5"/>
      <c r="AA351" s="5"/>
      <c r="AB351" s="5"/>
      <c r="AC351" s="5"/>
      <c r="AD351" s="5"/>
    </row>
    <row r="352" spans="9:35" x14ac:dyDescent="0.2">
      <c r="I352" s="69"/>
      <c r="J352" s="69"/>
      <c r="K352" s="69"/>
      <c r="L352" s="69"/>
      <c r="M352" s="69"/>
      <c r="N352" s="487"/>
      <c r="O352" s="391"/>
      <c r="S352" s="7"/>
      <c r="T352" s="49"/>
      <c r="U352" s="69"/>
      <c r="V352" s="69"/>
      <c r="W352" s="69"/>
      <c r="X352" s="69"/>
      <c r="Y352" s="5"/>
      <c r="Z352" s="5"/>
      <c r="AA352" s="5"/>
      <c r="AB352" s="5"/>
      <c r="AC352" s="5"/>
      <c r="AD352" s="5"/>
    </row>
    <row r="353" spans="8:30" x14ac:dyDescent="0.2">
      <c r="I353" s="69"/>
      <c r="J353" s="69"/>
      <c r="K353" s="69"/>
      <c r="L353" s="69"/>
      <c r="M353" s="69"/>
      <c r="N353" s="487"/>
      <c r="O353" s="391"/>
      <c r="S353" s="7"/>
      <c r="T353" s="49"/>
      <c r="U353" s="69"/>
      <c r="V353" s="69"/>
      <c r="W353" s="69"/>
      <c r="X353" s="69"/>
      <c r="Y353" s="5"/>
      <c r="Z353" s="5"/>
      <c r="AA353" s="5"/>
      <c r="AB353" s="5"/>
      <c r="AC353" s="5"/>
      <c r="AD353" s="5"/>
    </row>
    <row r="354" spans="8:30" x14ac:dyDescent="0.2">
      <c r="I354" s="69"/>
      <c r="J354" s="69"/>
      <c r="K354" s="69"/>
      <c r="L354" s="69"/>
      <c r="M354" s="69"/>
      <c r="N354" s="487"/>
      <c r="O354" s="391"/>
      <c r="S354" s="7"/>
      <c r="T354" s="49"/>
      <c r="U354" s="69"/>
      <c r="V354" s="69"/>
      <c r="W354" s="69"/>
      <c r="X354" s="69"/>
      <c r="Y354" s="5"/>
      <c r="Z354" s="5"/>
      <c r="AA354" s="5"/>
      <c r="AB354" s="5"/>
      <c r="AC354" s="5"/>
      <c r="AD354" s="5"/>
    </row>
    <row r="355" spans="8:30" x14ac:dyDescent="0.2">
      <c r="I355" s="69"/>
      <c r="J355" s="69"/>
      <c r="K355" s="69"/>
      <c r="L355" s="69"/>
      <c r="M355" s="69"/>
      <c r="N355" s="487"/>
      <c r="O355" s="391"/>
      <c r="S355" s="7"/>
      <c r="T355" s="49"/>
      <c r="U355" s="69"/>
      <c r="V355" s="69"/>
      <c r="W355" s="69"/>
      <c r="X355" s="69"/>
      <c r="Y355" s="5"/>
      <c r="Z355" s="5"/>
      <c r="AA355" s="5"/>
      <c r="AB355" s="5"/>
      <c r="AC355" s="5"/>
      <c r="AD355" s="5"/>
    </row>
    <row r="356" spans="8:30" x14ac:dyDescent="0.2">
      <c r="I356" s="69"/>
      <c r="J356" s="69"/>
      <c r="K356" s="69"/>
      <c r="L356" s="69"/>
      <c r="M356" s="69"/>
      <c r="N356" s="487"/>
      <c r="O356" s="391"/>
      <c r="S356" s="7"/>
      <c r="T356" s="49"/>
      <c r="U356" s="69"/>
      <c r="V356" s="69"/>
      <c r="W356" s="69"/>
      <c r="X356" s="69"/>
      <c r="Y356" s="5"/>
      <c r="Z356" s="5"/>
      <c r="AA356" s="5"/>
      <c r="AB356" s="5"/>
      <c r="AC356" s="5"/>
      <c r="AD356" s="5"/>
    </row>
    <row r="357" spans="8:30" x14ac:dyDescent="0.2">
      <c r="I357" s="69"/>
      <c r="J357" s="69"/>
      <c r="K357" s="69"/>
      <c r="L357" s="69"/>
      <c r="M357" s="69"/>
      <c r="N357" s="487"/>
      <c r="O357" s="391"/>
      <c r="S357" s="7"/>
      <c r="T357" s="49"/>
      <c r="U357" s="69"/>
      <c r="V357" s="69"/>
      <c r="W357" s="69"/>
      <c r="X357" s="69"/>
      <c r="Y357" s="5"/>
      <c r="Z357" s="5"/>
      <c r="AA357" s="5"/>
      <c r="AB357" s="5"/>
      <c r="AC357" s="5"/>
      <c r="AD357" s="5"/>
    </row>
    <row r="358" spans="8:30" x14ac:dyDescent="0.2">
      <c r="I358" s="69"/>
      <c r="J358" s="69"/>
      <c r="K358" s="69"/>
      <c r="L358" s="69"/>
      <c r="M358" s="69"/>
      <c r="N358" s="487"/>
      <c r="O358" s="391"/>
      <c r="S358" s="7"/>
      <c r="T358" s="49"/>
      <c r="U358" s="69"/>
      <c r="V358" s="69"/>
      <c r="W358" s="69"/>
      <c r="X358" s="69"/>
      <c r="Y358" s="5"/>
      <c r="Z358" s="5"/>
      <c r="AA358" s="5"/>
      <c r="AB358" s="5"/>
      <c r="AC358" s="5"/>
      <c r="AD358" s="5"/>
    </row>
    <row r="359" spans="8:30" x14ac:dyDescent="0.2">
      <c r="I359" s="69"/>
      <c r="J359" s="69"/>
      <c r="K359" s="69"/>
      <c r="L359" s="69"/>
      <c r="M359" s="326"/>
      <c r="N359" s="326"/>
      <c r="O359" s="49"/>
      <c r="P359" s="49"/>
      <c r="Q359" s="49"/>
      <c r="R359" s="49"/>
      <c r="S359" s="49"/>
      <c r="T359" s="49"/>
      <c r="U359" s="69"/>
      <c r="V359" s="69"/>
      <c r="W359" s="69"/>
      <c r="X359" s="69"/>
      <c r="Y359" s="5"/>
      <c r="Z359" s="5"/>
      <c r="AA359" s="5"/>
      <c r="AB359" s="5"/>
      <c r="AC359" s="5"/>
      <c r="AD359" s="5"/>
    </row>
    <row r="360" spans="8:30" ht="20.25" x14ac:dyDescent="0.3">
      <c r="I360" s="486"/>
      <c r="J360" s="69"/>
      <c r="K360" s="69"/>
      <c r="L360" s="69"/>
      <c r="M360" s="326"/>
      <c r="N360" s="326"/>
      <c r="O360" s="49"/>
      <c r="P360" s="49"/>
      <c r="Q360" s="49"/>
      <c r="R360" s="49"/>
      <c r="S360" s="49"/>
      <c r="T360" s="49"/>
      <c r="U360" s="69"/>
      <c r="V360" s="69"/>
      <c r="W360" s="69"/>
      <c r="X360" s="69"/>
      <c r="Y360" s="5"/>
      <c r="Z360" s="5"/>
      <c r="AA360" s="5"/>
      <c r="AB360" s="5"/>
      <c r="AC360" s="5"/>
      <c r="AD360" s="5"/>
    </row>
    <row r="361" spans="8:30" x14ac:dyDescent="0.2">
      <c r="I361" s="69"/>
      <c r="J361" s="69"/>
      <c r="K361" s="69"/>
      <c r="L361" s="69"/>
      <c r="M361" s="69"/>
      <c r="N361" s="326"/>
      <c r="O361" s="49"/>
      <c r="P361" s="49"/>
      <c r="Q361" s="49"/>
      <c r="R361" s="49"/>
      <c r="S361" s="49"/>
      <c r="T361" s="99"/>
      <c r="U361" s="69"/>
      <c r="V361" s="69"/>
      <c r="W361" s="69"/>
      <c r="X361" s="69"/>
      <c r="Y361" s="5"/>
      <c r="Z361" s="5"/>
      <c r="AA361" s="5"/>
      <c r="AB361" s="5"/>
      <c r="AC361" s="5"/>
      <c r="AD361" s="5"/>
    </row>
    <row r="362" spans="8:30" x14ac:dyDescent="0.2">
      <c r="H362" s="99"/>
      <c r="I362" s="69"/>
      <c r="J362" s="488"/>
      <c r="K362" s="485"/>
      <c r="L362" s="69"/>
      <c r="M362" s="69"/>
      <c r="N362" s="326"/>
      <c r="O362" s="49"/>
      <c r="P362" s="49"/>
      <c r="Q362" s="49"/>
      <c r="R362" s="49"/>
      <c r="S362" s="49"/>
      <c r="T362" s="99"/>
      <c r="U362" s="69"/>
      <c r="V362" s="69"/>
      <c r="W362" s="69"/>
      <c r="X362" s="69"/>
      <c r="Y362" s="5"/>
      <c r="Z362" s="5"/>
      <c r="AA362" s="5"/>
      <c r="AB362" s="5"/>
      <c r="AC362" s="5"/>
      <c r="AD362" s="5"/>
    </row>
    <row r="363" spans="8:30" x14ac:dyDescent="0.2">
      <c r="H363" s="99"/>
      <c r="I363" s="69"/>
      <c r="J363" s="485"/>
      <c r="K363" s="489"/>
      <c r="L363" s="69"/>
      <c r="M363" s="69"/>
      <c r="N363" s="326"/>
      <c r="O363" s="49"/>
      <c r="P363" s="49"/>
      <c r="Q363" s="49"/>
      <c r="R363" s="49"/>
      <c r="S363" s="49"/>
      <c r="T363" s="99"/>
      <c r="U363" s="69"/>
      <c r="V363" s="69"/>
      <c r="W363" s="69"/>
      <c r="X363" s="69"/>
      <c r="Y363" s="5"/>
      <c r="Z363" s="5"/>
      <c r="AA363" s="5"/>
      <c r="AB363" s="5"/>
      <c r="AC363" s="5"/>
      <c r="AD363" s="5"/>
    </row>
    <row r="364" spans="8:30" x14ac:dyDescent="0.2">
      <c r="H364" s="99"/>
      <c r="I364" s="69"/>
      <c r="J364" s="485"/>
      <c r="K364" s="485"/>
      <c r="L364" s="69"/>
      <c r="M364" s="326"/>
      <c r="N364" s="326"/>
      <c r="O364" s="49"/>
      <c r="P364" s="49"/>
      <c r="Q364" s="49"/>
      <c r="R364" s="49"/>
      <c r="S364" s="49"/>
      <c r="T364" s="99"/>
      <c r="U364" s="69"/>
      <c r="V364" s="69"/>
      <c r="W364" s="69"/>
      <c r="X364" s="69"/>
      <c r="Y364" s="5"/>
      <c r="Z364" s="5"/>
      <c r="AA364" s="5"/>
      <c r="AB364" s="5"/>
      <c r="AC364" s="5"/>
      <c r="AD364" s="5"/>
    </row>
    <row r="365" spans="8:30" x14ac:dyDescent="0.2">
      <c r="H365" s="99"/>
      <c r="I365" s="69"/>
      <c r="J365" s="485"/>
      <c r="K365" s="485"/>
      <c r="L365" s="69"/>
      <c r="M365" s="326"/>
      <c r="N365" s="326"/>
      <c r="O365" s="49"/>
      <c r="P365" s="49"/>
      <c r="Q365" s="49"/>
      <c r="R365" s="49"/>
      <c r="S365" s="49"/>
      <c r="T365" s="99"/>
      <c r="U365" s="69"/>
      <c r="V365" s="69"/>
      <c r="W365" s="69"/>
      <c r="X365" s="69"/>
      <c r="Y365" s="5"/>
      <c r="Z365" s="5"/>
      <c r="AA365" s="5"/>
      <c r="AB365" s="5"/>
      <c r="AC365" s="5"/>
      <c r="AD365" s="5"/>
    </row>
    <row r="366" spans="8:30" x14ac:dyDescent="0.2">
      <c r="H366" s="99"/>
      <c r="I366" s="69"/>
      <c r="J366" s="485"/>
      <c r="K366" s="485"/>
      <c r="L366" s="69"/>
      <c r="M366" s="326"/>
      <c r="N366" s="326"/>
      <c r="O366" s="49"/>
      <c r="P366" s="49"/>
      <c r="Q366" s="49"/>
      <c r="R366" s="49"/>
      <c r="S366" s="49"/>
      <c r="T366" s="99"/>
      <c r="U366" s="69"/>
      <c r="V366" s="69"/>
      <c r="W366" s="69"/>
      <c r="X366" s="69"/>
      <c r="Y366" s="5"/>
      <c r="Z366" s="5"/>
      <c r="AA366" s="5"/>
      <c r="AB366" s="5"/>
      <c r="AC366" s="5"/>
      <c r="AD366" s="5"/>
    </row>
    <row r="367" spans="8:30" x14ac:dyDescent="0.2">
      <c r="H367" s="99"/>
      <c r="I367" s="69"/>
      <c r="J367" s="485"/>
      <c r="K367" s="485"/>
      <c r="L367" s="69"/>
      <c r="M367" s="326"/>
      <c r="N367" s="326"/>
      <c r="O367" s="49"/>
      <c r="P367" s="49"/>
      <c r="Q367" s="49"/>
      <c r="R367" s="49"/>
      <c r="S367" s="49"/>
      <c r="T367" s="99"/>
      <c r="U367" s="69"/>
      <c r="V367" s="69"/>
      <c r="W367" s="69"/>
      <c r="X367" s="69"/>
      <c r="Y367" s="5"/>
      <c r="Z367" s="5"/>
      <c r="AA367" s="5"/>
      <c r="AB367" s="5"/>
      <c r="AC367" s="5"/>
      <c r="AD367" s="5"/>
    </row>
    <row r="368" spans="8:30" x14ac:dyDescent="0.2">
      <c r="H368" s="99"/>
      <c r="I368" s="69"/>
      <c r="J368" s="99"/>
      <c r="K368" s="99"/>
      <c r="L368" s="69"/>
      <c r="M368" s="326"/>
      <c r="N368" s="326"/>
      <c r="O368" s="49"/>
      <c r="P368" s="49"/>
      <c r="Q368" s="49"/>
      <c r="R368" s="49"/>
      <c r="S368" s="49"/>
      <c r="T368" s="99"/>
      <c r="U368" s="69"/>
      <c r="V368" s="69"/>
      <c r="W368" s="69"/>
      <c r="X368" s="69"/>
      <c r="Y368" s="5"/>
      <c r="Z368" s="5"/>
      <c r="AA368" s="5"/>
      <c r="AB368" s="5"/>
      <c r="AC368" s="5"/>
      <c r="AD368" s="5"/>
    </row>
    <row r="369" spans="8:30" x14ac:dyDescent="0.2">
      <c r="H369" s="99"/>
      <c r="I369" s="69"/>
      <c r="J369" s="69"/>
      <c r="K369" s="69"/>
      <c r="L369" s="69"/>
      <c r="M369" s="326"/>
      <c r="N369" s="326"/>
      <c r="O369" s="49"/>
      <c r="P369" s="49"/>
      <c r="Q369" s="49"/>
      <c r="R369" s="49"/>
      <c r="S369" s="49"/>
      <c r="T369" s="99"/>
      <c r="U369" s="69"/>
      <c r="V369" s="69"/>
      <c r="W369" s="69"/>
      <c r="X369" s="69"/>
      <c r="Y369" s="5"/>
      <c r="Z369" s="5"/>
      <c r="AA369" s="5"/>
      <c r="AB369" s="5"/>
      <c r="AC369" s="5"/>
      <c r="AD369" s="5"/>
    </row>
    <row r="370" spans="8:30" x14ac:dyDescent="0.2">
      <c r="I370" s="5"/>
      <c r="J370" s="5"/>
      <c r="L370" s="69"/>
      <c r="M370" s="49"/>
      <c r="N370" s="49"/>
      <c r="O370" s="49"/>
      <c r="P370" s="49"/>
      <c r="Q370" s="49"/>
      <c r="R370" s="49"/>
      <c r="S370" s="49"/>
      <c r="T370" s="99"/>
      <c r="U370" s="69"/>
      <c r="V370" s="69"/>
      <c r="W370" s="69"/>
      <c r="X370" s="69"/>
      <c r="Y370" s="5"/>
      <c r="Z370" s="5"/>
      <c r="AA370" s="5"/>
      <c r="AB370" s="5"/>
      <c r="AC370" s="5"/>
      <c r="AD370" s="5"/>
    </row>
    <row r="371" spans="8:30" x14ac:dyDescent="0.2">
      <c r="I371" s="5"/>
      <c r="J371" s="5"/>
      <c r="L371" s="69"/>
      <c r="M371" s="49"/>
      <c r="N371" s="49"/>
      <c r="O371" s="49"/>
      <c r="P371" s="49"/>
      <c r="Q371" s="49"/>
      <c r="R371" s="49"/>
      <c r="S371" s="49"/>
      <c r="T371" s="99"/>
      <c r="U371" s="69"/>
      <c r="V371" s="69"/>
      <c r="W371" s="69"/>
      <c r="X371" s="69"/>
      <c r="Y371" s="5"/>
      <c r="Z371" s="5"/>
      <c r="AA371" s="5"/>
      <c r="AB371" s="5"/>
      <c r="AC371" s="5"/>
      <c r="AD371" s="5"/>
    </row>
    <row r="372" spans="8:30" x14ac:dyDescent="0.2">
      <c r="S372" s="49"/>
      <c r="T372" s="99"/>
      <c r="U372" s="69"/>
      <c r="V372" s="69"/>
      <c r="W372" s="69"/>
      <c r="X372" s="69"/>
      <c r="Y372" s="5"/>
      <c r="Z372" s="5"/>
      <c r="AA372" s="5"/>
      <c r="AB372" s="5"/>
      <c r="AC372" s="5"/>
      <c r="AD372" s="5"/>
    </row>
    <row r="373" spans="8:30" x14ac:dyDescent="0.2">
      <c r="S373" s="49"/>
      <c r="T373" s="99"/>
      <c r="U373" s="69"/>
      <c r="V373" s="69"/>
      <c r="W373" s="69"/>
      <c r="X373" s="69"/>
      <c r="Y373" s="5"/>
      <c r="Z373" s="5"/>
      <c r="AA373" s="5"/>
      <c r="AB373" s="5"/>
      <c r="AC373" s="5"/>
      <c r="AD373" s="5"/>
    </row>
    <row r="374" spans="8:30" x14ac:dyDescent="0.2">
      <c r="S374" s="99"/>
      <c r="T374" s="99"/>
      <c r="U374" s="69"/>
      <c r="V374" s="69"/>
      <c r="W374" s="69"/>
      <c r="X374" s="69"/>
      <c r="Y374" s="5"/>
      <c r="Z374" s="5"/>
      <c r="AA374" s="5"/>
      <c r="AB374" s="5"/>
      <c r="AC374" s="5"/>
      <c r="AD374" s="5"/>
    </row>
    <row r="375" spans="8:30" x14ac:dyDescent="0.2">
      <c r="S375" s="99"/>
      <c r="T375" s="99"/>
      <c r="U375" s="69"/>
      <c r="V375" s="69"/>
      <c r="W375" s="69"/>
      <c r="X375" s="69"/>
      <c r="Y375" s="5"/>
      <c r="Z375" s="5"/>
      <c r="AA375" s="5"/>
      <c r="AB375" s="5"/>
      <c r="AC375" s="5"/>
      <c r="AD375" s="5"/>
    </row>
    <row r="376" spans="8:30" x14ac:dyDescent="0.2">
      <c r="S376" s="99"/>
      <c r="T376" s="99"/>
      <c r="U376" s="69"/>
      <c r="V376" s="69"/>
      <c r="W376" s="69"/>
      <c r="X376" s="69"/>
      <c r="Y376" s="5"/>
      <c r="Z376" s="5"/>
      <c r="AA376" s="5"/>
      <c r="AB376" s="5"/>
      <c r="AC376" s="5"/>
      <c r="AD376" s="5"/>
    </row>
    <row r="377" spans="8:30" x14ac:dyDescent="0.2">
      <c r="S377" s="99"/>
      <c r="T377" s="99"/>
      <c r="U377" s="69"/>
      <c r="V377" s="69"/>
      <c r="W377" s="69"/>
      <c r="X377" s="69"/>
      <c r="Y377" s="5"/>
      <c r="Z377" s="5"/>
      <c r="AA377" s="5"/>
      <c r="AB377" s="5"/>
      <c r="AC377" s="5"/>
      <c r="AD377" s="5"/>
    </row>
    <row r="378" spans="8:30" x14ac:dyDescent="0.2">
      <c r="S378" s="99"/>
      <c r="T378" s="99"/>
      <c r="U378" s="69"/>
      <c r="V378" s="69"/>
      <c r="W378" s="69"/>
      <c r="X378" s="69"/>
      <c r="Y378" s="5"/>
      <c r="Z378" s="5"/>
      <c r="AA378" s="5"/>
      <c r="AB378" s="5"/>
      <c r="AC378" s="5"/>
      <c r="AD378" s="5"/>
    </row>
    <row r="379" spans="8:30" x14ac:dyDescent="0.2">
      <c r="S379" s="99"/>
      <c r="T379" s="99"/>
      <c r="U379" s="69"/>
      <c r="V379" s="69"/>
      <c r="W379" s="69"/>
      <c r="X379" s="69"/>
      <c r="Y379" s="5"/>
      <c r="Z379" s="5"/>
      <c r="AA379" s="5"/>
      <c r="AB379" s="5"/>
      <c r="AC379" s="5"/>
      <c r="AD379" s="5"/>
    </row>
    <row r="380" spans="8:30" x14ac:dyDescent="0.2">
      <c r="S380" s="99"/>
      <c r="T380" s="99"/>
      <c r="U380" s="69"/>
      <c r="V380" s="69"/>
      <c r="W380" s="69"/>
      <c r="X380" s="69"/>
      <c r="Y380" s="5"/>
      <c r="Z380" s="5"/>
      <c r="AA380" s="5"/>
      <c r="AB380" s="5"/>
      <c r="AC380" s="5"/>
      <c r="AD380" s="5"/>
    </row>
    <row r="381" spans="8:30" x14ac:dyDescent="0.2">
      <c r="S381" s="99"/>
      <c r="T381" s="99"/>
      <c r="U381" s="69"/>
      <c r="V381" s="69"/>
      <c r="W381" s="69"/>
      <c r="X381" s="69"/>
      <c r="Y381" s="5"/>
      <c r="Z381" s="5"/>
      <c r="AA381" s="5"/>
      <c r="AB381" s="5"/>
      <c r="AC381" s="5"/>
      <c r="AD381" s="5"/>
    </row>
    <row r="382" spans="8:30" x14ac:dyDescent="0.2">
      <c r="S382" s="99"/>
      <c r="T382" s="99"/>
      <c r="U382" s="69"/>
      <c r="V382" s="69"/>
      <c r="W382" s="69"/>
      <c r="X382" s="69"/>
      <c r="Y382" s="5"/>
      <c r="Z382" s="5"/>
      <c r="AA382" s="5"/>
      <c r="AB382" s="5"/>
      <c r="AC382" s="5"/>
      <c r="AD382" s="5"/>
    </row>
    <row r="383" spans="8:30" x14ac:dyDescent="0.2">
      <c r="S383" s="99"/>
      <c r="T383" s="99"/>
      <c r="U383" s="69"/>
      <c r="V383" s="69"/>
      <c r="W383" s="69"/>
      <c r="X383" s="69"/>
      <c r="Y383" s="5"/>
      <c r="Z383" s="5"/>
      <c r="AA383" s="5"/>
      <c r="AB383" s="5"/>
      <c r="AC383" s="5"/>
      <c r="AD383" s="5"/>
    </row>
    <row r="384" spans="8:30" x14ac:dyDescent="0.2">
      <c r="S384" s="99"/>
      <c r="T384" s="99"/>
      <c r="U384" s="69"/>
      <c r="V384" s="69"/>
      <c r="W384" s="69"/>
      <c r="X384" s="69"/>
      <c r="Y384" s="5"/>
      <c r="Z384" s="5"/>
      <c r="AA384" s="5"/>
      <c r="AB384" s="5"/>
      <c r="AC384" s="5"/>
      <c r="AD384" s="5"/>
    </row>
    <row r="385" spans="8:30" x14ac:dyDescent="0.2">
      <c r="S385" s="99"/>
      <c r="T385" s="99"/>
      <c r="U385" s="69"/>
      <c r="V385" s="69"/>
      <c r="W385" s="69"/>
      <c r="X385" s="69"/>
      <c r="Y385" s="5"/>
      <c r="Z385" s="5"/>
      <c r="AA385" s="5"/>
      <c r="AB385" s="5"/>
      <c r="AC385" s="5"/>
      <c r="AD385" s="5"/>
    </row>
    <row r="386" spans="8:30" x14ac:dyDescent="0.2">
      <c r="S386" s="99"/>
      <c r="T386" s="99"/>
      <c r="U386" s="69"/>
      <c r="V386" s="69"/>
      <c r="W386" s="69"/>
      <c r="X386" s="69"/>
      <c r="Y386" s="5"/>
      <c r="Z386" s="5"/>
      <c r="AA386" s="5"/>
      <c r="AB386" s="5"/>
      <c r="AC386" s="5"/>
      <c r="AD386" s="5"/>
    </row>
    <row r="387" spans="8:30" x14ac:dyDescent="0.2">
      <c r="S387" s="99"/>
      <c r="T387" s="99"/>
      <c r="U387" s="69"/>
      <c r="V387" s="69"/>
      <c r="W387" s="69"/>
      <c r="X387" s="69"/>
      <c r="Y387" s="5"/>
      <c r="Z387" s="5"/>
      <c r="AA387" s="5"/>
      <c r="AB387" s="5"/>
      <c r="AC387" s="5"/>
      <c r="AD387" s="5"/>
    </row>
    <row r="388" spans="8:30" x14ac:dyDescent="0.2">
      <c r="S388" s="99"/>
      <c r="T388" s="99"/>
      <c r="U388" s="69"/>
      <c r="V388" s="69"/>
      <c r="W388" s="69"/>
      <c r="X388" s="69"/>
      <c r="Y388" s="5"/>
      <c r="Z388" s="5"/>
      <c r="AA388" s="5"/>
      <c r="AB388" s="5"/>
      <c r="AC388" s="5"/>
      <c r="AD388" s="5"/>
    </row>
    <row r="389" spans="8:30" x14ac:dyDescent="0.2">
      <c r="S389" s="99"/>
      <c r="T389" s="99"/>
      <c r="U389" s="69"/>
      <c r="V389" s="69"/>
      <c r="W389" s="69"/>
      <c r="X389" s="69"/>
      <c r="Y389" s="5"/>
      <c r="Z389" s="5"/>
      <c r="AA389" s="5"/>
      <c r="AB389" s="5"/>
      <c r="AC389" s="5"/>
      <c r="AD389" s="5"/>
    </row>
    <row r="390" spans="8:30" x14ac:dyDescent="0.2">
      <c r="S390" s="99"/>
      <c r="T390" s="99"/>
      <c r="U390" s="69"/>
      <c r="V390" s="69"/>
      <c r="W390" s="69"/>
      <c r="X390" s="69"/>
      <c r="Y390" s="5"/>
      <c r="Z390" s="5"/>
      <c r="AA390" s="5"/>
      <c r="AB390" s="5"/>
      <c r="AC390" s="5"/>
      <c r="AD390" s="5"/>
    </row>
    <row r="391" spans="8:30" x14ac:dyDescent="0.2">
      <c r="S391" s="99"/>
      <c r="T391" s="99"/>
      <c r="U391" s="69"/>
      <c r="V391" s="69"/>
      <c r="W391" s="69"/>
      <c r="X391" s="69"/>
      <c r="Y391" s="5"/>
      <c r="Z391" s="5"/>
      <c r="AA391" s="5"/>
      <c r="AB391" s="5"/>
      <c r="AC391" s="5"/>
      <c r="AD391" s="5"/>
    </row>
    <row r="392" spans="8:30" x14ac:dyDescent="0.2">
      <c r="S392" s="99"/>
      <c r="T392" s="99"/>
      <c r="U392" s="69"/>
      <c r="V392" s="69"/>
      <c r="W392" s="69"/>
      <c r="X392" s="69"/>
      <c r="Y392" s="5"/>
      <c r="Z392" s="5"/>
      <c r="AA392" s="5"/>
      <c r="AB392" s="5"/>
      <c r="AC392" s="5"/>
      <c r="AD392" s="5"/>
    </row>
    <row r="393" spans="8:30" x14ac:dyDescent="0.2">
      <c r="S393" s="99"/>
      <c r="T393" s="99"/>
      <c r="U393" s="69"/>
      <c r="V393" s="69"/>
      <c r="W393" s="69"/>
      <c r="X393" s="69"/>
      <c r="Y393" s="5"/>
      <c r="Z393" s="5"/>
      <c r="AA393" s="5"/>
      <c r="AB393" s="5"/>
      <c r="AC393" s="5"/>
      <c r="AD393" s="5"/>
    </row>
    <row r="394" spans="8:30" x14ac:dyDescent="0.2">
      <c r="S394" s="99"/>
      <c r="T394" s="99"/>
      <c r="U394" s="69"/>
      <c r="V394" s="69"/>
      <c r="W394" s="69"/>
      <c r="X394" s="69"/>
      <c r="Y394" s="5"/>
      <c r="Z394" s="5"/>
      <c r="AA394" s="5"/>
      <c r="AB394" s="5"/>
      <c r="AC394" s="5"/>
      <c r="AD394" s="5"/>
    </row>
    <row r="395" spans="8:30" x14ac:dyDescent="0.2">
      <c r="H395" s="99"/>
      <c r="S395" s="99"/>
      <c r="T395" s="99"/>
      <c r="U395" s="69"/>
      <c r="V395" s="69"/>
      <c r="W395" s="69"/>
      <c r="X395" s="69"/>
      <c r="Y395" s="5"/>
      <c r="Z395" s="5"/>
      <c r="AA395" s="5"/>
      <c r="AB395" s="5"/>
      <c r="AC395" s="5"/>
      <c r="AD395" s="5"/>
    </row>
    <row r="396" spans="8:30" x14ac:dyDescent="0.2">
      <c r="H396" s="99"/>
      <c r="S396" s="99"/>
      <c r="T396" s="99"/>
      <c r="U396" s="69"/>
      <c r="V396" s="69"/>
      <c r="W396" s="69"/>
      <c r="X396" s="69"/>
      <c r="Y396" s="5"/>
      <c r="Z396" s="5"/>
      <c r="AA396" s="5"/>
      <c r="AB396" s="5"/>
      <c r="AC396" s="5"/>
      <c r="AD396" s="5"/>
    </row>
    <row r="397" spans="8:30" x14ac:dyDescent="0.2">
      <c r="H397" s="99"/>
      <c r="S397" s="99"/>
      <c r="T397" s="99"/>
      <c r="U397" s="69"/>
      <c r="V397" s="69"/>
      <c r="W397" s="69"/>
      <c r="X397" s="69"/>
      <c r="Y397" s="5"/>
      <c r="Z397" s="5"/>
      <c r="AA397" s="5"/>
      <c r="AB397" s="5"/>
      <c r="AC397" s="5"/>
      <c r="AD397" s="5"/>
    </row>
    <row r="398" spans="8:30" x14ac:dyDescent="0.2">
      <c r="H398" s="99"/>
      <c r="S398" s="99"/>
      <c r="T398" s="99"/>
      <c r="U398" s="69"/>
      <c r="V398" s="69"/>
      <c r="W398" s="69"/>
      <c r="X398" s="69"/>
      <c r="Y398" s="5"/>
      <c r="Z398" s="5"/>
      <c r="AA398" s="5"/>
      <c r="AB398" s="5"/>
      <c r="AC398" s="5"/>
      <c r="AD398" s="5"/>
    </row>
    <row r="399" spans="8:30" x14ac:dyDescent="0.2">
      <c r="H399" s="99"/>
      <c r="S399" s="99"/>
      <c r="T399" s="99"/>
      <c r="U399" s="69"/>
      <c r="V399" s="69"/>
      <c r="W399" s="69"/>
      <c r="X399" s="69"/>
      <c r="Y399" s="5"/>
      <c r="Z399" s="5"/>
      <c r="AA399" s="5"/>
      <c r="AB399" s="5"/>
      <c r="AC399" s="5"/>
      <c r="AD399" s="5"/>
    </row>
    <row r="400" spans="8:30" x14ac:dyDescent="0.2">
      <c r="H400" s="99"/>
      <c r="S400" s="99"/>
      <c r="T400" s="99"/>
      <c r="U400" s="69"/>
      <c r="V400" s="69"/>
      <c r="W400" s="69"/>
      <c r="X400" s="69"/>
      <c r="Y400" s="5"/>
      <c r="Z400" s="5"/>
      <c r="AA400" s="5"/>
      <c r="AB400" s="5"/>
      <c r="AC400" s="5"/>
      <c r="AD400" s="5"/>
    </row>
    <row r="401" spans="8:30" x14ac:dyDescent="0.2">
      <c r="H401" s="99"/>
      <c r="S401" s="99"/>
      <c r="T401" s="99"/>
      <c r="U401" s="69"/>
      <c r="V401" s="69"/>
      <c r="W401" s="69"/>
      <c r="X401" s="69"/>
      <c r="Y401" s="5"/>
      <c r="Z401" s="5"/>
      <c r="AA401" s="5"/>
      <c r="AB401" s="5"/>
      <c r="AC401" s="5"/>
      <c r="AD401" s="5"/>
    </row>
    <row r="402" spans="8:30" x14ac:dyDescent="0.2">
      <c r="H402" s="99"/>
      <c r="S402" s="99"/>
      <c r="T402" s="99"/>
      <c r="U402" s="490"/>
      <c r="V402" s="490"/>
      <c r="W402" s="490"/>
      <c r="X402" s="490"/>
      <c r="Y402" s="5"/>
      <c r="Z402" s="5"/>
      <c r="AA402" s="5"/>
      <c r="AB402" s="5"/>
      <c r="AC402" s="5"/>
      <c r="AD402" s="5"/>
    </row>
    <row r="403" spans="8:30" x14ac:dyDescent="0.2">
      <c r="H403" s="99"/>
      <c r="S403" s="99"/>
      <c r="T403" s="99"/>
      <c r="U403" s="490"/>
      <c r="V403" s="490"/>
      <c r="W403" s="490"/>
      <c r="X403" s="490"/>
      <c r="Y403" s="5"/>
      <c r="Z403" s="5"/>
      <c r="AA403" s="5"/>
      <c r="AB403" s="5"/>
      <c r="AC403" s="5"/>
      <c r="AD403" s="5"/>
    </row>
    <row r="404" spans="8:30" x14ac:dyDescent="0.2">
      <c r="H404" s="99"/>
      <c r="S404" s="99"/>
      <c r="T404" s="99"/>
      <c r="U404" s="491"/>
      <c r="V404" s="491"/>
      <c r="W404" s="491"/>
      <c r="X404" s="491"/>
      <c r="Y404" s="492"/>
      <c r="Z404" s="493"/>
      <c r="AA404" s="494"/>
      <c r="AB404" s="494"/>
      <c r="AC404" s="493"/>
      <c r="AD404" s="493"/>
    </row>
    <row r="405" spans="8:30" x14ac:dyDescent="0.2">
      <c r="H405" s="99"/>
      <c r="S405" s="99"/>
      <c r="T405" s="99"/>
      <c r="U405" s="69"/>
      <c r="V405" s="69"/>
      <c r="W405" s="69"/>
      <c r="X405" s="69"/>
      <c r="Y405" s="5"/>
      <c r="Z405" s="5"/>
      <c r="AA405" s="5"/>
      <c r="AB405" s="5"/>
      <c r="AC405" s="5"/>
      <c r="AD405" s="5"/>
    </row>
    <row r="406" spans="8:30" x14ac:dyDescent="0.2">
      <c r="H406" s="99"/>
      <c r="S406" s="99"/>
      <c r="T406" s="99"/>
      <c r="U406" s="69"/>
      <c r="V406" s="69"/>
      <c r="W406" s="69"/>
      <c r="X406" s="69"/>
      <c r="Y406" s="5"/>
      <c r="Z406" s="5"/>
      <c r="AA406" s="5"/>
      <c r="AB406" s="5"/>
      <c r="AC406" s="5"/>
      <c r="AD406" s="5"/>
    </row>
    <row r="407" spans="8:30" x14ac:dyDescent="0.2">
      <c r="H407" s="99"/>
      <c r="S407" s="99"/>
      <c r="T407" s="99"/>
      <c r="U407" s="69"/>
      <c r="V407" s="69"/>
      <c r="W407" s="69"/>
      <c r="X407" s="69"/>
      <c r="Y407" s="5"/>
      <c r="Z407" s="5"/>
      <c r="AA407" s="5"/>
      <c r="AB407" s="5"/>
      <c r="AC407" s="5"/>
      <c r="AD407" s="5"/>
    </row>
    <row r="408" spans="8:30" x14ac:dyDescent="0.2">
      <c r="H408" s="99"/>
      <c r="S408" s="99"/>
      <c r="T408" s="99"/>
      <c r="U408" s="69"/>
      <c r="V408" s="69"/>
      <c r="W408" s="69"/>
      <c r="X408" s="69"/>
      <c r="Y408" s="5"/>
      <c r="Z408" s="5"/>
      <c r="AA408" s="5"/>
      <c r="AB408" s="5"/>
      <c r="AC408" s="5"/>
      <c r="AD408" s="5"/>
    </row>
    <row r="409" spans="8:30" x14ac:dyDescent="0.2">
      <c r="H409" s="99"/>
      <c r="S409" s="99"/>
      <c r="T409" s="99"/>
      <c r="U409" s="69"/>
      <c r="V409" s="69"/>
      <c r="W409" s="69"/>
      <c r="X409" s="69"/>
      <c r="Y409" s="5"/>
      <c r="Z409" s="5"/>
      <c r="AA409" s="5"/>
      <c r="AB409" s="5"/>
      <c r="AC409" s="5"/>
      <c r="AD409" s="5"/>
    </row>
    <row r="410" spans="8:30" x14ac:dyDescent="0.2">
      <c r="H410" s="99"/>
      <c r="S410" s="99"/>
      <c r="T410" s="99"/>
      <c r="U410" s="69"/>
      <c r="V410" s="69"/>
      <c r="W410" s="69"/>
      <c r="X410" s="69"/>
      <c r="Y410" s="5"/>
      <c r="Z410" s="5"/>
      <c r="AA410" s="5"/>
      <c r="AB410" s="5"/>
      <c r="AC410" s="5"/>
      <c r="AD410" s="5"/>
    </row>
    <row r="411" spans="8:30" x14ac:dyDescent="0.2">
      <c r="H411" s="99"/>
      <c r="S411" s="99"/>
      <c r="T411" s="99"/>
      <c r="U411" s="69"/>
      <c r="V411" s="69"/>
      <c r="W411" s="69"/>
      <c r="X411" s="69"/>
      <c r="Y411" s="5"/>
      <c r="Z411" s="5"/>
      <c r="AA411" s="5"/>
      <c r="AB411" s="5"/>
      <c r="AC411" s="5"/>
      <c r="AD411" s="5"/>
    </row>
    <row r="412" spans="8:30" x14ac:dyDescent="0.2">
      <c r="H412" s="99"/>
      <c r="S412" s="99"/>
      <c r="T412" s="99"/>
      <c r="U412" s="69"/>
      <c r="V412" s="69"/>
      <c r="W412" s="69"/>
      <c r="X412" s="69"/>
      <c r="Y412" s="5"/>
      <c r="Z412" s="5"/>
      <c r="AA412" s="5"/>
      <c r="AB412" s="5"/>
      <c r="AC412" s="5"/>
      <c r="AD412" s="5"/>
    </row>
    <row r="413" spans="8:30" x14ac:dyDescent="0.2">
      <c r="H413" s="99"/>
      <c r="S413" s="99"/>
      <c r="T413" s="99"/>
      <c r="U413" s="69"/>
      <c r="V413" s="69"/>
      <c r="W413" s="69"/>
      <c r="X413" s="69"/>
      <c r="Y413" s="5"/>
      <c r="Z413" s="5"/>
      <c r="AA413" s="5"/>
      <c r="AB413" s="5"/>
      <c r="AC413" s="5"/>
      <c r="AD413" s="5"/>
    </row>
    <row r="414" spans="8:30" x14ac:dyDescent="0.2">
      <c r="H414" s="99"/>
      <c r="S414" s="99"/>
      <c r="T414" s="99"/>
      <c r="U414" s="69"/>
      <c r="V414" s="69"/>
      <c r="W414" s="69"/>
      <c r="X414" s="69"/>
      <c r="Y414" s="5"/>
      <c r="Z414" s="5"/>
      <c r="AA414" s="5"/>
      <c r="AB414" s="5"/>
      <c r="AC414" s="5"/>
      <c r="AD414" s="5"/>
    </row>
    <row r="415" spans="8:30" x14ac:dyDescent="0.2">
      <c r="H415" s="99"/>
      <c r="S415" s="99"/>
      <c r="T415" s="99"/>
      <c r="U415" s="69"/>
      <c r="V415" s="69"/>
      <c r="W415" s="69"/>
      <c r="X415" s="69"/>
      <c r="Y415" s="5"/>
      <c r="Z415" s="5"/>
      <c r="AA415" s="5"/>
      <c r="AB415" s="5"/>
      <c r="AC415" s="5"/>
      <c r="AD415" s="5"/>
    </row>
    <row r="416" spans="8:30" x14ac:dyDescent="0.2">
      <c r="H416" s="99"/>
      <c r="S416" s="99"/>
      <c r="T416" s="99"/>
      <c r="U416" s="69"/>
      <c r="V416" s="69"/>
      <c r="W416" s="69"/>
      <c r="X416" s="69"/>
      <c r="Y416" s="5"/>
      <c r="Z416" s="5"/>
      <c r="AA416" s="5"/>
      <c r="AB416" s="5"/>
      <c r="AC416" s="5"/>
      <c r="AD416" s="5"/>
    </row>
    <row r="417" spans="8:30" x14ac:dyDescent="0.2">
      <c r="H417" s="99"/>
      <c r="S417" s="99"/>
      <c r="T417" s="99"/>
      <c r="U417" s="69"/>
      <c r="V417" s="69"/>
      <c r="W417" s="69"/>
      <c r="X417" s="69"/>
      <c r="Y417" s="5"/>
      <c r="Z417" s="5"/>
      <c r="AA417" s="5"/>
      <c r="AB417" s="5"/>
      <c r="AC417" s="5"/>
      <c r="AD417" s="5"/>
    </row>
    <row r="418" spans="8:30" x14ac:dyDescent="0.2">
      <c r="S418" s="99"/>
      <c r="T418" s="99"/>
      <c r="U418" s="69"/>
      <c r="V418" s="69"/>
      <c r="W418" s="69"/>
      <c r="X418" s="69"/>
      <c r="Y418" s="5"/>
      <c r="Z418" s="5"/>
      <c r="AA418" s="5"/>
      <c r="AB418" s="5"/>
      <c r="AC418" s="5"/>
      <c r="AD418" s="5"/>
    </row>
    <row r="419" spans="8:30" x14ac:dyDescent="0.2">
      <c r="S419" s="99"/>
      <c r="T419" s="99"/>
      <c r="U419" s="69"/>
      <c r="V419" s="69"/>
      <c r="W419" s="69"/>
      <c r="X419" s="69"/>
      <c r="Y419" s="5"/>
      <c r="Z419" s="5"/>
      <c r="AA419" s="5"/>
      <c r="AB419" s="5"/>
      <c r="AC419" s="5"/>
      <c r="AD419" s="5"/>
    </row>
    <row r="420" spans="8:30" x14ac:dyDescent="0.2">
      <c r="S420" s="99"/>
      <c r="T420" s="99"/>
      <c r="U420" s="69"/>
      <c r="V420" s="69"/>
      <c r="W420" s="69"/>
      <c r="X420" s="69"/>
      <c r="Y420" s="5"/>
      <c r="Z420" s="5"/>
      <c r="AA420" s="5"/>
      <c r="AB420" s="5"/>
      <c r="AC420" s="5"/>
      <c r="AD420" s="5"/>
    </row>
    <row r="421" spans="8:30" x14ac:dyDescent="0.2">
      <c r="S421" s="99"/>
      <c r="T421" s="99"/>
      <c r="U421" s="69"/>
      <c r="V421" s="69"/>
      <c r="W421" s="69"/>
      <c r="X421" s="69"/>
      <c r="Y421" s="5"/>
      <c r="Z421" s="5"/>
      <c r="AA421" s="5"/>
      <c r="AB421" s="5"/>
      <c r="AC421" s="5"/>
      <c r="AD421" s="5"/>
    </row>
    <row r="422" spans="8:30" x14ac:dyDescent="0.2">
      <c r="S422" s="99"/>
      <c r="T422" s="99"/>
      <c r="U422" s="69"/>
      <c r="V422" s="69"/>
      <c r="W422" s="69"/>
      <c r="X422" s="69"/>
      <c r="Y422" s="5"/>
      <c r="Z422" s="5"/>
      <c r="AA422" s="5"/>
      <c r="AB422" s="5"/>
      <c r="AC422" s="5"/>
      <c r="AD422" s="5"/>
    </row>
    <row r="423" spans="8:30" x14ac:dyDescent="0.2">
      <c r="S423" s="99"/>
      <c r="T423" s="99"/>
      <c r="U423" s="69"/>
      <c r="V423" s="69"/>
      <c r="W423" s="69"/>
      <c r="X423" s="69"/>
      <c r="Y423" s="5"/>
      <c r="Z423" s="5"/>
      <c r="AA423" s="5"/>
      <c r="AB423" s="5"/>
      <c r="AC423" s="5"/>
      <c r="AD423" s="5"/>
    </row>
    <row r="424" spans="8:30" x14ac:dyDescent="0.2">
      <c r="S424" s="99"/>
      <c r="T424" s="7"/>
      <c r="U424" s="5"/>
      <c r="V424" s="5"/>
      <c r="W424" s="5"/>
      <c r="X424" s="5"/>
      <c r="Y424" s="5"/>
      <c r="Z424" s="5"/>
      <c r="AA424" s="5"/>
      <c r="AB424" s="5"/>
      <c r="AC424" s="5"/>
      <c r="AD424" s="5"/>
    </row>
    <row r="425" spans="8:30" x14ac:dyDescent="0.2">
      <c r="S425" s="99"/>
      <c r="T425" s="7"/>
      <c r="U425" s="5"/>
      <c r="V425" s="5"/>
      <c r="W425" s="5"/>
      <c r="X425" s="5"/>
      <c r="Y425" s="5"/>
      <c r="Z425" s="5"/>
      <c r="AA425" s="5"/>
      <c r="AB425" s="5"/>
      <c r="AC425" s="5"/>
      <c r="AD425" s="5"/>
    </row>
    <row r="426" spans="8:30" x14ac:dyDescent="0.2">
      <c r="S426" s="99"/>
      <c r="T426" s="7"/>
      <c r="U426" s="5"/>
      <c r="V426" s="5"/>
      <c r="W426" s="5"/>
      <c r="X426" s="5"/>
      <c r="Y426" s="5"/>
      <c r="Z426" s="5"/>
      <c r="AA426" s="5"/>
      <c r="AB426" s="5"/>
      <c r="AC426" s="5"/>
      <c r="AD426" s="5"/>
    </row>
    <row r="427" spans="8:30" x14ac:dyDescent="0.2">
      <c r="S427" s="99"/>
      <c r="T427" s="7"/>
      <c r="U427" s="5"/>
      <c r="V427" s="5"/>
      <c r="W427" s="5"/>
      <c r="X427" s="5"/>
      <c r="Y427" s="5"/>
      <c r="Z427" s="5"/>
      <c r="AA427" s="5"/>
      <c r="AB427" s="5"/>
      <c r="AC427" s="5"/>
      <c r="AD427" s="5"/>
    </row>
    <row r="428" spans="8:30" x14ac:dyDescent="0.2">
      <c r="S428" s="99"/>
      <c r="T428" s="7"/>
      <c r="U428" s="5"/>
      <c r="V428" s="5"/>
      <c r="W428" s="5"/>
      <c r="X428" s="5"/>
      <c r="Y428" s="5"/>
      <c r="Z428" s="5"/>
      <c r="AA428" s="5"/>
      <c r="AB428" s="5"/>
      <c r="AC428" s="5"/>
      <c r="AD428" s="5"/>
    </row>
    <row r="429" spans="8:30" x14ac:dyDescent="0.2">
      <c r="S429" s="99"/>
      <c r="T429" s="7"/>
      <c r="U429" s="5"/>
      <c r="V429" s="5"/>
      <c r="W429" s="5"/>
      <c r="X429" s="5"/>
      <c r="Y429" s="5"/>
      <c r="Z429" s="5"/>
      <c r="AA429" s="5"/>
      <c r="AB429" s="5"/>
      <c r="AC429" s="5"/>
      <c r="AD429" s="5"/>
    </row>
    <row r="430" spans="8:30" x14ac:dyDescent="0.2">
      <c r="S430" s="99"/>
      <c r="T430" s="7"/>
      <c r="U430" s="5"/>
      <c r="V430" s="5"/>
      <c r="W430" s="5"/>
      <c r="X430" s="5"/>
      <c r="Y430" s="5"/>
      <c r="Z430" s="5"/>
      <c r="AA430" s="5"/>
      <c r="AB430" s="5"/>
      <c r="AC430" s="5"/>
      <c r="AD430" s="5"/>
    </row>
    <row r="431" spans="8:30" x14ac:dyDescent="0.2">
      <c r="S431" s="99"/>
      <c r="T431" s="7"/>
      <c r="U431" s="5"/>
      <c r="V431" s="5"/>
      <c r="W431" s="5"/>
      <c r="X431" s="5"/>
      <c r="Y431" s="5"/>
      <c r="Z431" s="5"/>
      <c r="AA431" s="5"/>
      <c r="AB431" s="5"/>
      <c r="AC431" s="5"/>
      <c r="AD431" s="5"/>
    </row>
    <row r="432" spans="8:30" x14ac:dyDescent="0.2">
      <c r="S432" s="99"/>
      <c r="T432" s="7"/>
      <c r="U432" s="5"/>
      <c r="V432" s="5"/>
      <c r="W432" s="5"/>
      <c r="X432" s="5"/>
      <c r="Y432" s="5"/>
      <c r="Z432" s="5"/>
      <c r="AA432" s="5"/>
      <c r="AB432" s="5"/>
      <c r="AC432" s="5"/>
      <c r="AD432" s="5"/>
    </row>
    <row r="433" spans="9:30" x14ac:dyDescent="0.2">
      <c r="S433" s="99"/>
      <c r="T433" s="7"/>
      <c r="U433" s="5"/>
      <c r="V433" s="5"/>
      <c r="W433" s="5"/>
      <c r="X433" s="5"/>
      <c r="Y433" s="5"/>
      <c r="Z433" s="5"/>
      <c r="AA433" s="5"/>
      <c r="AB433" s="5"/>
      <c r="AC433" s="5"/>
      <c r="AD433" s="5"/>
    </row>
    <row r="434" spans="9:30" x14ac:dyDescent="0.2">
      <c r="S434" s="99"/>
      <c r="T434" s="7"/>
      <c r="U434" s="5"/>
      <c r="V434" s="5"/>
      <c r="W434" s="5"/>
      <c r="X434" s="5"/>
      <c r="Y434" s="5"/>
      <c r="Z434" s="5"/>
      <c r="AA434" s="5"/>
      <c r="AB434" s="5"/>
      <c r="AC434" s="5"/>
      <c r="AD434" s="5"/>
    </row>
    <row r="435" spans="9:30" x14ac:dyDescent="0.2">
      <c r="S435" s="7"/>
      <c r="T435" s="7"/>
      <c r="U435" s="5"/>
      <c r="V435" s="5"/>
      <c r="W435" s="5"/>
      <c r="X435" s="5"/>
      <c r="Y435" s="5"/>
      <c r="Z435" s="5"/>
      <c r="AA435" s="5"/>
      <c r="AB435" s="5"/>
      <c r="AC435" s="5"/>
      <c r="AD435" s="5"/>
    </row>
    <row r="436" spans="9:30" x14ac:dyDescent="0.2">
      <c r="S436" s="7"/>
      <c r="T436" s="7"/>
      <c r="U436" s="5"/>
      <c r="V436" s="5"/>
      <c r="W436" s="5"/>
      <c r="X436" s="5"/>
      <c r="Y436" s="5"/>
      <c r="Z436" s="5"/>
      <c r="AA436" s="5"/>
      <c r="AB436" s="5"/>
      <c r="AC436" s="5"/>
      <c r="AD436" s="5"/>
    </row>
    <row r="437" spans="9:30" x14ac:dyDescent="0.2">
      <c r="S437" s="7"/>
      <c r="T437" s="7"/>
      <c r="U437" s="5"/>
      <c r="V437" s="5"/>
      <c r="W437" s="5"/>
      <c r="X437" s="5"/>
      <c r="Y437" s="5"/>
      <c r="Z437" s="5"/>
      <c r="AA437" s="5"/>
      <c r="AB437" s="5"/>
      <c r="AC437" s="5"/>
      <c r="AD437" s="5"/>
    </row>
    <row r="438" spans="9:30" x14ac:dyDescent="0.2">
      <c r="S438" s="7"/>
      <c r="T438" s="7"/>
      <c r="U438" s="5"/>
      <c r="V438" s="5"/>
      <c r="W438" s="5"/>
      <c r="X438" s="5"/>
      <c r="Y438" s="5"/>
      <c r="Z438" s="5"/>
      <c r="AA438" s="5"/>
      <c r="AB438" s="5"/>
      <c r="AC438" s="5"/>
      <c r="AD438" s="5"/>
    </row>
    <row r="439" spans="9:30" x14ac:dyDescent="0.2">
      <c r="S439" s="7"/>
      <c r="T439" s="7"/>
      <c r="U439" s="5"/>
      <c r="V439" s="5"/>
      <c r="W439" s="5"/>
      <c r="X439" s="5"/>
      <c r="Y439" s="5"/>
      <c r="Z439" s="5"/>
      <c r="AA439" s="5"/>
      <c r="AB439" s="5"/>
      <c r="AC439" s="5"/>
      <c r="AD439" s="5"/>
    </row>
    <row r="440" spans="9:30" x14ac:dyDescent="0.2">
      <c r="S440" s="7"/>
      <c r="T440" s="7"/>
      <c r="U440" s="5"/>
      <c r="V440" s="5"/>
      <c r="W440" s="5"/>
      <c r="X440" s="5"/>
      <c r="Y440" s="5"/>
      <c r="Z440" s="5"/>
      <c r="AA440" s="5"/>
      <c r="AB440" s="5"/>
      <c r="AC440" s="5"/>
      <c r="AD440" s="5"/>
    </row>
    <row r="441" spans="9:30" x14ac:dyDescent="0.2">
      <c r="I441" s="5"/>
      <c r="J441" s="5"/>
      <c r="N441" s="391"/>
      <c r="O441" s="391"/>
      <c r="S441" s="7"/>
      <c r="T441" s="7"/>
      <c r="U441" s="5"/>
      <c r="V441" s="5"/>
      <c r="W441" s="5"/>
      <c r="X441" s="5"/>
      <c r="Y441" s="5"/>
      <c r="Z441" s="5"/>
      <c r="AA441" s="5"/>
      <c r="AB441" s="5"/>
      <c r="AC441" s="5"/>
      <c r="AD441" s="5"/>
    </row>
    <row r="442" spans="9:30" x14ac:dyDescent="0.2">
      <c r="I442" s="5"/>
      <c r="J442" s="5"/>
      <c r="N442" s="391"/>
      <c r="O442" s="391"/>
      <c r="S442" s="7"/>
      <c r="T442" s="7"/>
      <c r="U442" s="5"/>
      <c r="V442" s="5"/>
      <c r="W442" s="5"/>
      <c r="X442" s="5"/>
      <c r="Y442" s="5"/>
      <c r="Z442" s="5"/>
      <c r="AA442" s="5"/>
      <c r="AB442" s="5"/>
      <c r="AC442" s="5"/>
      <c r="AD442" s="5"/>
    </row>
    <row r="443" spans="9:30" x14ac:dyDescent="0.2">
      <c r="I443" s="5"/>
      <c r="J443" s="5"/>
      <c r="N443" s="391"/>
      <c r="O443" s="391"/>
      <c r="S443" s="7"/>
      <c r="T443" s="7"/>
      <c r="U443" s="5"/>
      <c r="V443" s="5"/>
      <c r="W443" s="5"/>
      <c r="X443" s="5"/>
      <c r="Y443" s="5"/>
      <c r="Z443" s="5"/>
      <c r="AA443" s="5"/>
      <c r="AB443" s="5"/>
      <c r="AC443" s="5"/>
      <c r="AD443" s="5"/>
    </row>
  </sheetData>
  <dataConsolidate/>
  <mergeCells count="1211">
    <mergeCell ref="BK259:BN259"/>
    <mergeCell ref="N240:P240"/>
    <mergeCell ref="N241:P241"/>
    <mergeCell ref="C10:K10"/>
    <mergeCell ref="H85:J85"/>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P28:P30"/>
    <mergeCell ref="M28:M30"/>
    <mergeCell ref="J28:J30"/>
    <mergeCell ref="H242:J242"/>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H83:J83"/>
    <mergeCell ref="H84:J84"/>
    <mergeCell ref="F194:G194"/>
    <mergeCell ref="F185:G185"/>
    <mergeCell ref="F186:G186"/>
    <mergeCell ref="F187:G187"/>
    <mergeCell ref="F200:G200"/>
    <mergeCell ref="F201:G201"/>
    <mergeCell ref="F202:G202"/>
    <mergeCell ref="F203:G203"/>
    <mergeCell ref="F204:G204"/>
    <mergeCell ref="F205:G205"/>
    <mergeCell ref="H237:J237"/>
    <mergeCell ref="F195:G195"/>
    <mergeCell ref="F196:G196"/>
    <mergeCell ref="F197:G197"/>
    <mergeCell ref="Q237:S237"/>
    <mergeCell ref="Q238:S238"/>
    <mergeCell ref="Q239:S239"/>
    <mergeCell ref="T237:V237"/>
    <mergeCell ref="T238:V238"/>
    <mergeCell ref="T239:V239"/>
    <mergeCell ref="K237:M237"/>
    <mergeCell ref="K238:M238"/>
    <mergeCell ref="K239:M239"/>
    <mergeCell ref="K242:M242"/>
    <mergeCell ref="Y178:Y184"/>
    <mergeCell ref="AB178:AB184"/>
    <mergeCell ref="AC238:AE238"/>
    <mergeCell ref="AC239:AE239"/>
    <mergeCell ref="Q88:S88"/>
    <mergeCell ref="Q89:S89"/>
    <mergeCell ref="H238:J238"/>
    <mergeCell ref="H239:J239"/>
    <mergeCell ref="W238:Y238"/>
    <mergeCell ref="W239:Y239"/>
    <mergeCell ref="W237:Y237"/>
    <mergeCell ref="N237:P237"/>
    <mergeCell ref="Q92:S92"/>
    <mergeCell ref="T92:V92"/>
    <mergeCell ref="K92:M92"/>
    <mergeCell ref="N92:P92"/>
    <mergeCell ref="H177:J177"/>
    <mergeCell ref="K177:M177"/>
    <mergeCell ref="N177:P177"/>
    <mergeCell ref="Q177:S177"/>
    <mergeCell ref="AB102:AB167"/>
    <mergeCell ref="F167:AA167"/>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K243:M243"/>
    <mergeCell ref="F242:G242"/>
    <mergeCell ref="F243:G243"/>
    <mergeCell ref="K259:Q259"/>
    <mergeCell ref="Q260:Q261"/>
    <mergeCell ref="Q247:S247"/>
    <mergeCell ref="K247:M247"/>
    <mergeCell ref="K244:M244"/>
    <mergeCell ref="K245:M245"/>
    <mergeCell ref="H243:J243"/>
    <mergeCell ref="Q242:S242"/>
    <mergeCell ref="P260:P261"/>
    <mergeCell ref="Q243:S243"/>
    <mergeCell ref="Q244:S244"/>
    <mergeCell ref="Q245:S245"/>
    <mergeCell ref="F161:G161"/>
    <mergeCell ref="F162:G162"/>
    <mergeCell ref="F163:G163"/>
    <mergeCell ref="F164:G164"/>
    <mergeCell ref="F165:G165"/>
    <mergeCell ref="J178:J184"/>
    <mergeCell ref="M178:M184"/>
    <mergeCell ref="P178:P184"/>
    <mergeCell ref="S178:S184"/>
    <mergeCell ref="E176:F176"/>
    <mergeCell ref="F166:G166"/>
    <mergeCell ref="H240:J240"/>
    <mergeCell ref="H241:J241"/>
    <mergeCell ref="K240:M240"/>
    <mergeCell ref="K241:M241"/>
    <mergeCell ref="F241:G241"/>
    <mergeCell ref="F240:G240"/>
    <mergeCell ref="F239:G239"/>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BJ260:BJ261"/>
    <mergeCell ref="BS260:BS261"/>
    <mergeCell ref="CR260:CR26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N88:P88"/>
    <mergeCell ref="N89:P89"/>
    <mergeCell ref="N90:P90"/>
    <mergeCell ref="N91:P91"/>
    <mergeCell ref="N83:P83"/>
    <mergeCell ref="N84:P84"/>
    <mergeCell ref="N85:P85"/>
    <mergeCell ref="W88:Y88"/>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AF240:AH240"/>
    <mergeCell ref="AF241:AH241"/>
    <mergeCell ref="AC237:AE237"/>
    <mergeCell ref="AI88:AK88"/>
    <mergeCell ref="AI89:AK89"/>
    <mergeCell ref="AI90:AK90"/>
    <mergeCell ref="AI91:AK91"/>
    <mergeCell ref="AI92:AK92"/>
    <mergeCell ref="AF92:AH92"/>
    <mergeCell ref="AC88:AE88"/>
    <mergeCell ref="AC89:AE89"/>
    <mergeCell ref="AC90:AE90"/>
    <mergeCell ref="AC91:AE91"/>
    <mergeCell ref="AC92:AE92"/>
    <mergeCell ref="AI237:AK237"/>
    <mergeCell ref="AI238:AK238"/>
    <mergeCell ref="AI240:AK240"/>
    <mergeCell ref="AI239:AK239"/>
    <mergeCell ref="AF89:AH89"/>
    <mergeCell ref="AF90:AH90"/>
    <mergeCell ref="AF91:AH91"/>
    <mergeCell ref="AC177:AE177"/>
    <mergeCell ref="AF177:AH177"/>
    <mergeCell ref="AI177:AK177"/>
    <mergeCell ref="AE178:AE184"/>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AC246:AE246"/>
    <mergeCell ref="Z246:AB246"/>
    <mergeCell ref="Z245:AB245"/>
    <mergeCell ref="Z242:AB242"/>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AR245:AT245"/>
    <mergeCell ref="AR246:AT246"/>
    <mergeCell ref="BD260:BD261"/>
    <mergeCell ref="AS260:AS261"/>
    <mergeCell ref="T242:V242"/>
    <mergeCell ref="T243:V243"/>
    <mergeCell ref="T244:V244"/>
    <mergeCell ref="T245:V245"/>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CC260:CC261"/>
    <mergeCell ref="CB260:CB261"/>
    <mergeCell ref="BT260:BT261"/>
    <mergeCell ref="BE260:BE261"/>
    <mergeCell ref="AP260:AP261"/>
    <mergeCell ref="AX260:AX261"/>
    <mergeCell ref="AI247:AK247"/>
    <mergeCell ref="AC247:AE247"/>
    <mergeCell ref="T247:V247"/>
    <mergeCell ref="W246:Y246"/>
    <mergeCell ref="W247:Y247"/>
    <mergeCell ref="H86:J86"/>
    <mergeCell ref="H87:J8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BV91:BX91"/>
    <mergeCell ref="BV92:BX92"/>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CB91:CD91"/>
    <mergeCell ref="CB92:CD92"/>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CH91:CJ91"/>
    <mergeCell ref="CH92:CJ92"/>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N91:CP91"/>
    <mergeCell ref="CN92:CP92"/>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T91:CV91"/>
    <mergeCell ref="CT92:CV92"/>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CZ91:DB91"/>
    <mergeCell ref="CZ92:DB92"/>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DF91:DH91"/>
    <mergeCell ref="DF92:DH92"/>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DL91:DN91"/>
    <mergeCell ref="DL92:DN92"/>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R91:DT91"/>
    <mergeCell ref="DR92:DT92"/>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F222:G222"/>
    <mergeCell ref="F223:G223"/>
    <mergeCell ref="F224:G224"/>
    <mergeCell ref="F225:G225"/>
    <mergeCell ref="F226:G226"/>
    <mergeCell ref="F227:G227"/>
    <mergeCell ref="F228:G228"/>
    <mergeCell ref="F229:G229"/>
    <mergeCell ref="F230:G230"/>
    <mergeCell ref="F213:G213"/>
    <mergeCell ref="F214:G214"/>
    <mergeCell ref="F215:G215"/>
    <mergeCell ref="F216:G216"/>
    <mergeCell ref="F217:G217"/>
    <mergeCell ref="F218:G218"/>
    <mergeCell ref="F219:G219"/>
    <mergeCell ref="F220:G220"/>
    <mergeCell ref="F221:G221"/>
    <mergeCell ref="AO177:AQ177"/>
    <mergeCell ref="AQ178:AQ184"/>
    <mergeCell ref="AO237:AQ237"/>
    <mergeCell ref="AO238:AQ238"/>
    <mergeCell ref="AO239:AQ239"/>
    <mergeCell ref="AO240:AQ240"/>
    <mergeCell ref="AO241:AQ241"/>
    <mergeCell ref="AO242:AQ242"/>
    <mergeCell ref="AO243:AQ243"/>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AR247:AT247"/>
    <mergeCell ref="AU177:AW177"/>
    <mergeCell ref="AW178:AW184"/>
    <mergeCell ref="AU237:AW237"/>
    <mergeCell ref="AU238:AW238"/>
    <mergeCell ref="AU239:AW239"/>
    <mergeCell ref="AU240:AW240"/>
    <mergeCell ref="AU241:AW241"/>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X244:AZ244"/>
    <mergeCell ref="AX245:AZ245"/>
    <mergeCell ref="AX246:AZ246"/>
    <mergeCell ref="AX247:AZ247"/>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DR239:DT239"/>
    <mergeCell ref="DR240:DT240"/>
    <mergeCell ref="DR241:DT241"/>
    <mergeCell ref="DR242:DT242"/>
    <mergeCell ref="DR243:DT243"/>
    <mergeCell ref="DL244:DN244"/>
    <mergeCell ref="DL245:DN245"/>
    <mergeCell ref="DL246:DN246"/>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B103:E167"/>
    <mergeCell ref="H102:AA106"/>
    <mergeCell ref="B177:G184"/>
    <mergeCell ref="B185:D248"/>
    <mergeCell ref="E236:E248"/>
    <mergeCell ref="F248:DX248"/>
    <mergeCell ref="I176:DX176"/>
    <mergeCell ref="B258:E312"/>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s>
  <dataValidations xWindow="668" yWindow="412" count="18">
    <dataValidation type="list" allowBlank="1" showInputMessage="1" showErrorMessage="1" prompt="Renewability. YES=1; NO=0" sqref="R262:R311">
      <formula1>"1, 0"</formula1>
    </dataValidation>
    <dataValidation type="list" allowBlank="1" showInputMessage="1" showErrorMessage="1" prompt="Recyclable. YES=1; NO=0" sqref="S262:S311">
      <formula1>"1, 0"</formula1>
    </dataValidation>
    <dataValidation type="list" allowBlank="1" showInputMessage="1" showErrorMessage="1" prompt="Solid Waste for Landfill. YES=1; NO=0" sqref="U262:U311">
      <formula1>"1, 0"</formula1>
    </dataValidation>
    <dataValidation type="list" allowBlank="1" showInputMessage="1" showErrorMessage="1" prompt="Solid State. YES=1; NO=0" sqref="V262:V311">
      <formula1>"1, 0"</formula1>
    </dataValidation>
    <dataValidation type="list" allowBlank="1" showInputMessage="1" showErrorMessage="1" prompt="Organic or Water. YES=1; NO=0" sqref="X262:X311">
      <formula1>"1, 0"</formula1>
    </dataValidation>
    <dataValidation type="list" allowBlank="1" showInputMessage="1" showErrorMessage="1" prompt="Hazardous. YES=1; NO=0" sqref="AM262:AM311">
      <formula1>"1, 0"</formula1>
    </dataValidation>
    <dataValidation type="list" allowBlank="1" showInputMessage="1" showErrorMessage="1" prompt="TRI List. Yes=1, NO=0" sqref="AN262:AN311">
      <formula1>"0, 1"</formula1>
    </dataValidation>
    <dataValidation type="list" allowBlank="1" showInputMessage="1" showErrorMessage="1" prompt="TRI PBT List. Yes=1, NO=0" sqref="AO262:AO311">
      <formula1>"0, 1"</formula1>
    </dataValidation>
    <dataValidation type="list" allowBlank="1" showInputMessage="1" showErrorMessage="1" prompt="1&lt;=GK Class&lt;=5" sqref="AT262:AT311">
      <formula1>"1, 2, 3, 4, 5"</formula1>
    </dataValidation>
    <dataValidation type="list" allowBlank="1" showInputMessage="1" showErrorMessage="1" prompt="Hazard rating: 0 - Minimal; 1 - Slight; 2 - Moderate; 3 - Serious; 4 - Severe" sqref="AV262:AW311">
      <formula1>"0, 1, 2, 3, 4"</formula1>
    </dataValidation>
    <dataValidation type="list" allowBlank="1" showInputMessage="1" showErrorMessage="1" prompt="nwg: non-hazardous to water_x000a_WGK 3: severe hazard to waters,_x000a_WGK 2: hazard to waters,_x000a_WGK 1: low hazard to waters." sqref="AX262:AX311">
      <formula1>"nwg, 1, 2, 3"</formula1>
    </dataValidation>
    <dataValidation type="list" allowBlank="1" showInputMessage="1" showErrorMessage="1" error="For other codes leave it in blank." prompt="Just these codes:_x000a_T, Xi, C, Xn, T+_x000a_Other codes leave it in blank " sqref="AP262:AP311">
      <formula1>"T, Xi, C, Xn, T+"</formula1>
    </dataValidation>
    <dataValidation type="list" allowBlank="1" showInputMessage="1" showErrorMessage="1" sqref="I30 DV30 DS30 DP30 DM30 DJ30 DG30 DD30 DA30 CX30 CU30 CR30 CO30 CL30 CI30 CF30 CC30 BZ30 BW30 BT30 BQ30 BN30 BK30 BH30 BE30 BB30 AY30 AV30 AS30 AP30 AM30 AJ30 AG30 AD30 AA30 X30 U30 R30 O30 L30">
      <formula1>"yes,no"</formula1>
    </dataValidation>
    <dataValidation type="list" allowBlank="1" showInputMessage="1" showErrorMessage="1" sqref="I179 AJ179 AG179 AD179 AA179 X179 U179 R179 O179 L179 AM179 AP179 AS179 AV179 AY179 BB179 BE179 BH179 BK179 BN179 BQ179 BT179 BW179 BZ179 CC179 CF179 CI179 CL179 CO179 CR179 CU179 CX179 DA179 DD179 DG179 DJ179 DM179 DP179 DS179 DV179">
      <formula1>"1,0"</formula1>
    </dataValidation>
    <dataValidation type="list" allowBlank="1" showInputMessage="1" showErrorMessage="1" prompt="Just for waste streams" sqref="I182 AJ182 AG182 AD182 AA182 X182 U182 R182 O182 L182 AM182 AP182 AS182 AV182 AY182 BB182 BE182 BH182 BK182 BN182 BQ182 BT182 BW182 BZ182 CC182 CF182 CI182 CL182 CO182 CR182 CU182 CX182 DA182 DD182 DG182 DJ182 DM182 DP182 DS182 DV182">
      <formula1>"1,0"</formula1>
    </dataValidation>
    <dataValidation type="list" allowBlank="1" showInputMessage="1" showErrorMessage="1" prompt="Just for Product streams" sqref="L181 AJ181 AG181 AD181 AA181 X181 U181 R181 O181 I181 AM181 AP181 AS181 AV181 AY181 BB181 BE181 BH181 BK181 BN181 BQ181 BT181 BW181 BZ181 CC181 CF181 CI181 CL181 CO181 CR181 CU181 CX181 DA181 DD181 DG181 DJ181 DM181 DP181 DS181 DV181">
      <formula1>"1, 0"</formula1>
    </dataValidation>
    <dataValidation type="list" allowBlank="1" showInputMessage="1" showErrorMessage="1" prompt="Just for Product streams" sqref="L183 AJ183 AG183 AD183 AA183 X183 U183 R183 O183 I183 AM183 AP183 AS183 AV183 AY183 BB183 BE183 BH183 BK183 BN183 BQ183 BT183 BW183 BZ183 CC183 CF183 CI183 CL183 CO183 CR183 CU183 CX183 DA183 DD183 DG183 DJ183 DM183 DP183 DS183 DV183">
      <formula1>"yes,no"</formula1>
    </dataValidation>
    <dataValidation type="list" allowBlank="1" showInputMessage="1" showErrorMessage="1" prompt="0: Waste_x000a_1: Product_x000a_2: Feedstock_x000a_3: Catalyst_x000a_4: Global reagent/Solvent_x000a_5: Other (drying agent, additive, solvent, washing agent, etc.)" sqref="K262:K311">
      <formula1>"0,1,2,3,4,5"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3:AD536"/>
  <sheetViews>
    <sheetView topLeftCell="A101" zoomScale="60" zoomScaleNormal="60" workbookViewId="0">
      <selection activeCell="G101" sqref="G101"/>
    </sheetView>
  </sheetViews>
  <sheetFormatPr defaultColWidth="10.7109375" defaultRowHeight="15" x14ac:dyDescent="0.2"/>
  <cols>
    <col min="1" max="1" width="10.7109375" style="5"/>
    <col min="2" max="2" width="13.85546875" style="5" customWidth="1"/>
    <col min="3" max="3" width="10.7109375" style="5"/>
    <col min="4" max="4" width="77.42578125" style="5" customWidth="1"/>
    <col min="5" max="24" width="33.5703125" style="5" customWidth="1"/>
    <col min="25" max="25" width="15.5703125" style="5" customWidth="1"/>
    <col min="26" max="26" width="15.85546875" style="5" customWidth="1"/>
    <col min="27" max="27" width="11.5703125" style="5" bestFit="1" customWidth="1"/>
    <col min="28" max="16384" width="10.7109375" style="5"/>
  </cols>
  <sheetData>
    <row r="3" spans="2:26" ht="45" x14ac:dyDescent="0.2">
      <c r="D3" s="850" t="s">
        <v>886</v>
      </c>
      <c r="E3" s="850"/>
      <c r="F3" s="850"/>
      <c r="G3" s="850"/>
      <c r="H3" s="850"/>
      <c r="I3" s="850"/>
      <c r="O3" s="130"/>
    </row>
    <row r="4" spans="2:26" x14ac:dyDescent="0.2">
      <c r="U4" s="68"/>
      <c r="V4" s="68"/>
      <c r="W4" s="68"/>
      <c r="X4" s="68"/>
      <c r="Y4" s="68"/>
      <c r="Z4" s="68"/>
    </row>
    <row r="5" spans="2:26" s="131" customFormat="1" x14ac:dyDescent="0.2">
      <c r="T5" s="132"/>
      <c r="U5" s="132"/>
      <c r="V5" s="132"/>
      <c r="W5" s="68"/>
      <c r="X5" s="68"/>
      <c r="Y5" s="68"/>
      <c r="Z5" s="68"/>
    </row>
    <row r="6" spans="2:26" s="131" customFormat="1" ht="38.25" customHeight="1" x14ac:dyDescent="0.4">
      <c r="D6" s="182" t="s">
        <v>1261</v>
      </c>
      <c r="T6" s="132"/>
      <c r="U6" s="132"/>
      <c r="V6" s="132"/>
      <c r="W6" s="68"/>
      <c r="X6" s="68"/>
      <c r="Y6" s="68"/>
      <c r="Z6" s="68"/>
    </row>
    <row r="7" spans="2:26" s="131" customFormat="1" ht="38.25" customHeight="1" thickBot="1" x14ac:dyDescent="0.45">
      <c r="D7" s="9"/>
      <c r="T7" s="132"/>
      <c r="U7" s="132"/>
      <c r="V7" s="132"/>
      <c r="W7" s="68"/>
      <c r="X7" s="68"/>
      <c r="Y7" s="68"/>
      <c r="Z7" s="68"/>
    </row>
    <row r="8" spans="2:26" ht="38.25" customHeight="1" thickBot="1" x14ac:dyDescent="0.25">
      <c r="B8" s="376" t="s">
        <v>1297</v>
      </c>
      <c r="C8" s="155"/>
      <c r="D8" s="155"/>
      <c r="E8" s="155"/>
      <c r="F8" s="155"/>
      <c r="G8" s="155"/>
      <c r="H8" s="155"/>
      <c r="I8" s="155"/>
      <c r="J8" s="155"/>
      <c r="K8" s="155"/>
      <c r="L8" s="155"/>
      <c r="M8" s="155"/>
      <c r="N8" s="155"/>
      <c r="O8" s="155"/>
      <c r="P8" s="155"/>
      <c r="Q8" s="155"/>
      <c r="R8" s="155"/>
      <c r="S8" s="155"/>
      <c r="T8" s="155"/>
      <c r="U8" s="155"/>
      <c r="V8" s="155"/>
      <c r="W8" s="155"/>
      <c r="X8" s="156"/>
      <c r="Y8" s="157"/>
      <c r="Z8" s="68"/>
    </row>
    <row r="9" spans="2:26" ht="24.75" customHeight="1" x14ac:dyDescent="0.3">
      <c r="B9" s="377"/>
      <c r="C9" s="25"/>
      <c r="D9" s="108" t="s">
        <v>17</v>
      </c>
      <c r="E9" s="119">
        <v>1</v>
      </c>
      <c r="F9" s="119">
        <f>E9+1</f>
        <v>2</v>
      </c>
      <c r="G9" s="119">
        <f t="shared" ref="G9:X9" si="0">F9+1</f>
        <v>3</v>
      </c>
      <c r="H9" s="119">
        <f t="shared" si="0"/>
        <v>4</v>
      </c>
      <c r="I9" s="119">
        <f t="shared" si="0"/>
        <v>5</v>
      </c>
      <c r="J9" s="119">
        <f t="shared" si="0"/>
        <v>6</v>
      </c>
      <c r="K9" s="119">
        <f t="shared" si="0"/>
        <v>7</v>
      </c>
      <c r="L9" s="119">
        <f t="shared" si="0"/>
        <v>8</v>
      </c>
      <c r="M9" s="119">
        <f t="shared" si="0"/>
        <v>9</v>
      </c>
      <c r="N9" s="119">
        <f t="shared" si="0"/>
        <v>10</v>
      </c>
      <c r="O9" s="119">
        <f>N9+1</f>
        <v>11</v>
      </c>
      <c r="P9" s="119">
        <f t="shared" si="0"/>
        <v>12</v>
      </c>
      <c r="Q9" s="119">
        <f t="shared" si="0"/>
        <v>13</v>
      </c>
      <c r="R9" s="119">
        <f t="shared" si="0"/>
        <v>14</v>
      </c>
      <c r="S9" s="119">
        <f t="shared" si="0"/>
        <v>15</v>
      </c>
      <c r="T9" s="119">
        <f>S9+1</f>
        <v>16</v>
      </c>
      <c r="U9" s="119">
        <f t="shared" si="0"/>
        <v>17</v>
      </c>
      <c r="V9" s="119">
        <f>U9+1</f>
        <v>18</v>
      </c>
      <c r="W9" s="119">
        <f t="shared" si="0"/>
        <v>19</v>
      </c>
      <c r="X9" s="119">
        <f t="shared" si="0"/>
        <v>20</v>
      </c>
      <c r="Y9" s="160"/>
      <c r="Z9" s="68"/>
    </row>
    <row r="10" spans="2:26" ht="41.25" customHeight="1" x14ac:dyDescent="0.2">
      <c r="B10" s="377"/>
      <c r="C10" s="153"/>
      <c r="D10" s="110" t="s">
        <v>759</v>
      </c>
      <c r="E10" s="133" t="s">
        <v>760</v>
      </c>
      <c r="F10" s="133" t="s">
        <v>760</v>
      </c>
      <c r="G10" s="133" t="s">
        <v>760</v>
      </c>
      <c r="H10" s="133" t="s">
        <v>760</v>
      </c>
      <c r="I10" s="133"/>
      <c r="J10" s="133"/>
      <c r="K10" s="133"/>
      <c r="L10" s="133"/>
      <c r="M10" s="133"/>
      <c r="N10" s="133"/>
      <c r="O10" s="133"/>
      <c r="P10" s="133"/>
      <c r="Q10" s="133"/>
      <c r="R10" s="133"/>
      <c r="S10" s="133"/>
      <c r="T10" s="133"/>
      <c r="U10" s="133"/>
      <c r="V10" s="133"/>
      <c r="W10" s="133"/>
      <c r="X10" s="133"/>
      <c r="Y10" s="160"/>
      <c r="Z10" s="68"/>
    </row>
    <row r="11" spans="2:26" ht="19.5" customHeight="1" x14ac:dyDescent="0.2">
      <c r="B11" s="377"/>
      <c r="C11" s="153"/>
      <c r="D11" s="111" t="s">
        <v>1247</v>
      </c>
      <c r="E11" s="134" t="s">
        <v>847</v>
      </c>
      <c r="F11" s="134" t="s">
        <v>848</v>
      </c>
      <c r="G11" s="134" t="s">
        <v>849</v>
      </c>
      <c r="H11" s="134" t="s">
        <v>850</v>
      </c>
      <c r="I11" s="134"/>
      <c r="J11" s="134"/>
      <c r="K11" s="134"/>
      <c r="L11" s="134"/>
      <c r="M11" s="134"/>
      <c r="N11" s="134"/>
      <c r="O11" s="134"/>
      <c r="P11" s="134"/>
      <c r="Q11" s="134"/>
      <c r="R11" s="134"/>
      <c r="S11" s="134"/>
      <c r="T11" s="134"/>
      <c r="U11" s="134"/>
      <c r="V11" s="134"/>
      <c r="W11" s="134"/>
      <c r="X11" s="134"/>
      <c r="Y11" s="161"/>
    </row>
    <row r="12" spans="2:26" ht="19.5" customHeight="1" x14ac:dyDescent="0.2">
      <c r="B12" s="377"/>
      <c r="C12" s="153"/>
      <c r="D12" s="111" t="s">
        <v>12</v>
      </c>
      <c r="E12" s="135"/>
      <c r="F12" s="135"/>
      <c r="G12" s="135"/>
      <c r="H12" s="135"/>
      <c r="I12" s="135"/>
      <c r="J12" s="135"/>
      <c r="K12" s="135"/>
      <c r="L12" s="135"/>
      <c r="M12" s="135"/>
      <c r="N12" s="135"/>
      <c r="O12" s="135"/>
      <c r="P12" s="135"/>
      <c r="Q12" s="135"/>
      <c r="R12" s="135"/>
      <c r="S12" s="135"/>
      <c r="T12" s="135"/>
      <c r="U12" s="135"/>
      <c r="V12" s="135"/>
      <c r="W12" s="135"/>
      <c r="X12" s="135"/>
      <c r="Y12" s="161"/>
    </row>
    <row r="13" spans="2:26" ht="17.25" customHeight="1" x14ac:dyDescent="0.2">
      <c r="B13" s="377"/>
      <c r="C13" s="153"/>
      <c r="D13" s="112" t="s">
        <v>851</v>
      </c>
      <c r="E13" s="135" t="s">
        <v>846</v>
      </c>
      <c r="F13" s="135" t="s">
        <v>846</v>
      </c>
      <c r="G13" s="135" t="s">
        <v>846</v>
      </c>
      <c r="H13" s="135" t="s">
        <v>846</v>
      </c>
      <c r="I13" s="135"/>
      <c r="J13" s="135"/>
      <c r="K13" s="135"/>
      <c r="L13" s="135"/>
      <c r="M13" s="135"/>
      <c r="N13" s="135"/>
      <c r="O13" s="135"/>
      <c r="P13" s="135"/>
      <c r="Q13" s="135"/>
      <c r="R13" s="135"/>
      <c r="S13" s="135"/>
      <c r="T13" s="135"/>
      <c r="U13" s="135"/>
      <c r="V13" s="135"/>
      <c r="W13" s="135"/>
      <c r="X13" s="135"/>
      <c r="Y13" s="161"/>
    </row>
    <row r="14" spans="2:26" ht="17.25" customHeight="1" x14ac:dyDescent="0.2">
      <c r="B14" s="377"/>
      <c r="C14" s="153"/>
      <c r="D14" s="113" t="s">
        <v>924</v>
      </c>
      <c r="E14" s="136"/>
      <c r="F14" s="136"/>
      <c r="G14" s="136"/>
      <c r="H14" s="136"/>
      <c r="I14" s="136"/>
      <c r="J14" s="136"/>
      <c r="K14" s="136"/>
      <c r="L14" s="136"/>
      <c r="M14" s="136"/>
      <c r="N14" s="136"/>
      <c r="O14" s="136"/>
      <c r="P14" s="136"/>
      <c r="Q14" s="136"/>
      <c r="R14" s="136"/>
      <c r="S14" s="136"/>
      <c r="T14" s="136"/>
      <c r="U14" s="136"/>
      <c r="V14" s="136"/>
      <c r="W14" s="136"/>
      <c r="X14" s="136"/>
      <c r="Y14" s="161"/>
    </row>
    <row r="15" spans="2:26" ht="29.25" customHeight="1" x14ac:dyDescent="0.2">
      <c r="B15" s="377"/>
      <c r="C15" s="153"/>
      <c r="D15" s="114" t="s">
        <v>926</v>
      </c>
      <c r="E15" s="137">
        <v>0.108</v>
      </c>
      <c r="F15" s="137">
        <v>0.20879999999999999</v>
      </c>
      <c r="G15" s="137">
        <v>1.0584</v>
      </c>
      <c r="H15" s="137">
        <v>7.9200000000000007E-2</v>
      </c>
      <c r="I15" s="137"/>
      <c r="J15" s="137"/>
      <c r="K15" s="137"/>
      <c r="L15" s="137"/>
      <c r="M15" s="137"/>
      <c r="N15" s="137"/>
      <c r="O15" s="137"/>
      <c r="P15" s="137"/>
      <c r="Q15" s="137"/>
      <c r="R15" s="137"/>
      <c r="S15" s="137"/>
      <c r="T15" s="137"/>
      <c r="U15" s="137"/>
      <c r="V15" s="137"/>
      <c r="W15" s="137"/>
      <c r="X15" s="137"/>
      <c r="Y15" s="161"/>
    </row>
    <row r="16" spans="2:26" ht="19.5" customHeight="1" x14ac:dyDescent="0.2">
      <c r="B16" s="377"/>
      <c r="C16" s="153"/>
      <c r="D16" s="115" t="s">
        <v>762</v>
      </c>
      <c r="E16" s="709"/>
      <c r="F16" s="709"/>
      <c r="G16" s="709"/>
      <c r="H16" s="709"/>
      <c r="I16" s="709"/>
      <c r="J16" s="709"/>
      <c r="K16" s="709"/>
      <c r="L16" s="709"/>
      <c r="M16" s="709"/>
      <c r="N16" s="709"/>
      <c r="O16" s="709"/>
      <c r="P16" s="709"/>
      <c r="Q16" s="709"/>
      <c r="R16" s="709"/>
      <c r="S16" s="709"/>
      <c r="T16" s="709"/>
      <c r="U16" s="709"/>
      <c r="V16" s="709"/>
      <c r="W16" s="709"/>
      <c r="X16" s="709"/>
      <c r="Y16" s="161"/>
    </row>
    <row r="17" spans="2:30" ht="19.5" customHeight="1" x14ac:dyDescent="0.2">
      <c r="B17" s="377"/>
      <c r="C17" s="153"/>
      <c r="D17" s="116" t="s">
        <v>764</v>
      </c>
      <c r="E17" s="709"/>
      <c r="F17" s="709"/>
      <c r="G17" s="709"/>
      <c r="H17" s="709"/>
      <c r="I17" s="709"/>
      <c r="J17" s="709"/>
      <c r="K17" s="709"/>
      <c r="L17" s="709"/>
      <c r="M17" s="709"/>
      <c r="N17" s="709"/>
      <c r="O17" s="709"/>
      <c r="P17" s="709"/>
      <c r="Q17" s="709"/>
      <c r="R17" s="709"/>
      <c r="S17" s="709"/>
      <c r="T17" s="709"/>
      <c r="U17" s="709"/>
      <c r="V17" s="709"/>
      <c r="W17" s="709"/>
      <c r="X17" s="709"/>
      <c r="Y17" s="161"/>
    </row>
    <row r="18" spans="2:30" ht="19.5" customHeight="1" x14ac:dyDescent="0.2">
      <c r="B18" s="377"/>
      <c r="C18" s="153"/>
      <c r="D18" s="117" t="s">
        <v>763</v>
      </c>
      <c r="E18" s="709"/>
      <c r="F18" s="709"/>
      <c r="G18" s="709"/>
      <c r="H18" s="709"/>
      <c r="I18" s="709"/>
      <c r="J18" s="709"/>
      <c r="K18" s="709"/>
      <c r="L18" s="709"/>
      <c r="M18" s="709"/>
      <c r="N18" s="709"/>
      <c r="O18" s="709"/>
      <c r="P18" s="709"/>
      <c r="Q18" s="709"/>
      <c r="R18" s="709"/>
      <c r="S18" s="709"/>
      <c r="T18" s="709"/>
      <c r="U18" s="709"/>
      <c r="V18" s="709"/>
      <c r="W18" s="709"/>
      <c r="X18" s="709"/>
      <c r="Y18" s="161"/>
    </row>
    <row r="19" spans="2:30" ht="18.75" customHeight="1" thickBot="1" x14ac:dyDescent="0.25">
      <c r="B19" s="377"/>
      <c r="C19" s="153"/>
      <c r="D19" s="118" t="s">
        <v>764</v>
      </c>
      <c r="E19" s="710">
        <f t="shared" ref="E19:M19" si="1">IF(E11="","",IF(E17&lt;&gt;"",E17,1.68*E18))</f>
        <v>0</v>
      </c>
      <c r="F19" s="710">
        <f t="shared" si="1"/>
        <v>0</v>
      </c>
      <c r="G19" s="710">
        <f t="shared" si="1"/>
        <v>0</v>
      </c>
      <c r="H19" s="710">
        <f t="shared" si="1"/>
        <v>0</v>
      </c>
      <c r="I19" s="710" t="str">
        <f t="shared" si="1"/>
        <v/>
      </c>
      <c r="J19" s="710" t="str">
        <f t="shared" si="1"/>
        <v/>
      </c>
      <c r="K19" s="710" t="str">
        <f t="shared" si="1"/>
        <v/>
      </c>
      <c r="L19" s="710" t="str">
        <f t="shared" si="1"/>
        <v/>
      </c>
      <c r="M19" s="710" t="str">
        <f t="shared" si="1"/>
        <v/>
      </c>
      <c r="N19" s="710" t="str">
        <f t="shared" ref="N19:X19" si="2">IF(N11="","",IF(N17&lt;&gt;"",N17,1.68*N18))</f>
        <v/>
      </c>
      <c r="O19" s="710" t="str">
        <f t="shared" si="2"/>
        <v/>
      </c>
      <c r="P19" s="710" t="str">
        <f t="shared" si="2"/>
        <v/>
      </c>
      <c r="Q19" s="710" t="str">
        <f t="shared" si="2"/>
        <v/>
      </c>
      <c r="R19" s="710" t="str">
        <f t="shared" si="2"/>
        <v/>
      </c>
      <c r="S19" s="710" t="str">
        <f t="shared" si="2"/>
        <v/>
      </c>
      <c r="T19" s="710" t="str">
        <f t="shared" si="2"/>
        <v/>
      </c>
      <c r="U19" s="710" t="str">
        <f t="shared" si="2"/>
        <v/>
      </c>
      <c r="V19" s="710" t="str">
        <f t="shared" si="2"/>
        <v/>
      </c>
      <c r="W19" s="710" t="str">
        <f t="shared" si="2"/>
        <v/>
      </c>
      <c r="X19" s="710" t="str">
        <f t="shared" si="2"/>
        <v/>
      </c>
      <c r="Y19" s="161"/>
    </row>
    <row r="20" spans="2:30" ht="18" customHeight="1" thickBot="1" x14ac:dyDescent="0.25">
      <c r="B20" s="378"/>
      <c r="C20" s="154"/>
      <c r="D20" s="154"/>
      <c r="E20" s="154"/>
      <c r="F20" s="154"/>
      <c r="G20" s="154"/>
      <c r="H20" s="154"/>
      <c r="I20" s="154"/>
      <c r="J20" s="154"/>
      <c r="K20" s="154"/>
      <c r="L20" s="154"/>
      <c r="M20" s="154"/>
      <c r="N20" s="154"/>
      <c r="O20" s="154"/>
      <c r="P20" s="158"/>
      <c r="Q20" s="158"/>
      <c r="R20" s="158"/>
      <c r="S20" s="158"/>
      <c r="T20" s="154"/>
      <c r="U20" s="154"/>
      <c r="V20" s="154"/>
      <c r="W20" s="154"/>
      <c r="X20" s="154"/>
      <c r="Y20" s="159"/>
    </row>
    <row r="21" spans="2:30" ht="42.75" customHeight="1" x14ac:dyDescent="0.2">
      <c r="Y21" s="25"/>
    </row>
    <row r="22" spans="2:30" ht="42.75" customHeight="1" thickBot="1" x14ac:dyDescent="0.25">
      <c r="Y22" s="25"/>
    </row>
    <row r="23" spans="2:30" ht="42.75" customHeight="1" thickBot="1" x14ac:dyDescent="0.25">
      <c r="B23" s="352" t="s">
        <v>1296</v>
      </c>
      <c r="C23" s="155"/>
      <c r="D23" s="155"/>
      <c r="E23" s="155"/>
      <c r="F23" s="155"/>
      <c r="G23" s="155"/>
      <c r="H23" s="155"/>
      <c r="I23" s="155"/>
      <c r="J23" s="155"/>
      <c r="K23" s="155"/>
      <c r="L23" s="155"/>
      <c r="M23" s="155"/>
      <c r="N23" s="155"/>
      <c r="O23" s="155"/>
      <c r="P23" s="155"/>
      <c r="Q23" s="155"/>
      <c r="R23" s="155"/>
      <c r="S23" s="155"/>
      <c r="T23" s="155"/>
      <c r="U23" s="155"/>
      <c r="V23" s="155"/>
      <c r="W23" s="155"/>
      <c r="X23" s="155"/>
      <c r="Y23" s="162"/>
    </row>
    <row r="24" spans="2:30" ht="24.75" customHeight="1" x14ac:dyDescent="0.3">
      <c r="B24" s="379"/>
      <c r="C24" s="153"/>
      <c r="D24" s="108" t="s">
        <v>16</v>
      </c>
      <c r="E24" s="163">
        <v>1</v>
      </c>
      <c r="F24" s="163">
        <f>E24+1</f>
        <v>2</v>
      </c>
      <c r="G24" s="163">
        <f t="shared" ref="G24:X24" si="3">F24+1</f>
        <v>3</v>
      </c>
      <c r="H24" s="163">
        <f t="shared" si="3"/>
        <v>4</v>
      </c>
      <c r="I24" s="163">
        <f t="shared" si="3"/>
        <v>5</v>
      </c>
      <c r="J24" s="163">
        <f t="shared" si="3"/>
        <v>6</v>
      </c>
      <c r="K24" s="163">
        <f t="shared" si="3"/>
        <v>7</v>
      </c>
      <c r="L24" s="163">
        <f t="shared" si="3"/>
        <v>8</v>
      </c>
      <c r="M24" s="163">
        <f t="shared" si="3"/>
        <v>9</v>
      </c>
      <c r="N24" s="163">
        <f t="shared" si="3"/>
        <v>10</v>
      </c>
      <c r="O24" s="163">
        <f t="shared" si="3"/>
        <v>11</v>
      </c>
      <c r="P24" s="163">
        <f t="shared" si="3"/>
        <v>12</v>
      </c>
      <c r="Q24" s="163">
        <f t="shared" si="3"/>
        <v>13</v>
      </c>
      <c r="R24" s="163">
        <f t="shared" si="3"/>
        <v>14</v>
      </c>
      <c r="S24" s="163">
        <f t="shared" si="3"/>
        <v>15</v>
      </c>
      <c r="T24" s="163">
        <f t="shared" si="3"/>
        <v>16</v>
      </c>
      <c r="U24" s="163">
        <f t="shared" si="3"/>
        <v>17</v>
      </c>
      <c r="V24" s="163">
        <f t="shared" si="3"/>
        <v>18</v>
      </c>
      <c r="W24" s="163">
        <f t="shared" si="3"/>
        <v>19</v>
      </c>
      <c r="X24" s="163">
        <f t="shared" si="3"/>
        <v>20</v>
      </c>
      <c r="Y24" s="161"/>
    </row>
    <row r="25" spans="2:30" ht="27" customHeight="1" x14ac:dyDescent="0.2">
      <c r="B25" s="377"/>
      <c r="C25" s="153"/>
      <c r="D25" s="15" t="s">
        <v>759</v>
      </c>
      <c r="E25" s="173"/>
      <c r="F25" s="173"/>
      <c r="G25" s="173"/>
      <c r="H25" s="173"/>
      <c r="I25" s="173"/>
      <c r="J25" s="173"/>
      <c r="K25" s="173"/>
      <c r="L25" s="173"/>
      <c r="M25" s="173"/>
      <c r="N25" s="173"/>
      <c r="O25" s="173"/>
      <c r="P25" s="173"/>
      <c r="Q25" s="173"/>
      <c r="R25" s="173"/>
      <c r="S25" s="173"/>
      <c r="T25" s="173"/>
      <c r="U25" s="173"/>
      <c r="V25" s="173"/>
      <c r="W25" s="173"/>
      <c r="X25" s="173"/>
      <c r="Y25" s="161"/>
    </row>
    <row r="26" spans="2:30" ht="18.75" customHeight="1" x14ac:dyDescent="0.2">
      <c r="B26" s="377"/>
      <c r="C26" s="153"/>
      <c r="D26" s="311" t="s">
        <v>1247</v>
      </c>
      <c r="E26" s="174" t="s">
        <v>842</v>
      </c>
      <c r="F26" s="174"/>
      <c r="G26" s="174" t="s">
        <v>843</v>
      </c>
      <c r="H26" s="174" t="s">
        <v>844</v>
      </c>
      <c r="I26" s="174" t="s">
        <v>908</v>
      </c>
      <c r="J26" s="174" t="s">
        <v>909</v>
      </c>
      <c r="K26" s="174" t="s">
        <v>910</v>
      </c>
      <c r="L26" s="174" t="s">
        <v>911</v>
      </c>
      <c r="M26" s="174"/>
      <c r="N26" s="174"/>
      <c r="O26" s="174"/>
      <c r="P26" s="174"/>
      <c r="Q26" s="174"/>
      <c r="R26" s="174"/>
      <c r="S26" s="174"/>
      <c r="T26" s="174"/>
      <c r="U26" s="174"/>
      <c r="V26" s="174"/>
      <c r="W26" s="174"/>
      <c r="X26" s="174"/>
      <c r="Y26" s="161"/>
    </row>
    <row r="27" spans="2:30" x14ac:dyDescent="0.2">
      <c r="B27" s="377"/>
      <c r="C27" s="153"/>
      <c r="D27" s="308" t="s">
        <v>12</v>
      </c>
      <c r="E27" s="167"/>
      <c r="F27" s="167"/>
      <c r="G27" s="167"/>
      <c r="H27" s="167"/>
      <c r="I27" s="167"/>
      <c r="J27" s="167"/>
      <c r="K27" s="167"/>
      <c r="L27" s="167"/>
      <c r="M27" s="167"/>
      <c r="N27" s="167"/>
      <c r="O27" s="167"/>
      <c r="P27" s="167"/>
      <c r="Q27" s="167"/>
      <c r="R27" s="167"/>
      <c r="S27" s="167"/>
      <c r="T27" s="167"/>
      <c r="U27" s="167"/>
      <c r="V27" s="167"/>
      <c r="W27" s="167"/>
      <c r="X27" s="167"/>
      <c r="Y27" s="161"/>
    </row>
    <row r="28" spans="2:30" ht="16.5" customHeight="1" x14ac:dyDescent="0.2">
      <c r="B28" s="377"/>
      <c r="C28" s="153"/>
      <c r="D28" s="312" t="s">
        <v>851</v>
      </c>
      <c r="E28" s="167" t="s">
        <v>846</v>
      </c>
      <c r="F28" s="167" t="s">
        <v>846</v>
      </c>
      <c r="G28" s="167">
        <v>3</v>
      </c>
      <c r="H28" s="167" t="s">
        <v>846</v>
      </c>
      <c r="I28" s="167" t="s">
        <v>846</v>
      </c>
      <c r="J28" s="167" t="s">
        <v>846</v>
      </c>
      <c r="K28" s="167" t="s">
        <v>846</v>
      </c>
      <c r="L28" s="167">
        <v>2</v>
      </c>
      <c r="M28" s="167"/>
      <c r="N28" s="167"/>
      <c r="O28" s="167"/>
      <c r="P28" s="167"/>
      <c r="Q28" s="167"/>
      <c r="R28" s="167"/>
      <c r="S28" s="167"/>
      <c r="T28" s="167"/>
      <c r="U28" s="167"/>
      <c r="V28" s="167"/>
      <c r="W28" s="167"/>
      <c r="X28" s="167"/>
      <c r="Y28" s="161"/>
    </row>
    <row r="29" spans="2:30" x14ac:dyDescent="0.2">
      <c r="B29" s="377"/>
      <c r="C29" s="153"/>
      <c r="D29" s="308" t="s">
        <v>924</v>
      </c>
      <c r="E29" s="166"/>
      <c r="F29" s="166"/>
      <c r="G29" s="166"/>
      <c r="H29" s="166"/>
      <c r="I29" s="166"/>
      <c r="J29" s="166"/>
      <c r="K29" s="166"/>
      <c r="L29" s="166"/>
      <c r="M29" s="166"/>
      <c r="N29" s="166"/>
      <c r="O29" s="166"/>
      <c r="P29" s="166"/>
      <c r="Q29" s="166"/>
      <c r="R29" s="166"/>
      <c r="S29" s="166"/>
      <c r="T29" s="166"/>
      <c r="U29" s="166"/>
      <c r="V29" s="166"/>
      <c r="W29" s="166"/>
      <c r="X29" s="166"/>
      <c r="Y29" s="161"/>
    </row>
    <row r="30" spans="2:30" x14ac:dyDescent="0.2">
      <c r="B30" s="377"/>
      <c r="C30" s="153"/>
      <c r="D30" s="308" t="s">
        <v>925</v>
      </c>
      <c r="E30" s="167">
        <v>6.1499999999999999E-2</v>
      </c>
      <c r="F30" s="167"/>
      <c r="G30" s="167">
        <v>6.7299999999999999E-2</v>
      </c>
      <c r="H30" s="167">
        <v>0.16919999999999999</v>
      </c>
      <c r="I30" s="167">
        <v>1.7399999999999999E-2</v>
      </c>
      <c r="J30" s="167">
        <v>0.46300000000000002</v>
      </c>
      <c r="K30" s="167">
        <v>0.32919999999999999</v>
      </c>
      <c r="L30" s="167">
        <v>0.1288</v>
      </c>
      <c r="M30" s="167"/>
      <c r="N30" s="167"/>
      <c r="O30" s="167"/>
      <c r="P30" s="167"/>
      <c r="Q30" s="167"/>
      <c r="R30" s="167"/>
      <c r="S30" s="167"/>
      <c r="T30" s="167"/>
      <c r="U30" s="167"/>
      <c r="V30" s="167"/>
      <c r="W30" s="167"/>
      <c r="X30" s="167"/>
      <c r="Y30" s="161"/>
    </row>
    <row r="31" spans="2:30" ht="18" customHeight="1" x14ac:dyDescent="0.2">
      <c r="B31" s="377"/>
      <c r="C31" s="153"/>
      <c r="D31" s="11" t="s">
        <v>687</v>
      </c>
      <c r="E31" s="711">
        <v>9462</v>
      </c>
      <c r="F31" s="711"/>
      <c r="G31" s="711">
        <v>9405</v>
      </c>
      <c r="H31" s="711">
        <v>5668</v>
      </c>
      <c r="I31" s="711">
        <v>26365</v>
      </c>
      <c r="J31" s="711">
        <v>3958</v>
      </c>
      <c r="K31" s="711">
        <v>4106</v>
      </c>
      <c r="L31" s="711">
        <v>5665</v>
      </c>
      <c r="M31" s="711"/>
      <c r="N31" s="711"/>
      <c r="O31" s="711"/>
      <c r="P31" s="711"/>
      <c r="Q31" s="711"/>
      <c r="R31" s="711"/>
      <c r="S31" s="711"/>
      <c r="T31" s="711"/>
      <c r="U31" s="711"/>
      <c r="V31" s="711"/>
      <c r="W31" s="711"/>
      <c r="X31" s="711"/>
      <c r="Y31" s="161"/>
      <c r="Z31" s="25"/>
      <c r="AA31" s="25"/>
      <c r="AB31" s="25"/>
      <c r="AC31" s="25"/>
      <c r="AD31" s="25"/>
    </row>
    <row r="32" spans="2:30" ht="18" customHeight="1" x14ac:dyDescent="0.2">
      <c r="B32" s="377"/>
      <c r="C32" s="153"/>
      <c r="D32" s="12" t="s">
        <v>764</v>
      </c>
      <c r="E32" s="711">
        <v>26494</v>
      </c>
      <c r="F32" s="711"/>
      <c r="G32" s="711">
        <v>26335</v>
      </c>
      <c r="H32" s="711">
        <v>15870</v>
      </c>
      <c r="I32" s="711">
        <v>73823</v>
      </c>
      <c r="J32" s="711">
        <v>11082</v>
      </c>
      <c r="K32" s="711">
        <v>11496</v>
      </c>
      <c r="L32" s="711">
        <v>15863</v>
      </c>
      <c r="M32" s="711"/>
      <c r="N32" s="711"/>
      <c r="O32" s="711"/>
      <c r="P32" s="711"/>
      <c r="Q32" s="711"/>
      <c r="R32" s="711"/>
      <c r="S32" s="711"/>
      <c r="T32" s="711"/>
      <c r="U32" s="711"/>
      <c r="V32" s="711"/>
      <c r="W32" s="711"/>
      <c r="X32" s="711"/>
      <c r="Y32" s="161"/>
      <c r="Z32" s="25"/>
      <c r="AA32" s="25"/>
      <c r="AB32" s="25"/>
      <c r="AC32" s="25"/>
      <c r="AD32" s="25"/>
    </row>
    <row r="33" spans="2:30" ht="21" customHeight="1" x14ac:dyDescent="0.2">
      <c r="B33" s="377"/>
      <c r="C33" s="153"/>
      <c r="D33" s="13" t="s">
        <v>763</v>
      </c>
      <c r="E33" s="711"/>
      <c r="F33" s="711"/>
      <c r="G33" s="711"/>
      <c r="H33" s="711"/>
      <c r="I33" s="711"/>
      <c r="J33" s="711"/>
      <c r="K33" s="711"/>
      <c r="L33" s="711"/>
      <c r="M33" s="711"/>
      <c r="N33" s="711"/>
      <c r="O33" s="711"/>
      <c r="P33" s="711"/>
      <c r="Q33" s="711"/>
      <c r="R33" s="711"/>
      <c r="S33" s="711"/>
      <c r="T33" s="711"/>
      <c r="U33" s="711"/>
      <c r="V33" s="711"/>
      <c r="W33" s="711"/>
      <c r="X33" s="711"/>
      <c r="Y33" s="161"/>
      <c r="Z33" s="25"/>
      <c r="AA33" s="25"/>
      <c r="AB33" s="25"/>
      <c r="AC33" s="25"/>
      <c r="AD33" s="25"/>
    </row>
    <row r="34" spans="2:30" ht="18" customHeight="1" thickBot="1" x14ac:dyDescent="0.25">
      <c r="B34" s="377"/>
      <c r="C34" s="153"/>
      <c r="D34" s="14" t="s">
        <v>764</v>
      </c>
      <c r="E34" s="712">
        <f t="shared" ref="E34:M34" si="4">IF(E26="","",IF(E32&lt;&gt;"",E32,1.68*E33))</f>
        <v>26494</v>
      </c>
      <c r="F34" s="712" t="str">
        <f t="shared" si="4"/>
        <v/>
      </c>
      <c r="G34" s="712">
        <f t="shared" si="4"/>
        <v>26335</v>
      </c>
      <c r="H34" s="712">
        <f t="shared" si="4"/>
        <v>15870</v>
      </c>
      <c r="I34" s="712">
        <f t="shared" si="4"/>
        <v>73823</v>
      </c>
      <c r="J34" s="712">
        <f t="shared" si="4"/>
        <v>11082</v>
      </c>
      <c r="K34" s="712">
        <f t="shared" si="4"/>
        <v>11496</v>
      </c>
      <c r="L34" s="712">
        <f t="shared" si="4"/>
        <v>15863</v>
      </c>
      <c r="M34" s="712" t="str">
        <f t="shared" si="4"/>
        <v/>
      </c>
      <c r="N34" s="712" t="str">
        <f t="shared" ref="N34:X34" si="5">IF(N26="","",IF(N32&lt;&gt;"",N32,1.68*N33))</f>
        <v/>
      </c>
      <c r="O34" s="712" t="str">
        <f t="shared" si="5"/>
        <v/>
      </c>
      <c r="P34" s="712" t="str">
        <f t="shared" si="5"/>
        <v/>
      </c>
      <c r="Q34" s="712" t="str">
        <f t="shared" si="5"/>
        <v/>
      </c>
      <c r="R34" s="712" t="str">
        <f t="shared" si="5"/>
        <v/>
      </c>
      <c r="S34" s="712" t="str">
        <f t="shared" si="5"/>
        <v/>
      </c>
      <c r="T34" s="712" t="str">
        <f t="shared" si="5"/>
        <v/>
      </c>
      <c r="U34" s="712" t="str">
        <f t="shared" si="5"/>
        <v/>
      </c>
      <c r="V34" s="712" t="str">
        <f t="shared" si="5"/>
        <v/>
      </c>
      <c r="W34" s="712" t="str">
        <f t="shared" si="5"/>
        <v/>
      </c>
      <c r="X34" s="712" t="str">
        <f t="shared" si="5"/>
        <v/>
      </c>
      <c r="Y34" s="161"/>
      <c r="Z34" s="25"/>
      <c r="AA34" s="25"/>
      <c r="AB34" s="25"/>
      <c r="AC34" s="25"/>
      <c r="AD34" s="25"/>
    </row>
    <row r="35" spans="2:30" ht="18" customHeight="1" thickBot="1" x14ac:dyDescent="0.25">
      <c r="B35" s="378"/>
      <c r="C35" s="154"/>
      <c r="D35" s="169"/>
      <c r="E35" s="169"/>
      <c r="F35" s="169"/>
      <c r="G35" s="169"/>
      <c r="H35" s="169"/>
      <c r="I35" s="169"/>
      <c r="J35" s="169"/>
      <c r="K35" s="169"/>
      <c r="L35" s="169"/>
      <c r="M35" s="169"/>
      <c r="N35" s="169"/>
      <c r="O35" s="154"/>
      <c r="P35" s="154"/>
      <c r="Q35" s="154"/>
      <c r="R35" s="154"/>
      <c r="S35" s="154"/>
      <c r="T35" s="154"/>
      <c r="U35" s="154"/>
      <c r="V35" s="154"/>
      <c r="W35" s="154"/>
      <c r="X35" s="154"/>
      <c r="Y35" s="159"/>
      <c r="Z35" s="25"/>
      <c r="AA35" s="25"/>
      <c r="AB35" s="25"/>
      <c r="AC35" s="25"/>
      <c r="AD35" s="25"/>
    </row>
    <row r="36" spans="2:30" ht="40.5" customHeight="1" x14ac:dyDescent="0.2">
      <c r="C36" s="69"/>
      <c r="D36" s="53"/>
      <c r="E36" s="53"/>
      <c r="F36" s="53"/>
      <c r="G36" s="53"/>
      <c r="H36" s="53"/>
      <c r="I36" s="53"/>
      <c r="J36" s="53"/>
      <c r="K36" s="53"/>
      <c r="L36" s="53"/>
      <c r="M36" s="53"/>
      <c r="N36" s="53"/>
      <c r="Z36" s="25"/>
      <c r="AA36" s="25"/>
      <c r="AB36" s="25"/>
      <c r="AC36" s="25"/>
      <c r="AD36" s="25"/>
    </row>
    <row r="37" spans="2:30" ht="40.5" customHeight="1" thickBot="1" x14ac:dyDescent="0.25">
      <c r="C37" s="69"/>
      <c r="D37" s="53"/>
      <c r="E37" s="53"/>
      <c r="F37" s="53"/>
      <c r="G37" s="53"/>
      <c r="H37" s="53"/>
      <c r="I37" s="53"/>
      <c r="J37" s="53"/>
      <c r="K37" s="53"/>
      <c r="L37" s="53"/>
      <c r="M37" s="53"/>
      <c r="N37" s="53"/>
      <c r="Z37" s="25"/>
      <c r="AA37" s="25"/>
      <c r="AB37" s="25"/>
      <c r="AC37" s="25"/>
      <c r="AD37" s="25"/>
    </row>
    <row r="38" spans="2:30" ht="40.5" customHeight="1" thickBot="1" x14ac:dyDescent="0.25">
      <c r="B38" s="352" t="s">
        <v>1298</v>
      </c>
      <c r="C38" s="155"/>
      <c r="D38" s="155"/>
      <c r="E38" s="155"/>
      <c r="F38" s="155"/>
      <c r="G38" s="155"/>
      <c r="H38" s="155"/>
      <c r="I38" s="155"/>
      <c r="J38" s="155"/>
      <c r="K38" s="155"/>
      <c r="L38" s="155"/>
      <c r="M38" s="155"/>
      <c r="N38" s="155"/>
      <c r="O38" s="155"/>
      <c r="P38" s="155"/>
      <c r="Q38" s="155"/>
      <c r="R38" s="155"/>
      <c r="S38" s="155"/>
      <c r="T38" s="155"/>
      <c r="U38" s="155"/>
      <c r="V38" s="155"/>
      <c r="W38" s="155"/>
      <c r="X38" s="155"/>
      <c r="Y38" s="162"/>
      <c r="Z38" s="25"/>
      <c r="AA38" s="25"/>
      <c r="AB38" s="25"/>
      <c r="AC38" s="25"/>
      <c r="AD38" s="25"/>
    </row>
    <row r="39" spans="2:30" ht="28.5" customHeight="1" x14ac:dyDescent="0.3">
      <c r="B39" s="379"/>
      <c r="C39" s="153"/>
      <c r="D39" s="109" t="s">
        <v>1248</v>
      </c>
      <c r="E39" s="163">
        <v>1</v>
      </c>
      <c r="F39" s="163">
        <f>E39+1</f>
        <v>2</v>
      </c>
      <c r="G39" s="163">
        <f t="shared" ref="G39:X39" si="6">F39+1</f>
        <v>3</v>
      </c>
      <c r="H39" s="163">
        <f t="shared" si="6"/>
        <v>4</v>
      </c>
      <c r="I39" s="163">
        <f t="shared" si="6"/>
        <v>5</v>
      </c>
      <c r="J39" s="163">
        <f t="shared" si="6"/>
        <v>6</v>
      </c>
      <c r="K39" s="163">
        <f t="shared" si="6"/>
        <v>7</v>
      </c>
      <c r="L39" s="163">
        <f t="shared" si="6"/>
        <v>8</v>
      </c>
      <c r="M39" s="163">
        <f t="shared" si="6"/>
        <v>9</v>
      </c>
      <c r="N39" s="163">
        <f t="shared" si="6"/>
        <v>10</v>
      </c>
      <c r="O39" s="163">
        <f t="shared" si="6"/>
        <v>11</v>
      </c>
      <c r="P39" s="163">
        <f t="shared" si="6"/>
        <v>12</v>
      </c>
      <c r="Q39" s="163">
        <f t="shared" si="6"/>
        <v>13</v>
      </c>
      <c r="R39" s="163">
        <f t="shared" si="6"/>
        <v>14</v>
      </c>
      <c r="S39" s="163">
        <f t="shared" si="6"/>
        <v>15</v>
      </c>
      <c r="T39" s="163">
        <f t="shared" si="6"/>
        <v>16</v>
      </c>
      <c r="U39" s="163">
        <f t="shared" si="6"/>
        <v>17</v>
      </c>
      <c r="V39" s="163">
        <f t="shared" si="6"/>
        <v>18</v>
      </c>
      <c r="W39" s="163">
        <f t="shared" si="6"/>
        <v>19</v>
      </c>
      <c r="X39" s="163">
        <f t="shared" si="6"/>
        <v>20</v>
      </c>
      <c r="Y39" s="161"/>
    </row>
    <row r="40" spans="2:30" ht="28.5" customHeight="1" x14ac:dyDescent="0.2">
      <c r="B40" s="377"/>
      <c r="C40" s="153"/>
      <c r="D40" s="120" t="s">
        <v>759</v>
      </c>
      <c r="E40" s="164"/>
      <c r="F40" s="164"/>
      <c r="G40" s="164"/>
      <c r="H40" s="164"/>
      <c r="I40" s="164"/>
      <c r="J40" s="164"/>
      <c r="K40" s="164"/>
      <c r="L40" s="164"/>
      <c r="M40" s="164"/>
      <c r="N40" s="164"/>
      <c r="O40" s="164"/>
      <c r="P40" s="164"/>
      <c r="Q40" s="164"/>
      <c r="R40" s="164"/>
      <c r="S40" s="164"/>
      <c r="T40" s="164"/>
      <c r="U40" s="164"/>
      <c r="V40" s="164"/>
      <c r="W40" s="164"/>
      <c r="X40" s="164"/>
      <c r="Y40" s="161"/>
    </row>
    <row r="41" spans="2:30" ht="18" customHeight="1" x14ac:dyDescent="0.2">
      <c r="B41" s="377"/>
      <c r="C41" s="153"/>
      <c r="D41" s="111" t="s">
        <v>1247</v>
      </c>
      <c r="E41" s="165" t="s">
        <v>839</v>
      </c>
      <c r="F41" s="165" t="s">
        <v>840</v>
      </c>
      <c r="G41" s="165" t="s">
        <v>841</v>
      </c>
      <c r="H41" s="165" t="s">
        <v>912</v>
      </c>
      <c r="I41" s="165"/>
      <c r="J41" s="165"/>
      <c r="K41" s="165"/>
      <c r="L41" s="165"/>
      <c r="M41" s="165"/>
      <c r="N41" s="165"/>
      <c r="O41" s="165"/>
      <c r="P41" s="165"/>
      <c r="Q41" s="165"/>
      <c r="R41" s="165"/>
      <c r="S41" s="165"/>
      <c r="T41" s="165"/>
      <c r="U41" s="165"/>
      <c r="V41" s="165"/>
      <c r="W41" s="165"/>
      <c r="X41" s="165"/>
      <c r="Y41" s="161"/>
    </row>
    <row r="42" spans="2:30" ht="15.75" customHeight="1" x14ac:dyDescent="0.2">
      <c r="B42" s="377"/>
      <c r="C42" s="153"/>
      <c r="D42" s="113" t="s">
        <v>12</v>
      </c>
      <c r="E42" s="166"/>
      <c r="F42" s="166"/>
      <c r="G42" s="166"/>
      <c r="H42" s="166"/>
      <c r="I42" s="166"/>
      <c r="J42" s="166"/>
      <c r="K42" s="166"/>
      <c r="L42" s="166"/>
      <c r="M42" s="166"/>
      <c r="N42" s="166"/>
      <c r="O42" s="166"/>
      <c r="P42" s="166"/>
      <c r="Q42" s="166"/>
      <c r="R42" s="166"/>
      <c r="S42" s="166"/>
      <c r="T42" s="166"/>
      <c r="U42" s="166"/>
      <c r="V42" s="166"/>
      <c r="W42" s="166"/>
      <c r="X42" s="166"/>
      <c r="Y42" s="161"/>
    </row>
    <row r="43" spans="2:30" ht="18" customHeight="1" x14ac:dyDescent="0.2">
      <c r="B43" s="377"/>
      <c r="C43" s="153"/>
      <c r="D43" s="112" t="s">
        <v>851</v>
      </c>
      <c r="E43" s="167">
        <v>3</v>
      </c>
      <c r="F43" s="167" t="s">
        <v>846</v>
      </c>
      <c r="G43" s="167" t="s">
        <v>846</v>
      </c>
      <c r="H43" s="167">
        <v>2</v>
      </c>
      <c r="I43" s="167"/>
      <c r="J43" s="167"/>
      <c r="K43" s="167"/>
      <c r="L43" s="167"/>
      <c r="M43" s="167"/>
      <c r="N43" s="167"/>
      <c r="O43" s="167"/>
      <c r="P43" s="167"/>
      <c r="Q43" s="167"/>
      <c r="R43" s="167"/>
      <c r="S43" s="167"/>
      <c r="T43" s="167"/>
      <c r="U43" s="167"/>
      <c r="V43" s="167"/>
      <c r="W43" s="167"/>
      <c r="X43" s="167"/>
      <c r="Y43" s="161"/>
    </row>
    <row r="44" spans="2:30" ht="18" customHeight="1" x14ac:dyDescent="0.2">
      <c r="B44" s="377"/>
      <c r="C44" s="153"/>
      <c r="D44" s="113" t="s">
        <v>1249</v>
      </c>
      <c r="E44" s="166">
        <v>-369.12450000000001</v>
      </c>
      <c r="F44" s="166">
        <v>-527.96040000000005</v>
      </c>
      <c r="G44" s="166">
        <v>-88.043499999999995</v>
      </c>
      <c r="H44" s="166">
        <v>-447.16370000000001</v>
      </c>
      <c r="I44" s="166"/>
      <c r="J44" s="166"/>
      <c r="K44" s="166"/>
      <c r="L44" s="166"/>
      <c r="M44" s="166"/>
      <c r="N44" s="166"/>
      <c r="O44" s="166"/>
      <c r="P44" s="166"/>
      <c r="Q44" s="166"/>
      <c r="R44" s="166"/>
      <c r="S44" s="166"/>
      <c r="T44" s="166"/>
      <c r="U44" s="166"/>
      <c r="V44" s="166"/>
      <c r="W44" s="166"/>
      <c r="X44" s="166"/>
      <c r="Y44" s="161"/>
    </row>
    <row r="45" spans="2:30" ht="22.5" customHeight="1" x14ac:dyDescent="0.2">
      <c r="B45" s="377"/>
      <c r="C45" s="153"/>
      <c r="D45" s="113" t="s">
        <v>1250</v>
      </c>
      <c r="E45" s="166">
        <v>500</v>
      </c>
      <c r="F45" s="166">
        <v>970.05039999999997</v>
      </c>
      <c r="G45" s="166">
        <v>101.67059999999999</v>
      </c>
      <c r="H45" s="166">
        <v>442</v>
      </c>
      <c r="I45" s="166"/>
      <c r="J45" s="166"/>
      <c r="K45" s="166"/>
      <c r="L45" s="166"/>
      <c r="M45" s="166"/>
      <c r="N45" s="166"/>
      <c r="O45" s="166"/>
      <c r="P45" s="166"/>
      <c r="Q45" s="166"/>
      <c r="R45" s="166"/>
      <c r="S45" s="166"/>
      <c r="T45" s="166"/>
      <c r="U45" s="166"/>
      <c r="V45" s="166"/>
      <c r="W45" s="166"/>
      <c r="X45" s="166"/>
      <c r="Y45" s="161"/>
    </row>
    <row r="46" spans="2:30" ht="22.5" customHeight="1" x14ac:dyDescent="0.2">
      <c r="B46" s="377"/>
      <c r="C46" s="153"/>
      <c r="D46" s="113" t="s">
        <v>925</v>
      </c>
      <c r="E46" s="166"/>
      <c r="F46" s="166"/>
      <c r="G46" s="166"/>
      <c r="H46" s="166"/>
      <c r="I46" s="166"/>
      <c r="J46" s="166"/>
      <c r="K46" s="166"/>
      <c r="L46" s="166"/>
      <c r="M46" s="166"/>
      <c r="N46" s="166"/>
      <c r="O46" s="166"/>
      <c r="P46" s="166"/>
      <c r="Q46" s="166"/>
      <c r="R46" s="166"/>
      <c r="S46" s="166"/>
      <c r="T46" s="166"/>
      <c r="U46" s="166"/>
      <c r="V46" s="166"/>
      <c r="W46" s="166"/>
      <c r="X46" s="166"/>
      <c r="Y46" s="161"/>
    </row>
    <row r="47" spans="2:30" ht="22.5" customHeight="1" x14ac:dyDescent="0.2">
      <c r="B47" s="377"/>
      <c r="C47" s="153"/>
      <c r="D47" s="113" t="s">
        <v>688</v>
      </c>
      <c r="E47" s="713">
        <v>91209</v>
      </c>
      <c r="F47" s="713">
        <v>169336</v>
      </c>
      <c r="G47" s="713">
        <v>79937</v>
      </c>
      <c r="H47" s="713">
        <v>106435</v>
      </c>
      <c r="I47" s="713"/>
      <c r="J47" s="713"/>
      <c r="K47" s="713"/>
      <c r="L47" s="713"/>
      <c r="M47" s="713"/>
      <c r="N47" s="713"/>
      <c r="O47" s="713"/>
      <c r="P47" s="713"/>
      <c r="Q47" s="713"/>
      <c r="R47" s="713"/>
      <c r="S47" s="713"/>
      <c r="T47" s="713"/>
      <c r="U47" s="713"/>
      <c r="V47" s="713"/>
      <c r="W47" s="713"/>
      <c r="X47" s="713"/>
      <c r="Y47" s="161"/>
    </row>
    <row r="48" spans="2:30" ht="18.75" customHeight="1" x14ac:dyDescent="0.2">
      <c r="B48" s="377"/>
      <c r="C48" s="153"/>
      <c r="D48" s="116" t="s">
        <v>764</v>
      </c>
      <c r="E48" s="713"/>
      <c r="F48" s="713">
        <v>508007</v>
      </c>
      <c r="G48" s="713">
        <v>239812</v>
      </c>
      <c r="H48" s="713">
        <v>319304</v>
      </c>
      <c r="I48" s="713"/>
      <c r="J48" s="713"/>
      <c r="K48" s="713"/>
      <c r="L48" s="713"/>
      <c r="M48" s="713"/>
      <c r="N48" s="713"/>
      <c r="O48" s="713"/>
      <c r="P48" s="713"/>
      <c r="Q48" s="713"/>
      <c r="R48" s="713"/>
      <c r="S48" s="713"/>
      <c r="T48" s="713"/>
      <c r="U48" s="713"/>
      <c r="V48" s="713"/>
      <c r="W48" s="713"/>
      <c r="X48" s="713"/>
      <c r="Y48" s="161"/>
    </row>
    <row r="49" spans="2:28" ht="18.75" customHeight="1" x14ac:dyDescent="0.2">
      <c r="B49" s="377"/>
      <c r="C49" s="153"/>
      <c r="D49" s="117" t="s">
        <v>763</v>
      </c>
      <c r="E49" s="711"/>
      <c r="F49" s="711"/>
      <c r="G49" s="711"/>
      <c r="H49" s="711"/>
      <c r="I49" s="711"/>
      <c r="J49" s="711"/>
      <c r="K49" s="711"/>
      <c r="L49" s="711"/>
      <c r="M49" s="711"/>
      <c r="N49" s="711"/>
      <c r="O49" s="711"/>
      <c r="P49" s="711"/>
      <c r="Q49" s="711"/>
      <c r="R49" s="711"/>
      <c r="S49" s="711"/>
      <c r="T49" s="711"/>
      <c r="U49" s="711"/>
      <c r="V49" s="711"/>
      <c r="W49" s="711"/>
      <c r="X49" s="711"/>
      <c r="Y49" s="161"/>
    </row>
    <row r="50" spans="2:28" ht="21" customHeight="1" thickBot="1" x14ac:dyDescent="0.25">
      <c r="B50" s="377"/>
      <c r="C50" s="153"/>
      <c r="D50" s="118" t="s">
        <v>764</v>
      </c>
      <c r="E50" s="712">
        <f>IF(E41="","",IF(E48&lt;&gt;"",E48,1.68*E49))</f>
        <v>0</v>
      </c>
      <c r="F50" s="712">
        <f t="shared" ref="F50:M50" si="7">IF(F41="","",IF(F48&lt;&gt;"",F48,1.68*F49))</f>
        <v>508007</v>
      </c>
      <c r="G50" s="712">
        <f t="shared" si="7"/>
        <v>239812</v>
      </c>
      <c r="H50" s="712">
        <f t="shared" si="7"/>
        <v>319304</v>
      </c>
      <c r="I50" s="712" t="str">
        <f t="shared" si="7"/>
        <v/>
      </c>
      <c r="J50" s="712" t="str">
        <f t="shared" si="7"/>
        <v/>
      </c>
      <c r="K50" s="712" t="str">
        <f t="shared" si="7"/>
        <v/>
      </c>
      <c r="L50" s="712" t="str">
        <f t="shared" si="7"/>
        <v/>
      </c>
      <c r="M50" s="712" t="str">
        <f t="shared" si="7"/>
        <v/>
      </c>
      <c r="N50" s="712" t="str">
        <f t="shared" ref="N50:X50" si="8">IF(N41="","",IF(N48&lt;&gt;"",N48,1.68*N49))</f>
        <v/>
      </c>
      <c r="O50" s="712" t="str">
        <f t="shared" si="8"/>
        <v/>
      </c>
      <c r="P50" s="712" t="str">
        <f t="shared" si="8"/>
        <v/>
      </c>
      <c r="Q50" s="712" t="str">
        <f t="shared" si="8"/>
        <v/>
      </c>
      <c r="R50" s="712" t="str">
        <f t="shared" si="8"/>
        <v/>
      </c>
      <c r="S50" s="712" t="str">
        <f t="shared" si="8"/>
        <v/>
      </c>
      <c r="T50" s="712" t="str">
        <f t="shared" si="8"/>
        <v/>
      </c>
      <c r="U50" s="712" t="str">
        <f t="shared" si="8"/>
        <v/>
      </c>
      <c r="V50" s="712" t="str">
        <f t="shared" si="8"/>
        <v/>
      </c>
      <c r="W50" s="712" t="str">
        <f t="shared" si="8"/>
        <v/>
      </c>
      <c r="X50" s="712" t="str">
        <f t="shared" si="8"/>
        <v/>
      </c>
      <c r="Y50" s="168"/>
      <c r="Z50" s="138"/>
      <c r="AA50" s="138"/>
      <c r="AB50" s="380"/>
    </row>
    <row r="51" spans="2:28" ht="18.75" customHeight="1" thickBot="1" x14ac:dyDescent="0.25">
      <c r="B51" s="378"/>
      <c r="C51" s="154"/>
      <c r="D51" s="169"/>
      <c r="E51" s="169"/>
      <c r="F51" s="169"/>
      <c r="G51" s="169"/>
      <c r="H51" s="154"/>
      <c r="I51" s="154"/>
      <c r="J51" s="154"/>
      <c r="K51" s="154"/>
      <c r="L51" s="154"/>
      <c r="M51" s="154"/>
      <c r="N51" s="154"/>
      <c r="O51" s="154"/>
      <c r="P51" s="154"/>
      <c r="Q51" s="154"/>
      <c r="R51" s="154"/>
      <c r="S51" s="154"/>
      <c r="T51" s="154"/>
      <c r="U51" s="154"/>
      <c r="V51" s="154"/>
      <c r="W51" s="170"/>
      <c r="X51" s="171"/>
      <c r="Y51" s="172"/>
      <c r="Z51" s="381"/>
      <c r="AA51" s="382"/>
      <c r="AB51" s="383"/>
    </row>
    <row r="52" spans="2:28" ht="32.25" customHeight="1" x14ac:dyDescent="0.2">
      <c r="D52" s="53"/>
      <c r="E52" s="53"/>
      <c r="F52" s="53"/>
      <c r="G52" s="53"/>
      <c r="H52" s="69"/>
      <c r="I52" s="69"/>
      <c r="J52" s="69"/>
      <c r="K52" s="69"/>
      <c r="L52" s="69"/>
      <c r="M52" s="69"/>
      <c r="N52" s="69"/>
      <c r="O52" s="49"/>
      <c r="W52" s="139"/>
      <c r="X52" s="140"/>
      <c r="Y52" s="138"/>
      <c r="Z52" s="138"/>
      <c r="AA52" s="382"/>
      <c r="AB52" s="380"/>
    </row>
    <row r="53" spans="2:28" ht="32.25" customHeight="1" thickBot="1" x14ac:dyDescent="0.25">
      <c r="D53" s="53"/>
      <c r="E53" s="53"/>
      <c r="F53" s="53"/>
      <c r="G53" s="53"/>
      <c r="H53" s="69"/>
      <c r="I53" s="69"/>
      <c r="J53" s="69"/>
      <c r="K53" s="69"/>
      <c r="L53" s="69"/>
      <c r="M53" s="69"/>
      <c r="N53" s="69"/>
      <c r="O53" s="49"/>
      <c r="W53" s="138"/>
      <c r="X53" s="140"/>
      <c r="Y53" s="138"/>
      <c r="Z53" s="138"/>
      <c r="AA53" s="382"/>
      <c r="AB53" s="380"/>
    </row>
    <row r="54" spans="2:28" ht="32.25" customHeight="1" thickBot="1" x14ac:dyDescent="0.25">
      <c r="B54" s="352" t="s">
        <v>1299</v>
      </c>
      <c r="C54" s="155"/>
      <c r="D54" s="151"/>
      <c r="E54" s="155"/>
      <c r="F54" s="155"/>
      <c r="G54" s="155"/>
      <c r="H54" s="155"/>
      <c r="I54" s="155"/>
      <c r="J54" s="155"/>
      <c r="K54" s="155"/>
      <c r="L54" s="155"/>
      <c r="M54" s="155"/>
      <c r="N54" s="155"/>
      <c r="O54" s="175"/>
      <c r="P54" s="155"/>
      <c r="Q54" s="155"/>
      <c r="R54" s="155"/>
      <c r="S54" s="155"/>
      <c r="T54" s="155"/>
      <c r="U54" s="155"/>
      <c r="V54" s="155"/>
      <c r="W54" s="176"/>
      <c r="X54" s="176"/>
      <c r="Y54" s="177"/>
      <c r="Z54" s="138"/>
      <c r="AA54" s="382"/>
      <c r="AB54" s="380"/>
    </row>
    <row r="55" spans="2:28" ht="28.5" customHeight="1" x14ac:dyDescent="0.3">
      <c r="B55" s="379"/>
      <c r="C55" s="153"/>
      <c r="D55" s="108" t="s">
        <v>15</v>
      </c>
      <c r="E55" s="163">
        <v>1</v>
      </c>
      <c r="F55" s="163">
        <f>E55+1</f>
        <v>2</v>
      </c>
      <c r="G55" s="163">
        <f t="shared" ref="G55:X55" si="9">F55+1</f>
        <v>3</v>
      </c>
      <c r="H55" s="163">
        <f t="shared" si="9"/>
        <v>4</v>
      </c>
      <c r="I55" s="163">
        <f t="shared" si="9"/>
        <v>5</v>
      </c>
      <c r="J55" s="163">
        <f t="shared" si="9"/>
        <v>6</v>
      </c>
      <c r="K55" s="163">
        <f t="shared" si="9"/>
        <v>7</v>
      </c>
      <c r="L55" s="163">
        <f t="shared" si="9"/>
        <v>8</v>
      </c>
      <c r="M55" s="163">
        <f t="shared" si="9"/>
        <v>9</v>
      </c>
      <c r="N55" s="163">
        <f t="shared" si="9"/>
        <v>10</v>
      </c>
      <c r="O55" s="163">
        <f t="shared" si="9"/>
        <v>11</v>
      </c>
      <c r="P55" s="163">
        <f t="shared" si="9"/>
        <v>12</v>
      </c>
      <c r="Q55" s="163">
        <f t="shared" si="9"/>
        <v>13</v>
      </c>
      <c r="R55" s="163">
        <f t="shared" si="9"/>
        <v>14</v>
      </c>
      <c r="S55" s="163">
        <f t="shared" si="9"/>
        <v>15</v>
      </c>
      <c r="T55" s="163">
        <f t="shared" si="9"/>
        <v>16</v>
      </c>
      <c r="U55" s="163">
        <f t="shared" si="9"/>
        <v>17</v>
      </c>
      <c r="V55" s="163">
        <f t="shared" si="9"/>
        <v>18</v>
      </c>
      <c r="W55" s="163">
        <f t="shared" si="9"/>
        <v>19</v>
      </c>
      <c r="X55" s="163">
        <f t="shared" si="9"/>
        <v>20</v>
      </c>
      <c r="Y55" s="178"/>
      <c r="Z55" s="138"/>
      <c r="AA55" s="384"/>
      <c r="AB55" s="380"/>
    </row>
    <row r="56" spans="2:28" ht="28.5" customHeight="1" x14ac:dyDescent="0.2">
      <c r="B56" s="377"/>
      <c r="C56" s="153"/>
      <c r="D56" s="120" t="s">
        <v>759</v>
      </c>
      <c r="E56" s="164"/>
      <c r="F56" s="164"/>
      <c r="G56" s="164"/>
      <c r="H56" s="164"/>
      <c r="I56" s="164"/>
      <c r="J56" s="164"/>
      <c r="K56" s="164"/>
      <c r="L56" s="164"/>
      <c r="M56" s="164"/>
      <c r="N56" s="164"/>
      <c r="O56" s="164"/>
      <c r="P56" s="164"/>
      <c r="Q56" s="164"/>
      <c r="R56" s="164"/>
      <c r="S56" s="164"/>
      <c r="T56" s="164"/>
      <c r="U56" s="164"/>
      <c r="V56" s="164"/>
      <c r="W56" s="164"/>
      <c r="X56" s="164"/>
      <c r="Y56" s="178"/>
      <c r="Z56" s="138"/>
      <c r="AA56" s="384"/>
      <c r="AB56" s="380"/>
    </row>
    <row r="57" spans="2:28" ht="18.75" customHeight="1" x14ac:dyDescent="0.2">
      <c r="B57" s="377"/>
      <c r="C57" s="153"/>
      <c r="D57" s="111" t="s">
        <v>1247</v>
      </c>
      <c r="E57" s="165"/>
      <c r="F57" s="165" t="s">
        <v>838</v>
      </c>
      <c r="G57" s="165" t="s">
        <v>913</v>
      </c>
      <c r="H57" s="165" t="s">
        <v>914</v>
      </c>
      <c r="I57" s="165"/>
      <c r="J57" s="165"/>
      <c r="K57" s="165"/>
      <c r="L57" s="165"/>
      <c r="M57" s="165"/>
      <c r="N57" s="165"/>
      <c r="O57" s="165"/>
      <c r="P57" s="165"/>
      <c r="Q57" s="165"/>
      <c r="R57" s="165"/>
      <c r="S57" s="165"/>
      <c r="T57" s="165"/>
      <c r="U57" s="165"/>
      <c r="V57" s="165"/>
      <c r="W57" s="165"/>
      <c r="X57" s="165"/>
      <c r="Y57" s="178"/>
      <c r="Z57" s="138"/>
      <c r="AA57" s="385"/>
      <c r="AB57" s="383"/>
    </row>
    <row r="58" spans="2:28" ht="18.75" customHeight="1" x14ac:dyDescent="0.2">
      <c r="B58" s="377"/>
      <c r="C58" s="153"/>
      <c r="D58" s="113" t="s">
        <v>12</v>
      </c>
      <c r="E58" s="166"/>
      <c r="F58" s="166"/>
      <c r="G58" s="166"/>
      <c r="H58" s="166"/>
      <c r="I58" s="166"/>
      <c r="J58" s="166"/>
      <c r="K58" s="166"/>
      <c r="L58" s="166"/>
      <c r="M58" s="166"/>
      <c r="N58" s="166"/>
      <c r="O58" s="166"/>
      <c r="P58" s="166"/>
      <c r="Q58" s="166"/>
      <c r="R58" s="166"/>
      <c r="S58" s="166"/>
      <c r="T58" s="166"/>
      <c r="U58" s="166"/>
      <c r="V58" s="166"/>
      <c r="W58" s="166"/>
      <c r="X58" s="166"/>
      <c r="Y58" s="178"/>
      <c r="Z58" s="138"/>
      <c r="AA58" s="384"/>
      <c r="AB58" s="380"/>
    </row>
    <row r="59" spans="2:28" ht="18.75" customHeight="1" x14ac:dyDescent="0.2">
      <c r="B59" s="377"/>
      <c r="C59" s="153"/>
      <c r="D59" s="112" t="s">
        <v>851</v>
      </c>
      <c r="E59" s="167" t="s">
        <v>846</v>
      </c>
      <c r="F59" s="167" t="s">
        <v>846</v>
      </c>
      <c r="G59" s="167" t="s">
        <v>846</v>
      </c>
      <c r="H59" s="167" t="s">
        <v>846</v>
      </c>
      <c r="I59" s="167"/>
      <c r="J59" s="167"/>
      <c r="K59" s="167"/>
      <c r="L59" s="167"/>
      <c r="M59" s="167"/>
      <c r="N59" s="167"/>
      <c r="O59" s="167"/>
      <c r="P59" s="167"/>
      <c r="Q59" s="167"/>
      <c r="R59" s="167"/>
      <c r="S59" s="167"/>
      <c r="T59" s="167"/>
      <c r="U59" s="167"/>
      <c r="V59" s="167"/>
      <c r="W59" s="167"/>
      <c r="X59" s="167"/>
      <c r="Y59" s="178"/>
      <c r="Z59" s="138"/>
      <c r="AA59" s="384"/>
      <c r="AB59" s="386"/>
    </row>
    <row r="60" spans="2:28" ht="18.75" customHeight="1" x14ac:dyDescent="0.2">
      <c r="B60" s="377"/>
      <c r="C60" s="153"/>
      <c r="D60" s="113" t="s">
        <v>924</v>
      </c>
      <c r="E60" s="166"/>
      <c r="F60" s="166">
        <v>-139.76589999999999</v>
      </c>
      <c r="G60" s="166">
        <v>64.786199999999994</v>
      </c>
      <c r="H60" s="166">
        <v>28.6433</v>
      </c>
      <c r="I60" s="166"/>
      <c r="J60" s="166"/>
      <c r="K60" s="166"/>
      <c r="L60" s="166"/>
      <c r="M60" s="166"/>
      <c r="N60" s="166"/>
      <c r="O60" s="166"/>
      <c r="P60" s="166"/>
      <c r="Q60" s="166"/>
      <c r="R60" s="166"/>
      <c r="S60" s="166"/>
      <c r="T60" s="166"/>
      <c r="U60" s="166"/>
      <c r="V60" s="166"/>
      <c r="W60" s="166"/>
      <c r="X60" s="166"/>
      <c r="Y60" s="161"/>
    </row>
    <row r="61" spans="2:28" ht="18.75" customHeight="1" x14ac:dyDescent="0.2">
      <c r="B61" s="377"/>
      <c r="C61" s="153"/>
      <c r="D61" s="113" t="s">
        <v>925</v>
      </c>
      <c r="E61" s="166"/>
      <c r="F61" s="166"/>
      <c r="G61" s="166"/>
      <c r="H61" s="166"/>
      <c r="I61" s="166"/>
      <c r="J61" s="166"/>
      <c r="K61" s="166"/>
      <c r="L61" s="166"/>
      <c r="M61" s="166"/>
      <c r="N61" s="166"/>
      <c r="O61" s="166"/>
      <c r="P61" s="166"/>
      <c r="Q61" s="166"/>
      <c r="R61" s="166"/>
      <c r="S61" s="166"/>
      <c r="T61" s="166"/>
      <c r="U61" s="166"/>
      <c r="V61" s="166"/>
      <c r="W61" s="166"/>
      <c r="X61" s="166"/>
      <c r="Y61" s="161"/>
    </row>
    <row r="62" spans="2:28" ht="18.75" customHeight="1" x14ac:dyDescent="0.2">
      <c r="B62" s="377"/>
      <c r="C62" s="153"/>
      <c r="D62" s="113" t="s">
        <v>687</v>
      </c>
      <c r="E62" s="713"/>
      <c r="F62" s="713">
        <v>3084</v>
      </c>
      <c r="G62" s="713">
        <v>6776</v>
      </c>
      <c r="H62" s="713">
        <v>2755</v>
      </c>
      <c r="I62" s="713"/>
      <c r="J62" s="713"/>
      <c r="K62" s="713"/>
      <c r="L62" s="713"/>
      <c r="M62" s="713"/>
      <c r="N62" s="713"/>
      <c r="O62" s="713"/>
      <c r="P62" s="713"/>
      <c r="Q62" s="713"/>
      <c r="R62" s="713"/>
      <c r="S62" s="713"/>
      <c r="T62" s="713"/>
      <c r="U62" s="713"/>
      <c r="V62" s="713"/>
      <c r="W62" s="713"/>
      <c r="X62" s="713"/>
      <c r="Y62" s="161"/>
    </row>
    <row r="63" spans="2:28" ht="18" customHeight="1" x14ac:dyDescent="0.2">
      <c r="B63" s="377"/>
      <c r="C63" s="153"/>
      <c r="D63" s="116" t="s">
        <v>764</v>
      </c>
      <c r="E63" s="713"/>
      <c r="F63" s="713">
        <v>6168</v>
      </c>
      <c r="G63" s="713">
        <v>13553</v>
      </c>
      <c r="H63" s="713">
        <v>5510</v>
      </c>
      <c r="I63" s="713"/>
      <c r="J63" s="713"/>
      <c r="K63" s="713"/>
      <c r="L63" s="713"/>
      <c r="M63" s="713"/>
      <c r="N63" s="713"/>
      <c r="O63" s="713"/>
      <c r="P63" s="713"/>
      <c r="Q63" s="713"/>
      <c r="R63" s="713"/>
      <c r="S63" s="713"/>
      <c r="T63" s="713"/>
      <c r="U63" s="713"/>
      <c r="V63" s="713"/>
      <c r="W63" s="713"/>
      <c r="X63" s="713"/>
      <c r="Y63" s="161"/>
    </row>
    <row r="64" spans="2:28" ht="18" customHeight="1" x14ac:dyDescent="0.2">
      <c r="B64" s="377"/>
      <c r="C64" s="153"/>
      <c r="D64" s="117" t="s">
        <v>763</v>
      </c>
      <c r="E64" s="711"/>
      <c r="F64" s="711"/>
      <c r="G64" s="711"/>
      <c r="H64" s="711"/>
      <c r="I64" s="711"/>
      <c r="J64" s="711"/>
      <c r="K64" s="711"/>
      <c r="L64" s="711"/>
      <c r="M64" s="711"/>
      <c r="N64" s="711"/>
      <c r="O64" s="711"/>
      <c r="P64" s="711"/>
      <c r="Q64" s="711"/>
      <c r="R64" s="711"/>
      <c r="S64" s="711"/>
      <c r="T64" s="711"/>
      <c r="U64" s="711"/>
      <c r="V64" s="711"/>
      <c r="W64" s="711"/>
      <c r="X64" s="711"/>
      <c r="Y64" s="161"/>
    </row>
    <row r="65" spans="2:25" ht="18" customHeight="1" thickBot="1" x14ac:dyDescent="0.25">
      <c r="B65" s="377"/>
      <c r="C65" s="153"/>
      <c r="D65" s="118" t="s">
        <v>764</v>
      </c>
      <c r="E65" s="712" t="str">
        <f>IF(E57="","",IF(E63&lt;&gt;"",E63,1.68*E64))</f>
        <v/>
      </c>
      <c r="F65" s="712">
        <f t="shared" ref="F65:M65" si="10">IF(F57="","",IF(F63&lt;&gt;"",F63,1.68*F64))</f>
        <v>6168</v>
      </c>
      <c r="G65" s="712">
        <f t="shared" si="10"/>
        <v>13553</v>
      </c>
      <c r="H65" s="712">
        <f t="shared" si="10"/>
        <v>5510</v>
      </c>
      <c r="I65" s="712" t="str">
        <f t="shared" si="10"/>
        <v/>
      </c>
      <c r="J65" s="712" t="str">
        <f t="shared" si="10"/>
        <v/>
      </c>
      <c r="K65" s="712" t="str">
        <f t="shared" si="10"/>
        <v/>
      </c>
      <c r="L65" s="712" t="str">
        <f t="shared" si="10"/>
        <v/>
      </c>
      <c r="M65" s="712" t="str">
        <f t="shared" si="10"/>
        <v/>
      </c>
      <c r="N65" s="712" t="str">
        <f t="shared" ref="N65:X65" si="11">IF(N57="","",IF(N63&lt;&gt;"",N63,1.68*N64))</f>
        <v/>
      </c>
      <c r="O65" s="712" t="str">
        <f t="shared" si="11"/>
        <v/>
      </c>
      <c r="P65" s="712" t="str">
        <f t="shared" si="11"/>
        <v/>
      </c>
      <c r="Q65" s="712" t="str">
        <f t="shared" si="11"/>
        <v/>
      </c>
      <c r="R65" s="712" t="str">
        <f t="shared" si="11"/>
        <v/>
      </c>
      <c r="S65" s="712" t="str">
        <f t="shared" si="11"/>
        <v/>
      </c>
      <c r="T65" s="712" t="str">
        <f t="shared" si="11"/>
        <v/>
      </c>
      <c r="U65" s="712" t="str">
        <f t="shared" si="11"/>
        <v/>
      </c>
      <c r="V65" s="712" t="str">
        <f t="shared" si="11"/>
        <v/>
      </c>
      <c r="W65" s="712" t="str">
        <f t="shared" si="11"/>
        <v/>
      </c>
      <c r="X65" s="712" t="str">
        <f t="shared" si="11"/>
        <v/>
      </c>
      <c r="Y65" s="161"/>
    </row>
    <row r="66" spans="2:25" ht="18" customHeight="1" thickBot="1" x14ac:dyDescent="0.25">
      <c r="B66" s="378"/>
      <c r="C66" s="154"/>
      <c r="D66" s="149"/>
      <c r="E66" s="169"/>
      <c r="F66" s="169"/>
      <c r="G66" s="169"/>
      <c r="H66" s="154"/>
      <c r="I66" s="154"/>
      <c r="J66" s="154"/>
      <c r="K66" s="154"/>
      <c r="L66" s="154"/>
      <c r="M66" s="154"/>
      <c r="N66" s="154"/>
      <c r="O66" s="179"/>
      <c r="P66" s="154"/>
      <c r="Q66" s="154"/>
      <c r="R66" s="154"/>
      <c r="S66" s="154"/>
      <c r="T66" s="154"/>
      <c r="U66" s="154"/>
      <c r="V66" s="154"/>
      <c r="W66" s="154"/>
      <c r="X66" s="154"/>
      <c r="Y66" s="159"/>
    </row>
    <row r="67" spans="2:25" ht="27.75" customHeight="1" x14ac:dyDescent="0.2">
      <c r="D67" s="53"/>
      <c r="E67" s="53"/>
      <c r="F67" s="53"/>
      <c r="G67" s="53"/>
      <c r="H67" s="69"/>
      <c r="I67" s="69"/>
      <c r="J67" s="69"/>
      <c r="K67" s="69"/>
      <c r="L67" s="69"/>
      <c r="M67" s="69"/>
      <c r="N67" s="69"/>
      <c r="O67" s="49"/>
      <c r="W67" s="53"/>
      <c r="X67" s="53"/>
    </row>
    <row r="68" spans="2:25" ht="27.75" customHeight="1" thickBot="1" x14ac:dyDescent="0.25">
      <c r="D68" s="53"/>
      <c r="E68" s="53"/>
      <c r="F68" s="53"/>
      <c r="G68" s="53"/>
      <c r="H68" s="69"/>
      <c r="I68" s="69"/>
      <c r="J68" s="69"/>
      <c r="K68" s="69"/>
      <c r="L68" s="69"/>
      <c r="M68" s="69"/>
      <c r="N68" s="69"/>
      <c r="O68" s="49"/>
    </row>
    <row r="69" spans="2:25" ht="39.75" customHeight="1" thickBot="1" x14ac:dyDescent="0.25">
      <c r="B69" s="352" t="s">
        <v>1300</v>
      </c>
      <c r="C69" s="155"/>
      <c r="D69" s="152"/>
      <c r="E69" s="180"/>
      <c r="F69" s="180"/>
      <c r="G69" s="180"/>
      <c r="H69" s="155"/>
      <c r="I69" s="155"/>
      <c r="J69" s="155"/>
      <c r="K69" s="155"/>
      <c r="L69" s="155"/>
      <c r="M69" s="155"/>
      <c r="N69" s="155"/>
      <c r="O69" s="175"/>
      <c r="P69" s="155"/>
      <c r="Q69" s="155"/>
      <c r="R69" s="155"/>
      <c r="S69" s="155"/>
      <c r="T69" s="155"/>
      <c r="U69" s="155"/>
      <c r="V69" s="155"/>
      <c r="W69" s="155"/>
      <c r="X69" s="155"/>
      <c r="Y69" s="162"/>
    </row>
    <row r="70" spans="2:25" ht="31.5" customHeight="1" x14ac:dyDescent="0.3">
      <c r="B70" s="379"/>
      <c r="C70" s="153"/>
      <c r="D70" s="109" t="s">
        <v>14</v>
      </c>
      <c r="E70" s="163">
        <v>1</v>
      </c>
      <c r="F70" s="163">
        <f>E70+1</f>
        <v>2</v>
      </c>
      <c r="G70" s="163">
        <f t="shared" ref="G70:X70" si="12">F70+1</f>
        <v>3</v>
      </c>
      <c r="H70" s="163">
        <f t="shared" si="12"/>
        <v>4</v>
      </c>
      <c r="I70" s="163">
        <f t="shared" si="12"/>
        <v>5</v>
      </c>
      <c r="J70" s="163">
        <f t="shared" si="12"/>
        <v>6</v>
      </c>
      <c r="K70" s="163">
        <f t="shared" si="12"/>
        <v>7</v>
      </c>
      <c r="L70" s="163">
        <f t="shared" si="12"/>
        <v>8</v>
      </c>
      <c r="M70" s="163">
        <f t="shared" si="12"/>
        <v>9</v>
      </c>
      <c r="N70" s="163">
        <f t="shared" si="12"/>
        <v>10</v>
      </c>
      <c r="O70" s="163">
        <f t="shared" si="12"/>
        <v>11</v>
      </c>
      <c r="P70" s="163">
        <f t="shared" si="12"/>
        <v>12</v>
      </c>
      <c r="Q70" s="163">
        <f t="shared" si="12"/>
        <v>13</v>
      </c>
      <c r="R70" s="163">
        <f t="shared" si="12"/>
        <v>14</v>
      </c>
      <c r="S70" s="163">
        <f t="shared" si="12"/>
        <v>15</v>
      </c>
      <c r="T70" s="163">
        <f t="shared" si="12"/>
        <v>16</v>
      </c>
      <c r="U70" s="163">
        <f t="shared" si="12"/>
        <v>17</v>
      </c>
      <c r="V70" s="163">
        <f t="shared" si="12"/>
        <v>18</v>
      </c>
      <c r="W70" s="163">
        <f t="shared" si="12"/>
        <v>19</v>
      </c>
      <c r="X70" s="163">
        <f t="shared" si="12"/>
        <v>20</v>
      </c>
      <c r="Y70" s="161"/>
    </row>
    <row r="71" spans="2:25" ht="31.5" customHeight="1" x14ac:dyDescent="0.2">
      <c r="B71" s="377"/>
      <c r="C71" s="153"/>
      <c r="D71" s="10" t="s">
        <v>759</v>
      </c>
      <c r="E71" s="181" t="s">
        <v>692</v>
      </c>
      <c r="F71" s="181"/>
      <c r="G71" s="181"/>
      <c r="H71" s="181"/>
      <c r="I71" s="181"/>
      <c r="J71" s="181"/>
      <c r="K71" s="181"/>
      <c r="L71" s="181"/>
      <c r="M71" s="181"/>
      <c r="N71" s="181"/>
      <c r="O71" s="181"/>
      <c r="P71" s="181"/>
      <c r="Q71" s="181"/>
      <c r="R71" s="181"/>
      <c r="S71" s="181"/>
      <c r="T71" s="181"/>
      <c r="U71" s="181"/>
      <c r="V71" s="181"/>
      <c r="W71" s="181"/>
      <c r="X71" s="181"/>
      <c r="Y71" s="161"/>
    </row>
    <row r="72" spans="2:25" ht="18" customHeight="1" x14ac:dyDescent="0.2">
      <c r="B72" s="377"/>
      <c r="C72" s="153"/>
      <c r="D72" s="311" t="s">
        <v>1247</v>
      </c>
      <c r="E72" s="165" t="s">
        <v>837</v>
      </c>
      <c r="F72" s="165" t="s">
        <v>906</v>
      </c>
      <c r="G72" s="165"/>
      <c r="H72" s="165"/>
      <c r="I72" s="165"/>
      <c r="J72" s="165"/>
      <c r="K72" s="165"/>
      <c r="L72" s="165"/>
      <c r="M72" s="165"/>
      <c r="N72" s="165"/>
      <c r="O72" s="165"/>
      <c r="P72" s="165"/>
      <c r="Q72" s="165"/>
      <c r="R72" s="165"/>
      <c r="S72" s="165"/>
      <c r="T72" s="165"/>
      <c r="U72" s="165"/>
      <c r="V72" s="165"/>
      <c r="W72" s="165"/>
      <c r="X72" s="165"/>
      <c r="Y72" s="161"/>
    </row>
    <row r="73" spans="2:25" ht="18" customHeight="1" x14ac:dyDescent="0.2">
      <c r="B73" s="377"/>
      <c r="C73" s="153"/>
      <c r="D73" s="308" t="s">
        <v>12</v>
      </c>
      <c r="E73" s="166" t="s">
        <v>689</v>
      </c>
      <c r="F73" s="166" t="s">
        <v>907</v>
      </c>
      <c r="G73" s="166"/>
      <c r="H73" s="166"/>
      <c r="I73" s="166"/>
      <c r="J73" s="166"/>
      <c r="K73" s="166"/>
      <c r="L73" s="166"/>
      <c r="M73" s="166"/>
      <c r="N73" s="166"/>
      <c r="O73" s="166"/>
      <c r="P73" s="166"/>
      <c r="Q73" s="166"/>
      <c r="R73" s="166"/>
      <c r="S73" s="166"/>
      <c r="T73" s="166"/>
      <c r="U73" s="166"/>
      <c r="V73" s="166"/>
      <c r="W73" s="166"/>
      <c r="X73" s="166"/>
      <c r="Y73" s="161"/>
    </row>
    <row r="74" spans="2:25" ht="18" customHeight="1" x14ac:dyDescent="0.2">
      <c r="B74" s="377"/>
      <c r="C74" s="153"/>
      <c r="D74" s="312" t="s">
        <v>851</v>
      </c>
      <c r="E74" s="167" t="s">
        <v>846</v>
      </c>
      <c r="F74" s="167">
        <v>3</v>
      </c>
      <c r="G74" s="167"/>
      <c r="H74" s="167"/>
      <c r="I74" s="167"/>
      <c r="J74" s="167"/>
      <c r="K74" s="167"/>
      <c r="L74" s="167"/>
      <c r="M74" s="167"/>
      <c r="N74" s="167"/>
      <c r="O74" s="167"/>
      <c r="P74" s="167"/>
      <c r="Q74" s="167"/>
      <c r="R74" s="167"/>
      <c r="S74" s="167"/>
      <c r="T74" s="167"/>
      <c r="U74" s="167"/>
      <c r="V74" s="167"/>
      <c r="W74" s="167"/>
      <c r="X74" s="167"/>
      <c r="Y74" s="161"/>
    </row>
    <row r="75" spans="2:25" ht="18" customHeight="1" x14ac:dyDescent="0.2">
      <c r="B75" s="377"/>
      <c r="C75" s="153"/>
      <c r="D75" s="308" t="s">
        <v>924</v>
      </c>
      <c r="E75" s="166"/>
      <c r="F75" s="166"/>
      <c r="G75" s="166"/>
      <c r="H75" s="166"/>
      <c r="I75" s="166"/>
      <c r="J75" s="166"/>
      <c r="K75" s="166"/>
      <c r="L75" s="166"/>
      <c r="M75" s="166"/>
      <c r="N75" s="166"/>
      <c r="O75" s="166"/>
      <c r="P75" s="166"/>
      <c r="Q75" s="166"/>
      <c r="R75" s="166"/>
      <c r="S75" s="166"/>
      <c r="T75" s="166"/>
      <c r="U75" s="166"/>
      <c r="V75" s="166"/>
      <c r="W75" s="166"/>
      <c r="X75" s="166"/>
      <c r="Y75" s="161"/>
    </row>
    <row r="76" spans="2:25" ht="18" customHeight="1" x14ac:dyDescent="0.2">
      <c r="B76" s="377"/>
      <c r="C76" s="153"/>
      <c r="D76" s="308" t="s">
        <v>925</v>
      </c>
      <c r="E76" s="166"/>
      <c r="F76" s="166"/>
      <c r="G76" s="166"/>
      <c r="H76" s="166"/>
      <c r="I76" s="166"/>
      <c r="J76" s="166"/>
      <c r="K76" s="166"/>
      <c r="L76" s="166"/>
      <c r="M76" s="166"/>
      <c r="N76" s="166"/>
      <c r="O76" s="166"/>
      <c r="P76" s="166"/>
      <c r="Q76" s="166"/>
      <c r="R76" s="166"/>
      <c r="S76" s="166"/>
      <c r="T76" s="166"/>
      <c r="U76" s="166"/>
      <c r="V76" s="166"/>
      <c r="W76" s="166"/>
      <c r="X76" s="166"/>
      <c r="Y76" s="161"/>
    </row>
    <row r="77" spans="2:25" ht="18" customHeight="1" x14ac:dyDescent="0.2">
      <c r="B77" s="377"/>
      <c r="C77" s="153"/>
      <c r="D77" s="308" t="s">
        <v>688</v>
      </c>
      <c r="E77" s="713">
        <v>144685</v>
      </c>
      <c r="F77" s="713">
        <v>23100</v>
      </c>
      <c r="G77" s="713"/>
      <c r="H77" s="713"/>
      <c r="I77" s="713"/>
      <c r="J77" s="713"/>
      <c r="K77" s="713"/>
      <c r="L77" s="713"/>
      <c r="M77" s="713"/>
      <c r="N77" s="713"/>
      <c r="O77" s="713"/>
      <c r="P77" s="713"/>
      <c r="Q77" s="713"/>
      <c r="R77" s="713"/>
      <c r="S77" s="713"/>
      <c r="T77" s="713"/>
      <c r="U77" s="713"/>
      <c r="V77" s="713"/>
      <c r="W77" s="713"/>
      <c r="X77" s="713"/>
      <c r="Y77" s="161"/>
    </row>
    <row r="78" spans="2:25" ht="18" customHeight="1" x14ac:dyDescent="0.2">
      <c r="B78" s="377"/>
      <c r="C78" s="153"/>
      <c r="D78" s="12" t="s">
        <v>764</v>
      </c>
      <c r="E78" s="713">
        <v>434054</v>
      </c>
      <c r="F78" s="713"/>
      <c r="G78" s="713"/>
      <c r="H78" s="713"/>
      <c r="I78" s="713"/>
      <c r="J78" s="713"/>
      <c r="K78" s="713"/>
      <c r="L78" s="713"/>
      <c r="M78" s="713"/>
      <c r="N78" s="713"/>
      <c r="O78" s="713"/>
      <c r="P78" s="713"/>
      <c r="Q78" s="713"/>
      <c r="R78" s="713"/>
      <c r="S78" s="713"/>
      <c r="T78" s="713"/>
      <c r="U78" s="713"/>
      <c r="V78" s="713"/>
      <c r="W78" s="713"/>
      <c r="X78" s="713"/>
      <c r="Y78" s="161"/>
    </row>
    <row r="79" spans="2:25" ht="18" customHeight="1" x14ac:dyDescent="0.2">
      <c r="B79" s="377"/>
      <c r="C79" s="153"/>
      <c r="D79" s="13" t="s">
        <v>763</v>
      </c>
      <c r="E79" s="711"/>
      <c r="F79" s="711">
        <v>121000</v>
      </c>
      <c r="G79" s="711"/>
      <c r="H79" s="711"/>
      <c r="I79" s="711"/>
      <c r="J79" s="711"/>
      <c r="K79" s="711"/>
      <c r="L79" s="711"/>
      <c r="M79" s="711"/>
      <c r="N79" s="711"/>
      <c r="O79" s="711"/>
      <c r="P79" s="711"/>
      <c r="Q79" s="711"/>
      <c r="R79" s="711"/>
      <c r="S79" s="711"/>
      <c r="T79" s="711"/>
      <c r="U79" s="711"/>
      <c r="V79" s="711"/>
      <c r="W79" s="711"/>
      <c r="X79" s="711"/>
      <c r="Y79" s="161"/>
    </row>
    <row r="80" spans="2:25" ht="18" customHeight="1" thickBot="1" x14ac:dyDescent="0.25">
      <c r="B80" s="377"/>
      <c r="C80" s="153"/>
      <c r="D80" s="14" t="s">
        <v>764</v>
      </c>
      <c r="E80" s="712">
        <f t="shared" ref="E80:M80" si="13">IF(E72="","",IF(E78&lt;&gt;"",E78,1.68*E79))</f>
        <v>434054</v>
      </c>
      <c r="F80" s="712">
        <f t="shared" si="13"/>
        <v>203280</v>
      </c>
      <c r="G80" s="712" t="str">
        <f t="shared" si="13"/>
        <v/>
      </c>
      <c r="H80" s="712" t="str">
        <f t="shared" si="13"/>
        <v/>
      </c>
      <c r="I80" s="712" t="str">
        <f t="shared" si="13"/>
        <v/>
      </c>
      <c r="J80" s="712" t="str">
        <f t="shared" si="13"/>
        <v/>
      </c>
      <c r="K80" s="712" t="str">
        <f t="shared" si="13"/>
        <v/>
      </c>
      <c r="L80" s="712" t="str">
        <f t="shared" si="13"/>
        <v/>
      </c>
      <c r="M80" s="712" t="str">
        <f t="shared" si="13"/>
        <v/>
      </c>
      <c r="N80" s="712" t="str">
        <f t="shared" ref="N80:X80" si="14">IF(N72="","",IF(N78&lt;&gt;"",N78,1.68*N79))</f>
        <v/>
      </c>
      <c r="O80" s="712" t="str">
        <f t="shared" si="14"/>
        <v/>
      </c>
      <c r="P80" s="712" t="str">
        <f t="shared" si="14"/>
        <v/>
      </c>
      <c r="Q80" s="712" t="str">
        <f t="shared" si="14"/>
        <v/>
      </c>
      <c r="R80" s="712" t="str">
        <f t="shared" si="14"/>
        <v/>
      </c>
      <c r="S80" s="712" t="str">
        <f t="shared" si="14"/>
        <v/>
      </c>
      <c r="T80" s="712" t="str">
        <f t="shared" si="14"/>
        <v/>
      </c>
      <c r="U80" s="712" t="str">
        <f t="shared" si="14"/>
        <v/>
      </c>
      <c r="V80" s="712" t="str">
        <f t="shared" si="14"/>
        <v/>
      </c>
      <c r="W80" s="712" t="str">
        <f t="shared" si="14"/>
        <v/>
      </c>
      <c r="X80" s="712" t="str">
        <f t="shared" si="14"/>
        <v/>
      </c>
      <c r="Y80" s="161"/>
    </row>
    <row r="81" spans="2:25" ht="18" customHeight="1" thickBot="1" x14ac:dyDescent="0.25">
      <c r="B81" s="378"/>
      <c r="C81" s="154"/>
      <c r="D81" s="149"/>
      <c r="E81" s="169"/>
      <c r="F81" s="169"/>
      <c r="G81" s="169"/>
      <c r="H81" s="154"/>
      <c r="I81" s="154"/>
      <c r="J81" s="154"/>
      <c r="K81" s="154"/>
      <c r="L81" s="154"/>
      <c r="M81" s="154"/>
      <c r="N81" s="154"/>
      <c r="O81" s="154"/>
      <c r="P81" s="154"/>
      <c r="Q81" s="154"/>
      <c r="R81" s="154"/>
      <c r="S81" s="154"/>
      <c r="T81" s="154"/>
      <c r="U81" s="154"/>
      <c r="V81" s="154"/>
      <c r="W81" s="154"/>
      <c r="X81" s="154"/>
      <c r="Y81" s="159"/>
    </row>
    <row r="82" spans="2:25" ht="30" customHeight="1" x14ac:dyDescent="0.2">
      <c r="C82" s="69"/>
      <c r="D82" s="53"/>
      <c r="E82" s="53"/>
      <c r="F82" s="53"/>
      <c r="G82" s="53"/>
      <c r="H82" s="69"/>
      <c r="I82" s="69"/>
      <c r="J82" s="69"/>
      <c r="K82" s="69"/>
      <c r="L82" s="69"/>
      <c r="M82" s="69"/>
      <c r="N82" s="69"/>
    </row>
    <row r="83" spans="2:25" ht="30" customHeight="1" thickBot="1" x14ac:dyDescent="0.25">
      <c r="C83" s="69"/>
      <c r="D83" s="53"/>
      <c r="E83" s="53"/>
      <c r="F83" s="53"/>
      <c r="G83" s="53"/>
      <c r="H83" s="69"/>
      <c r="I83" s="69"/>
      <c r="J83" s="69"/>
      <c r="K83" s="69"/>
      <c r="L83" s="69"/>
      <c r="M83" s="69"/>
      <c r="N83" s="69"/>
    </row>
    <row r="84" spans="2:25" ht="35.25" customHeight="1" thickBot="1" x14ac:dyDescent="0.25">
      <c r="B84" s="352" t="s">
        <v>1301</v>
      </c>
      <c r="C84" s="155"/>
      <c r="D84" s="152"/>
      <c r="E84" s="180"/>
      <c r="F84" s="180"/>
      <c r="G84" s="180"/>
      <c r="H84" s="155"/>
      <c r="I84" s="155"/>
      <c r="J84" s="155"/>
      <c r="K84" s="155"/>
      <c r="L84" s="155"/>
      <c r="M84" s="155"/>
      <c r="N84" s="155"/>
      <c r="O84" s="155"/>
      <c r="P84" s="155"/>
      <c r="Q84" s="155"/>
      <c r="R84" s="155"/>
      <c r="S84" s="155"/>
      <c r="T84" s="155"/>
      <c r="U84" s="155"/>
      <c r="V84" s="155"/>
      <c r="W84" s="155"/>
      <c r="X84" s="155"/>
      <c r="Y84" s="162"/>
    </row>
    <row r="85" spans="2:25" ht="30" customHeight="1" x14ac:dyDescent="0.3">
      <c r="B85" s="379"/>
      <c r="C85" s="153"/>
      <c r="D85" s="109" t="s">
        <v>13</v>
      </c>
      <c r="E85" s="163">
        <v>1</v>
      </c>
      <c r="F85" s="163">
        <f>E85+1</f>
        <v>2</v>
      </c>
      <c r="G85" s="163">
        <f t="shared" ref="G85:X85" si="15">F85+1</f>
        <v>3</v>
      </c>
      <c r="H85" s="163">
        <f t="shared" si="15"/>
        <v>4</v>
      </c>
      <c r="I85" s="163">
        <f t="shared" si="15"/>
        <v>5</v>
      </c>
      <c r="J85" s="163">
        <f t="shared" si="15"/>
        <v>6</v>
      </c>
      <c r="K85" s="163">
        <f t="shared" si="15"/>
        <v>7</v>
      </c>
      <c r="L85" s="163">
        <f t="shared" si="15"/>
        <v>8</v>
      </c>
      <c r="M85" s="163">
        <f t="shared" si="15"/>
        <v>9</v>
      </c>
      <c r="N85" s="163">
        <f t="shared" si="15"/>
        <v>10</v>
      </c>
      <c r="O85" s="163">
        <f t="shared" si="15"/>
        <v>11</v>
      </c>
      <c r="P85" s="163">
        <f t="shared" si="15"/>
        <v>12</v>
      </c>
      <c r="Q85" s="163">
        <f t="shared" si="15"/>
        <v>13</v>
      </c>
      <c r="R85" s="163">
        <f t="shared" si="15"/>
        <v>14</v>
      </c>
      <c r="S85" s="163">
        <f t="shared" si="15"/>
        <v>15</v>
      </c>
      <c r="T85" s="163">
        <f t="shared" si="15"/>
        <v>16</v>
      </c>
      <c r="U85" s="163">
        <f t="shared" si="15"/>
        <v>17</v>
      </c>
      <c r="V85" s="163">
        <f t="shared" si="15"/>
        <v>18</v>
      </c>
      <c r="W85" s="163">
        <f t="shared" si="15"/>
        <v>19</v>
      </c>
      <c r="X85" s="163">
        <f t="shared" si="15"/>
        <v>20</v>
      </c>
      <c r="Y85" s="161"/>
    </row>
    <row r="86" spans="2:25" ht="30" customHeight="1" x14ac:dyDescent="0.2">
      <c r="B86" s="377"/>
      <c r="C86" s="153"/>
      <c r="D86" s="15" t="s">
        <v>759</v>
      </c>
      <c r="E86" s="181" t="s">
        <v>694</v>
      </c>
      <c r="F86" s="181" t="s">
        <v>694</v>
      </c>
      <c r="G86" s="181" t="s">
        <v>905</v>
      </c>
      <c r="H86" s="181" t="s">
        <v>905</v>
      </c>
      <c r="I86" s="181" t="s">
        <v>694</v>
      </c>
      <c r="J86" s="181"/>
      <c r="K86" s="181"/>
      <c r="L86" s="181"/>
      <c r="M86" s="181"/>
      <c r="N86" s="181"/>
      <c r="O86" s="181"/>
      <c r="P86" s="181"/>
      <c r="Q86" s="181"/>
      <c r="R86" s="181"/>
      <c r="S86" s="181"/>
      <c r="T86" s="181"/>
      <c r="U86" s="181"/>
      <c r="V86" s="181"/>
      <c r="W86" s="181"/>
      <c r="X86" s="181"/>
      <c r="Y86" s="161"/>
    </row>
    <row r="87" spans="2:25" ht="18" customHeight="1" x14ac:dyDescent="0.2">
      <c r="B87" s="377"/>
      <c r="C87" s="153"/>
      <c r="D87" s="311" t="s">
        <v>1247</v>
      </c>
      <c r="E87" s="165" t="s">
        <v>835</v>
      </c>
      <c r="F87" s="165" t="s">
        <v>836</v>
      </c>
      <c r="G87" s="165" t="s">
        <v>903</v>
      </c>
      <c r="H87" s="165" t="s">
        <v>904</v>
      </c>
      <c r="I87" s="165" t="s">
        <v>917</v>
      </c>
      <c r="J87" s="165"/>
      <c r="K87" s="165"/>
      <c r="L87" s="165"/>
      <c r="M87" s="165"/>
      <c r="N87" s="165"/>
      <c r="O87" s="165"/>
      <c r="P87" s="165"/>
      <c r="Q87" s="165"/>
      <c r="R87" s="165"/>
      <c r="S87" s="165"/>
      <c r="T87" s="165"/>
      <c r="U87" s="165"/>
      <c r="V87" s="165"/>
      <c r="W87" s="165"/>
      <c r="X87" s="165"/>
      <c r="Y87" s="161"/>
    </row>
    <row r="88" spans="2:25" ht="18" customHeight="1" x14ac:dyDescent="0.2">
      <c r="B88" s="377"/>
      <c r="C88" s="153"/>
      <c r="D88" s="311" t="s">
        <v>12</v>
      </c>
      <c r="E88" s="166"/>
      <c r="F88" s="166"/>
      <c r="G88" s="166"/>
      <c r="H88" s="166"/>
      <c r="I88" s="166"/>
      <c r="J88" s="166"/>
      <c r="K88" s="166"/>
      <c r="L88" s="166"/>
      <c r="M88" s="166"/>
      <c r="N88" s="166"/>
      <c r="O88" s="166"/>
      <c r="P88" s="166"/>
      <c r="Q88" s="166"/>
      <c r="R88" s="166"/>
      <c r="S88" s="166"/>
      <c r="T88" s="166"/>
      <c r="U88" s="166"/>
      <c r="V88" s="166"/>
      <c r="W88" s="166"/>
      <c r="X88" s="166"/>
      <c r="Y88" s="161"/>
    </row>
    <row r="89" spans="2:25" ht="18" customHeight="1" x14ac:dyDescent="0.2">
      <c r="B89" s="377"/>
      <c r="C89" s="153"/>
      <c r="D89" s="312" t="s">
        <v>851</v>
      </c>
      <c r="E89" s="167" t="s">
        <v>846</v>
      </c>
      <c r="F89" s="167">
        <v>1</v>
      </c>
      <c r="G89" s="167" t="s">
        <v>846</v>
      </c>
      <c r="H89" s="167" t="s">
        <v>846</v>
      </c>
      <c r="I89" s="167">
        <v>1</v>
      </c>
      <c r="J89" s="167"/>
      <c r="K89" s="167"/>
      <c r="L89" s="167"/>
      <c r="M89" s="167"/>
      <c r="N89" s="167"/>
      <c r="O89" s="167"/>
      <c r="P89" s="167"/>
      <c r="Q89" s="167"/>
      <c r="R89" s="167"/>
      <c r="S89" s="167"/>
      <c r="T89" s="167"/>
      <c r="U89" s="167"/>
      <c r="V89" s="167"/>
      <c r="W89" s="167"/>
      <c r="X89" s="167"/>
      <c r="Y89" s="161"/>
    </row>
    <row r="90" spans="2:25" ht="18" customHeight="1" x14ac:dyDescent="0.2">
      <c r="B90" s="377"/>
      <c r="C90" s="153"/>
      <c r="D90" s="308" t="s">
        <v>924</v>
      </c>
      <c r="E90" s="166">
        <v>1.6084000000000001</v>
      </c>
      <c r="F90" s="166">
        <v>-6.5940999999999998E-5</v>
      </c>
      <c r="G90" s="166"/>
      <c r="H90" s="166"/>
      <c r="I90" s="166"/>
      <c r="J90" s="166"/>
      <c r="K90" s="166"/>
      <c r="L90" s="166"/>
      <c r="M90" s="166"/>
      <c r="N90" s="166"/>
      <c r="O90" s="166"/>
      <c r="P90" s="166"/>
      <c r="Q90" s="166"/>
      <c r="R90" s="166"/>
      <c r="S90" s="166"/>
      <c r="T90" s="166"/>
      <c r="U90" s="166"/>
      <c r="V90" s="166"/>
      <c r="W90" s="166"/>
      <c r="X90" s="166"/>
      <c r="Y90" s="161"/>
    </row>
    <row r="91" spans="2:25" ht="18" customHeight="1" x14ac:dyDescent="0.2">
      <c r="B91" s="377"/>
      <c r="C91" s="153"/>
      <c r="D91" s="308" t="s">
        <v>925</v>
      </c>
      <c r="E91" s="166"/>
      <c r="F91" s="166"/>
      <c r="G91" s="166"/>
      <c r="H91" s="166"/>
      <c r="I91" s="166"/>
      <c r="J91" s="166"/>
      <c r="K91" s="166"/>
      <c r="L91" s="166"/>
      <c r="M91" s="166"/>
      <c r="N91" s="166"/>
      <c r="O91" s="166"/>
      <c r="P91" s="166"/>
      <c r="Q91" s="166"/>
      <c r="R91" s="166"/>
      <c r="S91" s="166"/>
      <c r="T91" s="166"/>
      <c r="U91" s="166"/>
      <c r="V91" s="166"/>
      <c r="W91" s="166"/>
      <c r="X91" s="166"/>
      <c r="Y91" s="161"/>
    </row>
    <row r="92" spans="2:25" ht="18" customHeight="1" x14ac:dyDescent="0.2">
      <c r="B92" s="377"/>
      <c r="C92" s="153"/>
      <c r="D92" s="308" t="s">
        <v>693</v>
      </c>
      <c r="E92" s="713">
        <v>4540</v>
      </c>
      <c r="F92" s="713">
        <v>2660</v>
      </c>
      <c r="G92" s="713">
        <v>4880</v>
      </c>
      <c r="H92" s="713">
        <v>2990</v>
      </c>
      <c r="I92" s="713">
        <v>2990</v>
      </c>
      <c r="J92" s="713"/>
      <c r="K92" s="713"/>
      <c r="L92" s="713"/>
      <c r="M92" s="713"/>
      <c r="N92" s="713"/>
      <c r="O92" s="713"/>
      <c r="P92" s="713"/>
      <c r="Q92" s="713"/>
      <c r="R92" s="713"/>
      <c r="S92" s="713"/>
      <c r="T92" s="713"/>
      <c r="U92" s="713"/>
      <c r="V92" s="713"/>
      <c r="W92" s="713"/>
      <c r="X92" s="713"/>
      <c r="Y92" s="161"/>
    </row>
    <row r="93" spans="2:25" ht="18" customHeight="1" x14ac:dyDescent="0.2">
      <c r="B93" s="377"/>
      <c r="C93" s="153"/>
      <c r="D93" s="12" t="s">
        <v>764</v>
      </c>
      <c r="E93" s="713"/>
      <c r="F93" s="713"/>
      <c r="G93" s="713"/>
      <c r="H93" s="713"/>
      <c r="I93" s="713"/>
      <c r="J93" s="713"/>
      <c r="K93" s="713"/>
      <c r="L93" s="713"/>
      <c r="M93" s="713"/>
      <c r="N93" s="713"/>
      <c r="O93" s="713"/>
      <c r="P93" s="713"/>
      <c r="Q93" s="713"/>
      <c r="R93" s="713"/>
      <c r="S93" s="713"/>
      <c r="T93" s="713"/>
      <c r="U93" s="713"/>
      <c r="V93" s="713"/>
      <c r="W93" s="713"/>
      <c r="X93" s="713"/>
      <c r="Y93" s="161"/>
    </row>
    <row r="94" spans="2:25" ht="18" customHeight="1" x14ac:dyDescent="0.2">
      <c r="B94" s="377"/>
      <c r="C94" s="153"/>
      <c r="D94" s="13" t="s">
        <v>763</v>
      </c>
      <c r="E94" s="711">
        <v>18500</v>
      </c>
      <c r="F94" s="711">
        <v>10800</v>
      </c>
      <c r="G94" s="711">
        <v>50600</v>
      </c>
      <c r="H94" s="711">
        <v>25700</v>
      </c>
      <c r="I94" s="711">
        <v>12800</v>
      </c>
      <c r="J94" s="711"/>
      <c r="K94" s="711"/>
      <c r="L94" s="711"/>
      <c r="M94" s="711"/>
      <c r="N94" s="711"/>
      <c r="O94" s="711"/>
      <c r="P94" s="711"/>
      <c r="Q94" s="711"/>
      <c r="R94" s="711"/>
      <c r="S94" s="711"/>
      <c r="T94" s="711"/>
      <c r="U94" s="711"/>
      <c r="V94" s="711"/>
      <c r="W94" s="711"/>
      <c r="X94" s="711"/>
      <c r="Y94" s="161"/>
    </row>
    <row r="95" spans="2:25" ht="18" customHeight="1" thickBot="1" x14ac:dyDescent="0.25">
      <c r="B95" s="377"/>
      <c r="C95" s="153"/>
      <c r="D95" s="14" t="s">
        <v>764</v>
      </c>
      <c r="E95" s="712">
        <f t="shared" ref="E95:M95" si="16">IF(E87="","",IF(E93&lt;&gt;"",E93,1.68*E94))</f>
        <v>31080</v>
      </c>
      <c r="F95" s="712">
        <f t="shared" si="16"/>
        <v>18144</v>
      </c>
      <c r="G95" s="712">
        <f t="shared" si="16"/>
        <v>85008</v>
      </c>
      <c r="H95" s="712">
        <f t="shared" si="16"/>
        <v>43176</v>
      </c>
      <c r="I95" s="712">
        <f t="shared" si="16"/>
        <v>21504</v>
      </c>
      <c r="J95" s="712" t="str">
        <f t="shared" si="16"/>
        <v/>
      </c>
      <c r="K95" s="712" t="str">
        <f t="shared" si="16"/>
        <v/>
      </c>
      <c r="L95" s="712" t="str">
        <f t="shared" si="16"/>
        <v/>
      </c>
      <c r="M95" s="712" t="str">
        <f t="shared" si="16"/>
        <v/>
      </c>
      <c r="N95" s="712" t="str">
        <f t="shared" ref="N95:X95" si="17">IF(N87="","",IF(N93&lt;&gt;"",N93,1.68*N94))</f>
        <v/>
      </c>
      <c r="O95" s="712" t="str">
        <f t="shared" si="17"/>
        <v/>
      </c>
      <c r="P95" s="712" t="str">
        <f t="shared" si="17"/>
        <v/>
      </c>
      <c r="Q95" s="712" t="str">
        <f t="shared" si="17"/>
        <v/>
      </c>
      <c r="R95" s="712" t="str">
        <f t="shared" si="17"/>
        <v/>
      </c>
      <c r="S95" s="712" t="str">
        <f t="shared" si="17"/>
        <v/>
      </c>
      <c r="T95" s="712" t="str">
        <f t="shared" si="17"/>
        <v/>
      </c>
      <c r="U95" s="712" t="str">
        <f t="shared" si="17"/>
        <v/>
      </c>
      <c r="V95" s="712" t="str">
        <f t="shared" si="17"/>
        <v/>
      </c>
      <c r="W95" s="712" t="str">
        <f t="shared" si="17"/>
        <v/>
      </c>
      <c r="X95" s="712" t="str">
        <f t="shared" si="17"/>
        <v/>
      </c>
      <c r="Y95" s="161"/>
    </row>
    <row r="96" spans="2:25" ht="18" customHeight="1" thickBot="1" x14ac:dyDescent="0.25">
      <c r="B96" s="378"/>
      <c r="C96" s="154"/>
      <c r="D96" s="150"/>
      <c r="E96" s="154"/>
      <c r="F96" s="154"/>
      <c r="G96" s="154"/>
      <c r="H96" s="154"/>
      <c r="I96" s="154"/>
      <c r="J96" s="154"/>
      <c r="K96" s="154"/>
      <c r="L96" s="154"/>
      <c r="M96" s="154"/>
      <c r="N96" s="154"/>
      <c r="O96" s="154"/>
      <c r="P96" s="154"/>
      <c r="Q96" s="154"/>
      <c r="R96" s="154"/>
      <c r="S96" s="154"/>
      <c r="T96" s="154"/>
      <c r="U96" s="154"/>
      <c r="V96" s="154"/>
      <c r="W96" s="154"/>
      <c r="X96" s="154"/>
      <c r="Y96" s="159"/>
    </row>
    <row r="97" spans="2:25" ht="36" customHeight="1" x14ac:dyDescent="0.2"/>
    <row r="98" spans="2:25" ht="36" customHeight="1" thickBot="1" x14ac:dyDescent="0.25"/>
    <row r="99" spans="2:25" ht="36" customHeight="1" thickBot="1" x14ac:dyDescent="0.25">
      <c r="B99" s="352" t="s">
        <v>1302</v>
      </c>
      <c r="C99" s="155"/>
      <c r="D99" s="180"/>
      <c r="E99" s="180"/>
      <c r="F99" s="180"/>
      <c r="G99" s="155"/>
      <c r="H99" s="155"/>
      <c r="I99" s="155"/>
      <c r="J99" s="155"/>
      <c r="K99" s="155"/>
      <c r="L99" s="155"/>
      <c r="M99" s="155"/>
      <c r="N99" s="155"/>
      <c r="O99" s="155"/>
      <c r="P99" s="155"/>
      <c r="Q99" s="155"/>
      <c r="R99" s="155"/>
      <c r="S99" s="155"/>
      <c r="T99" s="155"/>
      <c r="U99" s="155"/>
      <c r="V99" s="155"/>
      <c r="W99" s="155"/>
      <c r="X99" s="155"/>
      <c r="Y99" s="162"/>
    </row>
    <row r="100" spans="2:25" ht="34.5" customHeight="1" x14ac:dyDescent="0.3">
      <c r="B100" s="379"/>
      <c r="C100" s="153"/>
      <c r="D100" s="109" t="s">
        <v>928</v>
      </c>
      <c r="E100" s="163">
        <v>1</v>
      </c>
      <c r="F100" s="163">
        <f>E100+1</f>
        <v>2</v>
      </c>
      <c r="G100" s="163">
        <f t="shared" ref="G100:M100" si="18">F100+1</f>
        <v>3</v>
      </c>
      <c r="H100" s="163">
        <f t="shared" si="18"/>
        <v>4</v>
      </c>
      <c r="I100" s="163">
        <f t="shared" si="18"/>
        <v>5</v>
      </c>
      <c r="J100" s="163">
        <f t="shared" si="18"/>
        <v>6</v>
      </c>
      <c r="K100" s="163">
        <f t="shared" si="18"/>
        <v>7</v>
      </c>
      <c r="L100" s="163">
        <f t="shared" si="18"/>
        <v>8</v>
      </c>
      <c r="M100" s="163">
        <f t="shared" si="18"/>
        <v>9</v>
      </c>
      <c r="N100" s="163">
        <f t="shared" ref="N100:X100" si="19">M100+1</f>
        <v>10</v>
      </c>
      <c r="O100" s="163">
        <f t="shared" si="19"/>
        <v>11</v>
      </c>
      <c r="P100" s="163">
        <f t="shared" si="19"/>
        <v>12</v>
      </c>
      <c r="Q100" s="163">
        <f t="shared" si="19"/>
        <v>13</v>
      </c>
      <c r="R100" s="163">
        <f t="shared" si="19"/>
        <v>14</v>
      </c>
      <c r="S100" s="163">
        <f t="shared" si="19"/>
        <v>15</v>
      </c>
      <c r="T100" s="163">
        <f t="shared" si="19"/>
        <v>16</v>
      </c>
      <c r="U100" s="163">
        <f t="shared" si="19"/>
        <v>17</v>
      </c>
      <c r="V100" s="163">
        <f t="shared" si="19"/>
        <v>18</v>
      </c>
      <c r="W100" s="163">
        <f t="shared" si="19"/>
        <v>19</v>
      </c>
      <c r="X100" s="163">
        <f t="shared" si="19"/>
        <v>20</v>
      </c>
      <c r="Y100" s="161"/>
    </row>
    <row r="101" spans="2:25" ht="40.5" customHeight="1" x14ac:dyDescent="0.2">
      <c r="B101" s="377"/>
      <c r="C101" s="153"/>
      <c r="D101" s="110" t="s">
        <v>759</v>
      </c>
      <c r="E101" s="183" t="s">
        <v>931</v>
      </c>
      <c r="F101" s="183" t="s">
        <v>929</v>
      </c>
      <c r="G101" s="183" t="s">
        <v>1251</v>
      </c>
      <c r="H101" s="183" t="s">
        <v>930</v>
      </c>
      <c r="I101" s="183"/>
      <c r="J101" s="183"/>
      <c r="K101" s="183"/>
      <c r="L101" s="183"/>
      <c r="M101" s="183"/>
      <c r="N101" s="183"/>
      <c r="O101" s="183"/>
      <c r="P101" s="183"/>
      <c r="Q101" s="183"/>
      <c r="R101" s="183"/>
      <c r="S101" s="183"/>
      <c r="T101" s="183"/>
      <c r="U101" s="183"/>
      <c r="V101" s="183"/>
      <c r="W101" s="183"/>
      <c r="X101" s="183"/>
      <c r="Y101" s="161"/>
    </row>
    <row r="102" spans="2:25" ht="18" customHeight="1" x14ac:dyDescent="0.2">
      <c r="B102" s="377"/>
      <c r="C102" s="153"/>
      <c r="D102" s="111" t="s">
        <v>1247</v>
      </c>
      <c r="E102" s="165" t="s">
        <v>833</v>
      </c>
      <c r="F102" s="165" t="s">
        <v>834</v>
      </c>
      <c r="G102" s="165" t="s">
        <v>915</v>
      </c>
      <c r="H102" s="165" t="s">
        <v>916</v>
      </c>
      <c r="I102" s="165"/>
      <c r="J102" s="165"/>
      <c r="K102" s="165"/>
      <c r="L102" s="165"/>
      <c r="M102" s="165"/>
      <c r="N102" s="165"/>
      <c r="O102" s="165"/>
      <c r="P102" s="165"/>
      <c r="Q102" s="165"/>
      <c r="R102" s="165"/>
      <c r="S102" s="165"/>
      <c r="T102" s="165"/>
      <c r="U102" s="165"/>
      <c r="V102" s="165"/>
      <c r="W102" s="165"/>
      <c r="X102" s="165"/>
      <c r="Y102" s="161"/>
    </row>
    <row r="103" spans="2:25" ht="18" customHeight="1" x14ac:dyDescent="0.2">
      <c r="B103" s="377"/>
      <c r="C103" s="153"/>
      <c r="D103" s="113" t="s">
        <v>12</v>
      </c>
      <c r="E103" s="184" t="s">
        <v>691</v>
      </c>
      <c r="F103" s="184" t="s">
        <v>690</v>
      </c>
      <c r="G103" s="184"/>
      <c r="H103" s="184"/>
      <c r="I103" s="184"/>
      <c r="J103" s="184"/>
      <c r="K103" s="184"/>
      <c r="L103" s="184"/>
      <c r="M103" s="184"/>
      <c r="N103" s="184"/>
      <c r="O103" s="184"/>
      <c r="P103" s="184"/>
      <c r="Q103" s="184"/>
      <c r="R103" s="184"/>
      <c r="S103" s="184"/>
      <c r="T103" s="184"/>
      <c r="U103" s="184"/>
      <c r="V103" s="184"/>
      <c r="W103" s="184"/>
      <c r="X103" s="184"/>
      <c r="Y103" s="161"/>
    </row>
    <row r="104" spans="2:25" ht="18" customHeight="1" x14ac:dyDescent="0.2">
      <c r="B104" s="377"/>
      <c r="C104" s="153"/>
      <c r="D104" s="112" t="s">
        <v>851</v>
      </c>
      <c r="E104" s="167" t="s">
        <v>846</v>
      </c>
      <c r="F104" s="167">
        <v>1</v>
      </c>
      <c r="G104" s="167" t="s">
        <v>846</v>
      </c>
      <c r="H104" s="167">
        <v>1</v>
      </c>
      <c r="I104" s="167"/>
      <c r="J104" s="167"/>
      <c r="K104" s="167"/>
      <c r="L104" s="167"/>
      <c r="M104" s="167"/>
      <c r="N104" s="167"/>
      <c r="O104" s="167"/>
      <c r="P104" s="167"/>
      <c r="Q104" s="167"/>
      <c r="R104" s="167"/>
      <c r="S104" s="167"/>
      <c r="T104" s="167"/>
      <c r="U104" s="167"/>
      <c r="V104" s="167"/>
      <c r="W104" s="167"/>
      <c r="X104" s="167"/>
      <c r="Y104" s="161"/>
    </row>
    <row r="105" spans="2:25" ht="18" customHeight="1" x14ac:dyDescent="0.2">
      <c r="B105" s="377"/>
      <c r="C105" s="153"/>
      <c r="D105" s="113" t="s">
        <v>924</v>
      </c>
      <c r="E105" s="166">
        <v>428.291</v>
      </c>
      <c r="F105" s="166">
        <v>34.842300000000002</v>
      </c>
      <c r="G105" s="166">
        <v>49</v>
      </c>
      <c r="H105" s="166">
        <v>39.299999999999997</v>
      </c>
      <c r="I105" s="166"/>
      <c r="J105" s="166"/>
      <c r="K105" s="166"/>
      <c r="L105" s="166"/>
      <c r="M105" s="166"/>
      <c r="N105" s="166"/>
      <c r="O105" s="166"/>
      <c r="P105" s="166"/>
      <c r="Q105" s="166"/>
      <c r="R105" s="166"/>
      <c r="S105" s="166"/>
      <c r="T105" s="166"/>
      <c r="U105" s="166"/>
      <c r="V105" s="166"/>
      <c r="W105" s="166"/>
      <c r="X105" s="166"/>
      <c r="Y105" s="161"/>
    </row>
    <row r="106" spans="2:25" ht="18" customHeight="1" x14ac:dyDescent="0.2">
      <c r="B106" s="377"/>
      <c r="C106" s="153"/>
      <c r="D106" s="113" t="s">
        <v>925</v>
      </c>
      <c r="E106" s="167"/>
      <c r="F106" s="167"/>
      <c r="G106" s="167"/>
      <c r="H106" s="167"/>
      <c r="I106" s="167"/>
      <c r="J106" s="167"/>
      <c r="K106" s="167"/>
      <c r="L106" s="167"/>
      <c r="M106" s="167"/>
      <c r="N106" s="167"/>
      <c r="O106" s="167"/>
      <c r="P106" s="167"/>
      <c r="Q106" s="167"/>
      <c r="R106" s="167"/>
      <c r="S106" s="167"/>
      <c r="T106" s="167"/>
      <c r="U106" s="167"/>
      <c r="V106" s="167"/>
      <c r="W106" s="167"/>
      <c r="X106" s="167"/>
      <c r="Y106" s="161"/>
    </row>
    <row r="107" spans="2:25" ht="18" customHeight="1" x14ac:dyDescent="0.2">
      <c r="B107" s="377"/>
      <c r="C107" s="153"/>
      <c r="D107" s="115" t="s">
        <v>927</v>
      </c>
      <c r="E107" s="166">
        <v>397.74200000000002</v>
      </c>
      <c r="F107" s="166">
        <v>28.070900000000002</v>
      </c>
      <c r="G107" s="166">
        <v>1.0980000000000001</v>
      </c>
      <c r="H107" s="166">
        <v>39.200000000000003</v>
      </c>
      <c r="I107" s="166"/>
      <c r="J107" s="166"/>
      <c r="K107" s="166"/>
      <c r="L107" s="166"/>
      <c r="M107" s="166"/>
      <c r="N107" s="166"/>
      <c r="O107" s="166"/>
      <c r="P107" s="166"/>
      <c r="Q107" s="166"/>
      <c r="R107" s="166"/>
      <c r="S107" s="166"/>
      <c r="T107" s="166"/>
      <c r="U107" s="166"/>
      <c r="V107" s="166"/>
      <c r="W107" s="166"/>
      <c r="X107" s="166"/>
      <c r="Y107" s="161"/>
    </row>
    <row r="108" spans="2:25" ht="18" customHeight="1" x14ac:dyDescent="0.2">
      <c r="B108" s="377"/>
      <c r="C108" s="153"/>
      <c r="D108" s="115" t="s">
        <v>693</v>
      </c>
      <c r="E108" s="711">
        <v>60400</v>
      </c>
      <c r="F108" s="711">
        <v>6740</v>
      </c>
      <c r="G108" s="711">
        <v>22500</v>
      </c>
      <c r="H108" s="711">
        <v>11400</v>
      </c>
      <c r="I108" s="711"/>
      <c r="J108" s="711"/>
      <c r="K108" s="711"/>
      <c r="L108" s="711"/>
      <c r="M108" s="711"/>
      <c r="N108" s="711"/>
      <c r="O108" s="711"/>
      <c r="P108" s="711"/>
      <c r="Q108" s="711"/>
      <c r="R108" s="711"/>
      <c r="S108" s="711"/>
      <c r="T108" s="711"/>
      <c r="U108" s="711"/>
      <c r="V108" s="711"/>
      <c r="W108" s="711"/>
      <c r="X108" s="711"/>
      <c r="Y108" s="161"/>
    </row>
    <row r="109" spans="2:25" ht="18" customHeight="1" x14ac:dyDescent="0.2">
      <c r="B109" s="377"/>
      <c r="C109" s="153"/>
      <c r="D109" s="116" t="s">
        <v>764</v>
      </c>
      <c r="E109" s="711"/>
      <c r="F109" s="711"/>
      <c r="G109" s="711"/>
      <c r="H109" s="711"/>
      <c r="I109" s="711"/>
      <c r="J109" s="711"/>
      <c r="K109" s="711"/>
      <c r="L109" s="711"/>
      <c r="M109" s="711"/>
      <c r="N109" s="711"/>
      <c r="O109" s="711"/>
      <c r="P109" s="711"/>
      <c r="Q109" s="711"/>
      <c r="R109" s="711"/>
      <c r="S109" s="711"/>
      <c r="T109" s="711"/>
      <c r="U109" s="711"/>
      <c r="V109" s="711"/>
      <c r="W109" s="711"/>
      <c r="X109" s="711"/>
      <c r="Y109" s="161"/>
    </row>
    <row r="110" spans="2:25" ht="18" customHeight="1" x14ac:dyDescent="0.2">
      <c r="B110" s="377"/>
      <c r="C110" s="153"/>
      <c r="D110" s="117" t="s">
        <v>763</v>
      </c>
      <c r="E110" s="711">
        <v>90600</v>
      </c>
      <c r="F110" s="711">
        <v>10100</v>
      </c>
      <c r="G110" s="711">
        <v>33800</v>
      </c>
      <c r="H110" s="711">
        <v>17100</v>
      </c>
      <c r="I110" s="711"/>
      <c r="J110" s="711"/>
      <c r="K110" s="711"/>
      <c r="L110" s="711"/>
      <c r="M110" s="711"/>
      <c r="N110" s="711"/>
      <c r="O110" s="711"/>
      <c r="P110" s="711"/>
      <c r="Q110" s="711"/>
      <c r="R110" s="711"/>
      <c r="S110" s="711"/>
      <c r="T110" s="711"/>
      <c r="U110" s="711"/>
      <c r="V110" s="711"/>
      <c r="W110" s="711"/>
      <c r="X110" s="711"/>
      <c r="Y110" s="161"/>
    </row>
    <row r="111" spans="2:25" ht="18" customHeight="1" thickBot="1" x14ac:dyDescent="0.25">
      <c r="B111" s="377"/>
      <c r="C111" s="153"/>
      <c r="D111" s="118" t="s">
        <v>764</v>
      </c>
      <c r="E111" s="712">
        <f t="shared" ref="E111:M111" si="20">IF(E102="","",IF(E109&lt;&gt;"",E109,1.68*E110))</f>
        <v>152208</v>
      </c>
      <c r="F111" s="712">
        <f t="shared" si="20"/>
        <v>16968</v>
      </c>
      <c r="G111" s="712">
        <f t="shared" si="20"/>
        <v>56784</v>
      </c>
      <c r="H111" s="712">
        <f t="shared" si="20"/>
        <v>28728</v>
      </c>
      <c r="I111" s="712" t="str">
        <f t="shared" si="20"/>
        <v/>
      </c>
      <c r="J111" s="712" t="str">
        <f t="shared" si="20"/>
        <v/>
      </c>
      <c r="K111" s="712" t="str">
        <f t="shared" si="20"/>
        <v/>
      </c>
      <c r="L111" s="712" t="str">
        <f t="shared" si="20"/>
        <v/>
      </c>
      <c r="M111" s="712" t="str">
        <f t="shared" si="20"/>
        <v/>
      </c>
      <c r="N111" s="712" t="str">
        <f t="shared" ref="N111:X111" si="21">IF(N102="","",IF(N109&lt;&gt;"",N109,1.68*N110))</f>
        <v/>
      </c>
      <c r="O111" s="712" t="str">
        <f t="shared" si="21"/>
        <v/>
      </c>
      <c r="P111" s="712" t="str">
        <f t="shared" si="21"/>
        <v/>
      </c>
      <c r="Q111" s="712" t="str">
        <f t="shared" si="21"/>
        <v/>
      </c>
      <c r="R111" s="712" t="str">
        <f t="shared" si="21"/>
        <v/>
      </c>
      <c r="S111" s="712" t="str">
        <f t="shared" si="21"/>
        <v/>
      </c>
      <c r="T111" s="712" t="str">
        <f t="shared" si="21"/>
        <v/>
      </c>
      <c r="U111" s="712" t="str">
        <f t="shared" si="21"/>
        <v/>
      </c>
      <c r="V111" s="712" t="str">
        <f t="shared" si="21"/>
        <v/>
      </c>
      <c r="W111" s="712" t="str">
        <f t="shared" si="21"/>
        <v/>
      </c>
      <c r="X111" s="712" t="str">
        <f t="shared" si="21"/>
        <v/>
      </c>
      <c r="Y111" s="161"/>
    </row>
    <row r="112" spans="2:25" ht="18" customHeight="1" thickBot="1" x14ac:dyDescent="0.25">
      <c r="B112" s="378"/>
      <c r="C112" s="154"/>
      <c r="D112" s="154"/>
      <c r="E112" s="154"/>
      <c r="F112" s="154"/>
      <c r="G112" s="154"/>
      <c r="H112" s="154"/>
      <c r="I112" s="154"/>
      <c r="J112" s="154"/>
      <c r="K112" s="154"/>
      <c r="L112" s="154"/>
      <c r="M112" s="154"/>
      <c r="N112" s="154"/>
      <c r="O112" s="154"/>
      <c r="P112" s="154"/>
      <c r="Q112" s="154"/>
      <c r="R112" s="154"/>
      <c r="S112" s="154"/>
      <c r="T112" s="154"/>
      <c r="U112" s="154"/>
      <c r="V112" s="154"/>
      <c r="W112" s="154"/>
      <c r="X112" s="154"/>
      <c r="Y112" s="159"/>
    </row>
    <row r="113" spans="2:25" ht="39.75" customHeight="1" x14ac:dyDescent="0.2"/>
    <row r="114" spans="2:25" ht="39.75" customHeight="1" thickBot="1" x14ac:dyDescent="0.25"/>
    <row r="115" spans="2:25" ht="39.75" customHeight="1" thickBot="1" x14ac:dyDescent="0.25">
      <c r="B115" s="352" t="s">
        <v>1303</v>
      </c>
      <c r="C115" s="155"/>
      <c r="D115" s="185"/>
      <c r="E115" s="185"/>
      <c r="F115" s="185"/>
      <c r="G115" s="185"/>
      <c r="H115" s="185"/>
      <c r="I115" s="185"/>
      <c r="J115" s="185"/>
      <c r="K115" s="185"/>
      <c r="L115" s="185"/>
      <c r="M115" s="185"/>
      <c r="N115" s="185"/>
      <c r="O115" s="185"/>
      <c r="P115" s="185"/>
      <c r="Q115" s="185"/>
      <c r="R115" s="185"/>
      <c r="S115" s="185"/>
      <c r="T115" s="185"/>
      <c r="U115" s="185"/>
      <c r="V115" s="185"/>
      <c r="W115" s="185"/>
      <c r="X115" s="185"/>
      <c r="Y115" s="162"/>
    </row>
    <row r="116" spans="2:25" ht="30" customHeight="1" x14ac:dyDescent="0.3">
      <c r="B116" s="379"/>
      <c r="C116" s="153"/>
      <c r="D116" s="121" t="s">
        <v>766</v>
      </c>
      <c r="E116" s="163">
        <v>1</v>
      </c>
      <c r="F116" s="163">
        <f>E116+1</f>
        <v>2</v>
      </c>
      <c r="G116" s="163">
        <f t="shared" ref="G116:M116" si="22">F116+1</f>
        <v>3</v>
      </c>
      <c r="H116" s="163">
        <f t="shared" si="22"/>
        <v>4</v>
      </c>
      <c r="I116" s="163">
        <f t="shared" si="22"/>
        <v>5</v>
      </c>
      <c r="J116" s="163">
        <f t="shared" si="22"/>
        <v>6</v>
      </c>
      <c r="K116" s="163">
        <f t="shared" si="22"/>
        <v>7</v>
      </c>
      <c r="L116" s="163">
        <f t="shared" si="22"/>
        <v>8</v>
      </c>
      <c r="M116" s="163">
        <f t="shared" si="22"/>
        <v>9</v>
      </c>
      <c r="N116" s="163">
        <f t="shared" ref="N116:X116" si="23">M116+1</f>
        <v>10</v>
      </c>
      <c r="O116" s="163">
        <f t="shared" si="23"/>
        <v>11</v>
      </c>
      <c r="P116" s="163">
        <f t="shared" si="23"/>
        <v>12</v>
      </c>
      <c r="Q116" s="163">
        <f t="shared" si="23"/>
        <v>13</v>
      </c>
      <c r="R116" s="163">
        <f t="shared" si="23"/>
        <v>14</v>
      </c>
      <c r="S116" s="163">
        <f t="shared" si="23"/>
        <v>15</v>
      </c>
      <c r="T116" s="163">
        <f t="shared" si="23"/>
        <v>16</v>
      </c>
      <c r="U116" s="163">
        <f t="shared" si="23"/>
        <v>17</v>
      </c>
      <c r="V116" s="163">
        <f t="shared" si="23"/>
        <v>18</v>
      </c>
      <c r="W116" s="163">
        <f t="shared" si="23"/>
        <v>19</v>
      </c>
      <c r="X116" s="163">
        <f t="shared" si="23"/>
        <v>20</v>
      </c>
      <c r="Y116" s="161"/>
    </row>
    <row r="117" spans="2:25" ht="30" customHeight="1" x14ac:dyDescent="0.2">
      <c r="B117" s="377"/>
      <c r="C117" s="153"/>
      <c r="D117" s="120" t="s">
        <v>759</v>
      </c>
      <c r="E117" s="183"/>
      <c r="F117" s="183"/>
      <c r="G117" s="183"/>
      <c r="H117" s="183"/>
      <c r="I117" s="183"/>
      <c r="J117" s="183"/>
      <c r="K117" s="183"/>
      <c r="L117" s="183"/>
      <c r="M117" s="183"/>
      <c r="N117" s="183"/>
      <c r="O117" s="183"/>
      <c r="P117" s="183"/>
      <c r="Q117" s="183"/>
      <c r="R117" s="183"/>
      <c r="S117" s="183"/>
      <c r="T117" s="183"/>
      <c r="U117" s="183"/>
      <c r="V117" s="183"/>
      <c r="W117" s="183"/>
      <c r="X117" s="183"/>
      <c r="Y117" s="161"/>
    </row>
    <row r="118" spans="2:25" ht="18.75" customHeight="1" x14ac:dyDescent="0.2">
      <c r="B118" s="377"/>
      <c r="C118" s="153"/>
      <c r="D118" s="111" t="s">
        <v>1247</v>
      </c>
      <c r="E118" s="165"/>
      <c r="F118" s="165"/>
      <c r="G118" s="165"/>
      <c r="H118" s="165"/>
      <c r="I118" s="165"/>
      <c r="J118" s="165"/>
      <c r="K118" s="165"/>
      <c r="L118" s="165"/>
      <c r="M118" s="165"/>
      <c r="N118" s="165"/>
      <c r="O118" s="165"/>
      <c r="P118" s="165"/>
      <c r="Q118" s="165"/>
      <c r="R118" s="165"/>
      <c r="S118" s="165"/>
      <c r="T118" s="165"/>
      <c r="U118" s="165"/>
      <c r="V118" s="165"/>
      <c r="W118" s="165"/>
      <c r="X118" s="165"/>
      <c r="Y118" s="161"/>
    </row>
    <row r="119" spans="2:25" ht="18.75" customHeight="1" x14ac:dyDescent="0.2">
      <c r="B119" s="377"/>
      <c r="C119" s="153"/>
      <c r="D119" s="113" t="s">
        <v>12</v>
      </c>
      <c r="E119" s="184"/>
      <c r="F119" s="184"/>
      <c r="G119" s="184"/>
      <c r="H119" s="184"/>
      <c r="I119" s="184"/>
      <c r="J119" s="184"/>
      <c r="K119" s="184"/>
      <c r="L119" s="184"/>
      <c r="M119" s="184"/>
      <c r="N119" s="184"/>
      <c r="O119" s="184"/>
      <c r="P119" s="184"/>
      <c r="Q119" s="184"/>
      <c r="R119" s="184"/>
      <c r="S119" s="184"/>
      <c r="T119" s="184"/>
      <c r="U119" s="184"/>
      <c r="V119" s="184"/>
      <c r="W119" s="184"/>
      <c r="X119" s="184"/>
      <c r="Y119" s="161"/>
    </row>
    <row r="120" spans="2:25" ht="18.75" customHeight="1" x14ac:dyDescent="0.2">
      <c r="B120" s="377"/>
      <c r="C120" s="153"/>
      <c r="D120" s="112" t="s">
        <v>851</v>
      </c>
      <c r="E120" s="167"/>
      <c r="F120" s="167"/>
      <c r="G120" s="167"/>
      <c r="H120" s="167"/>
      <c r="I120" s="167"/>
      <c r="J120" s="167"/>
      <c r="K120" s="167"/>
      <c r="L120" s="167"/>
      <c r="M120" s="167"/>
      <c r="N120" s="167"/>
      <c r="O120" s="167"/>
      <c r="P120" s="167"/>
      <c r="Q120" s="167"/>
      <c r="R120" s="167"/>
      <c r="S120" s="167"/>
      <c r="T120" s="167"/>
      <c r="U120" s="167"/>
      <c r="V120" s="167"/>
      <c r="W120" s="167"/>
      <c r="X120" s="167"/>
      <c r="Y120" s="161"/>
    </row>
    <row r="121" spans="2:25" ht="18.75" customHeight="1" x14ac:dyDescent="0.2">
      <c r="B121" s="377"/>
      <c r="C121" s="153"/>
      <c r="D121" s="113" t="s">
        <v>924</v>
      </c>
      <c r="E121" s="166"/>
      <c r="F121" s="166"/>
      <c r="G121" s="166"/>
      <c r="H121" s="166"/>
      <c r="I121" s="166"/>
      <c r="J121" s="166"/>
      <c r="K121" s="166"/>
      <c r="L121" s="166"/>
      <c r="M121" s="166"/>
      <c r="N121" s="166"/>
      <c r="O121" s="166"/>
      <c r="P121" s="166"/>
      <c r="Q121" s="166"/>
      <c r="R121" s="166"/>
      <c r="S121" s="166"/>
      <c r="T121" s="166"/>
      <c r="U121" s="166"/>
      <c r="V121" s="166"/>
      <c r="W121" s="166"/>
      <c r="X121" s="166"/>
      <c r="Y121" s="161"/>
    </row>
    <row r="122" spans="2:25" ht="18.75" customHeight="1" x14ac:dyDescent="0.2">
      <c r="B122" s="377"/>
      <c r="C122" s="153"/>
      <c r="D122" s="113" t="s">
        <v>925</v>
      </c>
      <c r="E122" s="167"/>
      <c r="F122" s="167"/>
      <c r="G122" s="167"/>
      <c r="H122" s="167"/>
      <c r="I122" s="167"/>
      <c r="J122" s="167"/>
      <c r="K122" s="167"/>
      <c r="L122" s="167"/>
      <c r="M122" s="167"/>
      <c r="N122" s="167"/>
      <c r="O122" s="167"/>
      <c r="P122" s="167"/>
      <c r="Q122" s="167"/>
      <c r="R122" s="167"/>
      <c r="S122" s="167"/>
      <c r="T122" s="167"/>
      <c r="U122" s="167"/>
      <c r="V122" s="167"/>
      <c r="W122" s="167"/>
      <c r="X122" s="167"/>
      <c r="Y122" s="161"/>
    </row>
    <row r="123" spans="2:25" ht="18.75" customHeight="1" x14ac:dyDescent="0.2">
      <c r="B123" s="377"/>
      <c r="C123" s="153"/>
      <c r="D123" s="113" t="s">
        <v>762</v>
      </c>
      <c r="E123" s="713"/>
      <c r="F123" s="713"/>
      <c r="G123" s="713"/>
      <c r="H123" s="713"/>
      <c r="I123" s="713"/>
      <c r="J123" s="713"/>
      <c r="K123" s="713"/>
      <c r="L123" s="713"/>
      <c r="M123" s="713"/>
      <c r="N123" s="713"/>
      <c r="O123" s="713"/>
      <c r="P123" s="713"/>
      <c r="Q123" s="713"/>
      <c r="R123" s="713"/>
      <c r="S123" s="713"/>
      <c r="T123" s="713"/>
      <c r="U123" s="713"/>
      <c r="V123" s="713"/>
      <c r="W123" s="713"/>
      <c r="X123" s="713"/>
      <c r="Y123" s="161"/>
    </row>
    <row r="124" spans="2:25" ht="18.75" customHeight="1" x14ac:dyDescent="0.2">
      <c r="B124" s="377"/>
      <c r="C124" s="153"/>
      <c r="D124" s="116" t="s">
        <v>764</v>
      </c>
      <c r="E124" s="711"/>
      <c r="F124" s="711"/>
      <c r="G124" s="711"/>
      <c r="H124" s="711"/>
      <c r="I124" s="711"/>
      <c r="J124" s="711"/>
      <c r="K124" s="711"/>
      <c r="L124" s="711"/>
      <c r="M124" s="711"/>
      <c r="N124" s="711"/>
      <c r="O124" s="711"/>
      <c r="P124" s="711"/>
      <c r="Q124" s="711"/>
      <c r="R124" s="711"/>
      <c r="S124" s="711"/>
      <c r="T124" s="711"/>
      <c r="U124" s="711"/>
      <c r="V124" s="711"/>
      <c r="W124" s="711"/>
      <c r="X124" s="711"/>
      <c r="Y124" s="161"/>
    </row>
    <row r="125" spans="2:25" ht="18.75" customHeight="1" x14ac:dyDescent="0.2">
      <c r="B125" s="377"/>
      <c r="C125" s="153"/>
      <c r="D125" s="117" t="s">
        <v>763</v>
      </c>
      <c r="E125" s="711"/>
      <c r="F125" s="711"/>
      <c r="G125" s="711"/>
      <c r="H125" s="711"/>
      <c r="I125" s="711"/>
      <c r="J125" s="711"/>
      <c r="K125" s="711"/>
      <c r="L125" s="711"/>
      <c r="M125" s="711"/>
      <c r="N125" s="711"/>
      <c r="O125" s="711"/>
      <c r="P125" s="711"/>
      <c r="Q125" s="711"/>
      <c r="R125" s="711"/>
      <c r="S125" s="711"/>
      <c r="T125" s="711"/>
      <c r="U125" s="711"/>
      <c r="V125" s="711"/>
      <c r="W125" s="711"/>
      <c r="X125" s="711"/>
      <c r="Y125" s="161"/>
    </row>
    <row r="126" spans="2:25" ht="18.75" customHeight="1" thickBot="1" x14ac:dyDescent="0.25">
      <c r="B126" s="377"/>
      <c r="C126" s="153"/>
      <c r="D126" s="118" t="s">
        <v>764</v>
      </c>
      <c r="E126" s="712" t="str">
        <f>IF(E118="","",IF(E124&lt;&gt;"",E124,1.68*E125))</f>
        <v/>
      </c>
      <c r="F126" s="712" t="str">
        <f t="shared" ref="F126:M126" si="24">IF(F118="","",IF(F124&lt;&gt;"",F124,1.68*F125))</f>
        <v/>
      </c>
      <c r="G126" s="712" t="str">
        <f t="shared" si="24"/>
        <v/>
      </c>
      <c r="H126" s="712" t="str">
        <f t="shared" si="24"/>
        <v/>
      </c>
      <c r="I126" s="712" t="str">
        <f t="shared" si="24"/>
        <v/>
      </c>
      <c r="J126" s="712" t="str">
        <f t="shared" si="24"/>
        <v/>
      </c>
      <c r="K126" s="712" t="str">
        <f t="shared" si="24"/>
        <v/>
      </c>
      <c r="L126" s="712" t="str">
        <f t="shared" si="24"/>
        <v/>
      </c>
      <c r="M126" s="712" t="str">
        <f t="shared" si="24"/>
        <v/>
      </c>
      <c r="N126" s="712" t="str">
        <f t="shared" ref="N126:X126" si="25">IF(N118="","",IF(N124&lt;&gt;"",N124,1.68*N125))</f>
        <v/>
      </c>
      <c r="O126" s="712" t="str">
        <f t="shared" si="25"/>
        <v/>
      </c>
      <c r="P126" s="712" t="str">
        <f t="shared" si="25"/>
        <v/>
      </c>
      <c r="Q126" s="712" t="str">
        <f t="shared" si="25"/>
        <v/>
      </c>
      <c r="R126" s="712" t="str">
        <f t="shared" si="25"/>
        <v/>
      </c>
      <c r="S126" s="712" t="str">
        <f t="shared" si="25"/>
        <v/>
      </c>
      <c r="T126" s="712" t="str">
        <f t="shared" si="25"/>
        <v/>
      </c>
      <c r="U126" s="712" t="str">
        <f t="shared" si="25"/>
        <v/>
      </c>
      <c r="V126" s="712" t="str">
        <f t="shared" si="25"/>
        <v/>
      </c>
      <c r="W126" s="712" t="str">
        <f t="shared" si="25"/>
        <v/>
      </c>
      <c r="X126" s="712" t="str">
        <f t="shared" si="25"/>
        <v/>
      </c>
      <c r="Y126" s="161"/>
    </row>
    <row r="127" spans="2:25" ht="18" customHeight="1" thickBot="1" x14ac:dyDescent="0.25">
      <c r="B127" s="378"/>
      <c r="C127" s="154"/>
      <c r="D127" s="154"/>
      <c r="E127" s="154"/>
      <c r="F127" s="154"/>
      <c r="G127" s="154"/>
      <c r="H127" s="154"/>
      <c r="I127" s="154"/>
      <c r="J127" s="154"/>
      <c r="K127" s="154"/>
      <c r="L127" s="154"/>
      <c r="M127" s="154"/>
      <c r="N127" s="154"/>
      <c r="O127" s="154"/>
      <c r="P127" s="154"/>
      <c r="Q127" s="154"/>
      <c r="R127" s="154"/>
      <c r="S127" s="154"/>
      <c r="T127" s="154"/>
      <c r="U127" s="154"/>
      <c r="V127" s="154"/>
      <c r="W127" s="154"/>
      <c r="X127" s="154"/>
      <c r="Y127" s="159"/>
    </row>
    <row r="128" spans="2:25" ht="15" customHeight="1" x14ac:dyDescent="0.2"/>
    <row r="129" spans="2:8" ht="15" customHeight="1" x14ac:dyDescent="0.2"/>
    <row r="130" spans="2:8" ht="15" customHeight="1" x14ac:dyDescent="0.2"/>
    <row r="131" spans="2:8" ht="18.75" customHeight="1" thickBot="1" x14ac:dyDescent="0.35">
      <c r="D131" s="16" t="s">
        <v>857</v>
      </c>
      <c r="E131" s="25"/>
      <c r="F131" s="25"/>
      <c r="G131" s="69"/>
      <c r="H131" s="141"/>
    </row>
    <row r="132" spans="2:8" ht="18" customHeight="1" x14ac:dyDescent="0.2">
      <c r="D132" s="18"/>
      <c r="E132" s="20" t="s">
        <v>708</v>
      </c>
      <c r="F132" s="21" t="s">
        <v>709</v>
      </c>
      <c r="G132" s="69"/>
      <c r="H132" s="69"/>
    </row>
    <row r="133" spans="2:8" ht="18" customHeight="1" x14ac:dyDescent="0.2">
      <c r="D133" s="1" t="s">
        <v>30</v>
      </c>
      <c r="E133" s="95">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2660.1922000000004</v>
      </c>
      <c r="F133" s="98"/>
      <c r="G133" s="69"/>
      <c r="H133" s="141"/>
    </row>
    <row r="134" spans="2:8" ht="18" customHeight="1" x14ac:dyDescent="0.2">
      <c r="D134" s="1" t="s">
        <v>29</v>
      </c>
      <c r="E134" s="313">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-1572.058065941</v>
      </c>
      <c r="F134" s="98"/>
      <c r="G134" s="69"/>
      <c r="H134" s="141"/>
    </row>
    <row r="135" spans="2:8" ht="18" customHeight="1" x14ac:dyDescent="0.2">
      <c r="D135" s="1" t="s">
        <v>28</v>
      </c>
      <c r="E135" s="95">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2.6907999999999999</v>
      </c>
      <c r="F135" s="98"/>
      <c r="G135" s="69"/>
      <c r="H135" s="141"/>
    </row>
    <row r="136" spans="2:8" ht="18" customHeight="1" thickBot="1" x14ac:dyDescent="0.25">
      <c r="D136" s="17" t="s">
        <v>27</v>
      </c>
      <c r="E136" s="125"/>
      <c r="F136" s="94">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G136" s="69"/>
      <c r="H136" s="141"/>
    </row>
    <row r="137" spans="2:8" ht="14.25" customHeight="1" x14ac:dyDescent="0.2">
      <c r="D137" s="25"/>
      <c r="E137" s="100"/>
      <c r="F137" s="100"/>
      <c r="G137" s="69"/>
      <c r="H137" s="141"/>
    </row>
    <row r="138" spans="2:8" ht="14.25" customHeight="1" x14ac:dyDescent="0.2">
      <c r="D138" s="142"/>
      <c r="E138" s="142"/>
      <c r="F138" s="142"/>
      <c r="G138" s="142"/>
      <c r="H138" s="142"/>
    </row>
    <row r="139" spans="2:8" ht="34.5" customHeight="1" x14ac:dyDescent="0.2">
      <c r="E139" s="143"/>
      <c r="H139" s="69"/>
    </row>
    <row r="140" spans="2:8" ht="34.5" customHeight="1" thickBot="1" x14ac:dyDescent="0.25">
      <c r="H140" s="69"/>
    </row>
    <row r="141" spans="2:8" ht="34.5" customHeight="1" thickBot="1" x14ac:dyDescent="0.35">
      <c r="B141" s="352" t="s">
        <v>1304</v>
      </c>
      <c r="C141" s="155"/>
      <c r="D141" s="195" t="s">
        <v>710</v>
      </c>
      <c r="E141" s="155"/>
      <c r="F141" s="155"/>
      <c r="G141" s="155"/>
      <c r="H141" s="162"/>
    </row>
    <row r="142" spans="2:8" ht="21.75" customHeight="1" x14ac:dyDescent="0.2">
      <c r="B142" s="379"/>
      <c r="C142" s="153"/>
      <c r="D142" s="18" t="s">
        <v>872</v>
      </c>
      <c r="E142" s="186" t="s">
        <v>852</v>
      </c>
      <c r="F142" s="186" t="s">
        <v>853</v>
      </c>
      <c r="G142" s="187" t="s">
        <v>854</v>
      </c>
      <c r="H142" s="161"/>
    </row>
    <row r="143" spans="2:8" ht="30.75" customHeight="1" x14ac:dyDescent="0.2">
      <c r="B143" s="377"/>
      <c r="C143" s="153"/>
      <c r="D143" s="311" t="s">
        <v>695</v>
      </c>
      <c r="E143" s="188" t="s">
        <v>831</v>
      </c>
      <c r="F143" s="189"/>
      <c r="G143" s="190" t="s">
        <v>832</v>
      </c>
      <c r="H143" s="161"/>
    </row>
    <row r="144" spans="2:8" ht="18" customHeight="1" x14ac:dyDescent="0.2">
      <c r="B144" s="377"/>
      <c r="C144" s="153"/>
      <c r="D144" s="1" t="s">
        <v>706</v>
      </c>
      <c r="E144" s="189">
        <f>SUMIFS(E14:X14,E13:X13,1,E14:X14,"&gt;0")+SUMIFS(E29:X29,E28:X28,1,E29:X29,"&gt;0")+SUMIFS(E45:X45,E43:X43,1,E45:X45,"&gt;0")+SUMIFS(E60:X60,E59:X59,1,E60:X60,"&gt;0")+  SUMIFS(E75:X75,E74:X74,1,E75:X75,"&gt;0")+SUMIFS(E90:X90,E89:X89,1,E90:X90,"&gt;0")+SUMIFS(E105:X105,E104:X104,1,E105:X105,"&gt;0")+SUMIFS(E121:X121,E120:X120,1,E121:X121,"&gt;0")</f>
        <v>74.142300000000006</v>
      </c>
      <c r="F144" s="189">
        <f>SUMIFS(E14:X14,E13:X13,2,E14:X14,"&gt;0")+SUMIFS(E29:X29,E28:X28,2,E29:X29,"&gt;0")+SUMIFS(E45:X45,E43:X43,2,E45:X45,"&gt;0")+SUMIFS(E60:X60,E59:X59,2,E60:X60,"&gt;0")+  SUMIFS(E75:X75,E74:X74,2,E75:X75,"&gt;0")+SUMIFS(E90:X90,E89:X89,2,E90:X90,"&gt;0")+SUMIFS(E105:X105,E104:X104,2,E105:X105,"&gt;0")+SUMIFS(E121:X121,E120:X120,2,E121:X121,"&gt;0")</f>
        <v>442</v>
      </c>
      <c r="G144" s="191">
        <f>SUMIFS(E14:X14,E13:X13,3,E14:X14,"&gt;0")+SUMIFS(E29:X29,E28:X28,3,E29:X29,"&gt;0")+SUMIFS(E45:X45,E43:X43,3,E45:X45,"&gt;0")+SUMIFS(E60:X60,E59:X59,3,E60:X60,"&gt;0")+  SUMIFS(E75:X75,E74:X74,3,E75:X75,"&gt;0")+SUMIFS(E90:X90,E89:X89,3,E90:X90,"&gt;0")+SUMIFS(E105:X105,E104:X104,3,E105:X105,"&gt;0")+SUMIFS(E121:X121,E120:X120,3,E121:X121,"&gt;0")</f>
        <v>500</v>
      </c>
      <c r="H144" s="161"/>
    </row>
    <row r="145" spans="2:8" ht="19.5" customHeight="1" x14ac:dyDescent="0.2">
      <c r="B145" s="377"/>
      <c r="C145" s="153"/>
      <c r="D145" s="1" t="s">
        <v>705</v>
      </c>
      <c r="E145" s="192">
        <f>SUMIFS(E14:X14,E13:X13,1,E14:X14,"&lt;0")+SUMIFS(E29:X29,E28:X28,1,E29:X29,"&lt;0")+SUMIFS(E44:X44,E43:X43,1,E44:X44,"&lt;0")+SUMIFS(E60:X60,E59:X59,1,E60:X60,"&lt;0")+  SUMIFS(E75:X75,E74:X74,1,E75:X75,"&lt;0")+SUMIFS(E90:X90,E89:X89,1,E90:X90,"&lt;0")+SUMIFS(E105:X105,E104:X104,1,E105:X105,"&lt;0")+SUMIFS(E121:X121,E120:X120,1,E121:X121,"&lt;0")</f>
        <v>-6.5940999999999998E-5</v>
      </c>
      <c r="F145" s="189">
        <f>SUMIFS(E14:X14,E13:X13,2,E14:X14,"&lt;0")+SUMIFS(E29:X29,E28:X28,2,E29:X29,"&lt;0")+SUMIFS(E44:X44,E43:X43,2,E44:X44,"&lt;0")+SUMIFS(E60:X60,E59:X59,2,E60:X60,"&lt;0")+  SUMIFS(E75:X75,E74:X74,2,E75:X75,"&lt;0")+SUMIFS(E90:X90,E89:X89,2,E90:X90,"&lt;0")+SUMIFS(E105:X105,E104:X104,2,E105:X105,"&lt;0")+SUMIFS(E121:X121,E120:X120,2,E121:X121,"&lt;0")</f>
        <v>-447.16370000000001</v>
      </c>
      <c r="G145" s="191">
        <f>SUMIFS(E14:X14,E13:X13,3,E14:X14,"&lt;0")+SUMIFS(E29:X29,E28:X28,3,E29:X29,"&lt;0")+SUMIFS(E44:X44,E43:X43,3,E44:X44,"&lt;0")+SUMIFS(E60:X60,E59:X59,3,E60:X60,"&lt;0")+  SUMIFS(E75:X75,E74:X74,3,E75:X75,"&lt;0")+SUMIFS(E90:X90,E89:X89,3,E90:X90,"&lt;0")+SUMIFS(E105:X105,E104:X104,3,E105:X105,"&lt;0")+SUMIFS(E121:X121,E120:X120,3,E121:X121,"&lt;0")</f>
        <v>-369.12450000000001</v>
      </c>
      <c r="H145" s="161"/>
    </row>
    <row r="146" spans="2:8" ht="19.5" customHeight="1" thickBot="1" x14ac:dyDescent="0.25">
      <c r="B146" s="377"/>
      <c r="C146" s="153"/>
      <c r="D146" s="19" t="s">
        <v>707</v>
      </c>
      <c r="E146" s="193">
        <f>(SUMIFS(E15:X15,E13:X13,1)+SUMIFS(E30:X30,E28:X28,1)+SUMIFS(E46:X46,E43:X43,1)+SUMIFS(E61:X61,E59:X59,1)+  SUMIFS(E76:X76,E74:X74,1)+SUMIFS(E91:X91,E89:X89,1)+SUMIFS(E106:X106,E104:X104,1)+SUMIFS(E122:X122,E120:X120,1))/'III. Utility Data'!I46</f>
        <v>0</v>
      </c>
      <c r="F146" s="193">
        <f>(SUMIFS(E15:X15,E13:X13,2)+SUMIFS(E30:X30,E28:X28,2)+SUMIFS(E46:X46,E43:X43,2)+SUMIFS(E61:X61,E59:X59,2)+  SUMIFS(E76:X76,E74:X74,2)+SUMIFS(E91:X91,E89:X89,2)+SUMIFS(E106:X106,E104:X104,2)+SUMIFS(E122:X122,E120:X120,2))/'III. Utility Data'!I46</f>
        <v>3.5777777777777776E-2</v>
      </c>
      <c r="G146" s="194">
        <f>(SUMIFS(E15:X15,E13:X13,3)+SUMIFS(E30:X30,E28:X28,3)+SUMIFS(E46:X46,E43:X43,3)+SUMIFS(E61:X61,E59:X59,3)+SUMIFS(E76:X76,E74:X74,3)+SUMIFS(E91:X91,E89:X89,3)+SUMIFS(E106:X106,E104:X104,3)+SUMIFS(E122:X122,E120:X120,3))/'III. Utility Data'!I46</f>
        <v>1.8694444444444444E-2</v>
      </c>
      <c r="H146" s="161"/>
    </row>
    <row r="147" spans="2:8" ht="19.5" customHeight="1" thickBot="1" x14ac:dyDescent="0.25">
      <c r="B147" s="378"/>
      <c r="C147" s="154"/>
      <c r="D147" s="150"/>
      <c r="E147" s="154"/>
      <c r="F147" s="154"/>
      <c r="G147" s="154"/>
      <c r="H147" s="159"/>
    </row>
    <row r="148" spans="2:8" ht="19.5" customHeight="1" x14ac:dyDescent="0.2"/>
    <row r="149" spans="2:8" ht="19.5" customHeight="1" x14ac:dyDescent="0.2"/>
    <row r="150" spans="2:8" ht="39" customHeight="1" x14ac:dyDescent="0.2"/>
    <row r="151" spans="2:8" ht="39" customHeight="1" thickBot="1" x14ac:dyDescent="0.25">
      <c r="D151" s="25"/>
    </row>
    <row r="152" spans="2:8" ht="39" customHeight="1" thickBot="1" x14ac:dyDescent="0.4">
      <c r="B152" s="352" t="s">
        <v>1305</v>
      </c>
      <c r="C152" s="155"/>
      <c r="D152" s="204" t="s">
        <v>1263</v>
      </c>
      <c r="E152" s="175"/>
      <c r="F152" s="155"/>
      <c r="G152" s="205"/>
      <c r="H152" s="162"/>
    </row>
    <row r="153" spans="2:8" ht="15.75" thickBot="1" x14ac:dyDescent="0.25">
      <c r="B153" s="379"/>
      <c r="C153" s="153"/>
      <c r="D153" s="153"/>
      <c r="E153" s="153"/>
      <c r="F153" s="153"/>
      <c r="G153" s="153"/>
      <c r="H153" s="161"/>
    </row>
    <row r="154" spans="2:8" ht="23.25" customHeight="1" x14ac:dyDescent="0.2">
      <c r="B154" s="377"/>
      <c r="C154" s="153"/>
      <c r="D154" s="961" t="s">
        <v>798</v>
      </c>
      <c r="E154" s="962"/>
      <c r="F154" s="962"/>
      <c r="G154" s="196">
        <v>1000</v>
      </c>
      <c r="H154" s="161"/>
    </row>
    <row r="155" spans="2:8" ht="23.25" customHeight="1" x14ac:dyDescent="0.2">
      <c r="B155" s="377"/>
      <c r="C155" s="153"/>
      <c r="D155" s="963" t="s">
        <v>741</v>
      </c>
      <c r="E155" s="964"/>
      <c r="F155" s="964"/>
      <c r="G155" s="191">
        <v>0</v>
      </c>
      <c r="H155" s="161"/>
    </row>
    <row r="156" spans="2:8" ht="23.25" customHeight="1" x14ac:dyDescent="0.25">
      <c r="B156" s="377"/>
      <c r="C156" s="153"/>
      <c r="D156" s="965" t="s">
        <v>787</v>
      </c>
      <c r="E156" s="966"/>
      <c r="F156" s="966"/>
      <c r="G156" s="714">
        <v>27.79</v>
      </c>
      <c r="H156" s="161"/>
    </row>
    <row r="157" spans="2:8" ht="23.25" customHeight="1" x14ac:dyDescent="0.25">
      <c r="B157" s="377"/>
      <c r="C157" s="153"/>
      <c r="D157" s="965" t="s">
        <v>745</v>
      </c>
      <c r="E157" s="966"/>
      <c r="F157" s="966"/>
      <c r="G157" s="714">
        <v>0</v>
      </c>
      <c r="H157" s="161"/>
    </row>
    <row r="158" spans="2:8" ht="23.25" customHeight="1" x14ac:dyDescent="0.25">
      <c r="B158" s="377"/>
      <c r="C158" s="153"/>
      <c r="D158" s="933" t="s">
        <v>749</v>
      </c>
      <c r="E158" s="934"/>
      <c r="F158" s="934"/>
      <c r="G158" s="191">
        <v>10</v>
      </c>
      <c r="H158" s="161"/>
    </row>
    <row r="159" spans="2:8" ht="23.25" customHeight="1" x14ac:dyDescent="0.2">
      <c r="B159" s="377"/>
      <c r="C159" s="153"/>
      <c r="D159" s="951" t="s">
        <v>750</v>
      </c>
      <c r="E159" s="952"/>
      <c r="F159" s="952"/>
      <c r="G159" s="197">
        <v>0.3</v>
      </c>
      <c r="H159" s="161"/>
    </row>
    <row r="160" spans="2:8" ht="23.25" customHeight="1" x14ac:dyDescent="0.25">
      <c r="B160" s="377"/>
      <c r="C160" s="153"/>
      <c r="D160" s="933" t="s">
        <v>845</v>
      </c>
      <c r="E160" s="934"/>
      <c r="F160" s="934"/>
      <c r="G160" s="198" t="s">
        <v>743</v>
      </c>
      <c r="H160" s="161"/>
    </row>
    <row r="161" spans="2:8" ht="23.25" customHeight="1" x14ac:dyDescent="0.25">
      <c r="B161" s="377"/>
      <c r="C161" s="153"/>
      <c r="D161" s="933" t="s">
        <v>744</v>
      </c>
      <c r="E161" s="934"/>
      <c r="F161" s="934"/>
      <c r="G161" s="191">
        <v>1</v>
      </c>
      <c r="H161" s="161"/>
    </row>
    <row r="162" spans="2:8" ht="23.25" customHeight="1" x14ac:dyDescent="0.25">
      <c r="B162" s="377"/>
      <c r="C162" s="153"/>
      <c r="D162" s="953" t="s">
        <v>751</v>
      </c>
      <c r="E162" s="954"/>
      <c r="F162" s="954"/>
      <c r="G162" s="191">
        <v>1</v>
      </c>
      <c r="H162" s="161"/>
    </row>
    <row r="163" spans="2:8" ht="23.25" customHeight="1" x14ac:dyDescent="0.2">
      <c r="B163" s="377"/>
      <c r="C163" s="153"/>
      <c r="D163" s="955" t="s">
        <v>746</v>
      </c>
      <c r="E163" s="956"/>
      <c r="F163" s="956"/>
      <c r="G163" s="715">
        <v>0</v>
      </c>
      <c r="H163" s="161"/>
    </row>
    <row r="164" spans="2:8" ht="23.25" customHeight="1" x14ac:dyDescent="0.2">
      <c r="B164" s="377"/>
      <c r="C164" s="153"/>
      <c r="D164" s="957" t="s">
        <v>747</v>
      </c>
      <c r="E164" s="958"/>
      <c r="F164" s="958"/>
      <c r="G164" s="199">
        <v>0.1</v>
      </c>
      <c r="H164" s="161"/>
    </row>
    <row r="165" spans="2:8" ht="23.25" customHeight="1" x14ac:dyDescent="0.2">
      <c r="B165" s="377"/>
      <c r="C165" s="153"/>
      <c r="D165" s="937" t="s">
        <v>873</v>
      </c>
      <c r="E165" s="938"/>
      <c r="F165" s="938"/>
      <c r="G165" s="200">
        <v>0</v>
      </c>
      <c r="H165" s="161"/>
    </row>
    <row r="166" spans="2:8" ht="23.25" customHeight="1" x14ac:dyDescent="0.2">
      <c r="B166" s="377"/>
      <c r="C166" s="153"/>
      <c r="D166" s="939" t="s">
        <v>874</v>
      </c>
      <c r="E166" s="940"/>
      <c r="F166" s="940"/>
      <c r="G166" s="201">
        <v>0.4</v>
      </c>
      <c r="H166" s="161"/>
    </row>
    <row r="167" spans="2:8" ht="23.25" customHeight="1" x14ac:dyDescent="0.2">
      <c r="B167" s="377"/>
      <c r="C167" s="153"/>
      <c r="D167" s="959" t="s">
        <v>752</v>
      </c>
      <c r="E167" s="960"/>
      <c r="F167" s="960"/>
      <c r="G167" s="202" t="s">
        <v>748</v>
      </c>
      <c r="H167" s="161"/>
    </row>
    <row r="168" spans="2:8" ht="23.25" customHeight="1" x14ac:dyDescent="0.2">
      <c r="B168" s="377"/>
      <c r="C168" s="153"/>
      <c r="D168" s="951" t="s">
        <v>753</v>
      </c>
      <c r="E168" s="952"/>
      <c r="F168" s="952"/>
      <c r="G168" s="191">
        <v>0.16</v>
      </c>
      <c r="H168" s="161"/>
    </row>
    <row r="169" spans="2:8" ht="23.25" customHeight="1" thickBot="1" x14ac:dyDescent="0.25">
      <c r="B169" s="377"/>
      <c r="C169" s="153"/>
      <c r="D169" s="941" t="s">
        <v>802</v>
      </c>
      <c r="E169" s="942"/>
      <c r="F169" s="942"/>
      <c r="G169" s="203">
        <v>0.5</v>
      </c>
      <c r="H169" s="161"/>
    </row>
    <row r="170" spans="2:8" ht="19.5" customHeight="1" thickBot="1" x14ac:dyDescent="0.25">
      <c r="B170" s="378"/>
      <c r="C170" s="154"/>
      <c r="D170" s="154"/>
      <c r="E170" s="154"/>
      <c r="F170" s="154"/>
      <c r="G170" s="154"/>
      <c r="H170" s="159"/>
    </row>
    <row r="171" spans="2:8" ht="35.25" customHeight="1" x14ac:dyDescent="0.2"/>
    <row r="172" spans="2:8" ht="35.25" customHeight="1" thickBot="1" x14ac:dyDescent="0.25">
      <c r="G172" s="150"/>
      <c r="H172" s="150"/>
    </row>
    <row r="173" spans="2:8" ht="35.25" customHeight="1" x14ac:dyDescent="0.35">
      <c r="B173" s="352" t="s">
        <v>1306</v>
      </c>
      <c r="C173" s="155"/>
      <c r="D173" s="204" t="s">
        <v>1262</v>
      </c>
      <c r="E173" s="155"/>
      <c r="F173" s="155"/>
      <c r="G173" s="153"/>
      <c r="H173" s="162"/>
    </row>
    <row r="174" spans="2:8" ht="19.5" customHeight="1" thickBot="1" x14ac:dyDescent="0.25">
      <c r="B174" s="377"/>
      <c r="C174" s="153"/>
      <c r="D174" s="153"/>
      <c r="E174" s="153"/>
      <c r="F174" s="153"/>
      <c r="G174" s="153"/>
      <c r="H174" s="161"/>
    </row>
    <row r="175" spans="2:8" ht="19.5" customHeight="1" thickBot="1" x14ac:dyDescent="0.25">
      <c r="B175" s="377"/>
      <c r="C175" s="153"/>
      <c r="D175" s="22" t="s">
        <v>879</v>
      </c>
      <c r="E175" s="144"/>
      <c r="F175" s="206">
        <f>IF(E175&lt;&gt;"",E175,MATCH(MIN(ERPG2_mg_m3),ERPG2_mg_m3,0))</f>
        <v>8</v>
      </c>
      <c r="G175" s="153"/>
      <c r="H175" s="161"/>
    </row>
    <row r="176" spans="2:8" ht="19.5" customHeight="1" x14ac:dyDescent="0.2">
      <c r="B176" s="377"/>
      <c r="C176" s="153"/>
      <c r="D176" s="148" t="s">
        <v>877</v>
      </c>
      <c r="E176" s="145">
        <v>10000</v>
      </c>
      <c r="F176" s="153"/>
      <c r="G176" s="153"/>
      <c r="H176" s="161"/>
    </row>
    <row r="177" spans="2:25" ht="19.5" customHeight="1" x14ac:dyDescent="0.2">
      <c r="B177" s="377"/>
      <c r="C177" s="153"/>
      <c r="D177" s="148" t="s">
        <v>883</v>
      </c>
      <c r="E177" s="145">
        <v>304</v>
      </c>
      <c r="F177" s="153"/>
      <c r="G177" s="153"/>
      <c r="H177" s="161"/>
    </row>
    <row r="178" spans="2:25" ht="19.5" customHeight="1" x14ac:dyDescent="0.2">
      <c r="B178" s="377"/>
      <c r="C178" s="153"/>
      <c r="D178" s="148" t="s">
        <v>1264</v>
      </c>
      <c r="E178" s="145">
        <v>101</v>
      </c>
      <c r="F178" s="153"/>
      <c r="G178" s="153"/>
      <c r="H178" s="161"/>
    </row>
    <row r="179" spans="2:25" ht="19.5" customHeight="1" x14ac:dyDescent="0.2">
      <c r="B179" s="377"/>
      <c r="C179" s="153"/>
      <c r="D179" s="148" t="s">
        <v>878</v>
      </c>
      <c r="E179" s="145">
        <v>50.8</v>
      </c>
      <c r="F179" s="153"/>
      <c r="G179" s="153"/>
      <c r="H179" s="161"/>
    </row>
    <row r="180" spans="2:25" ht="19.5" customHeight="1" x14ac:dyDescent="0.2">
      <c r="B180" s="377"/>
      <c r="C180" s="153"/>
      <c r="D180" s="23" t="s">
        <v>875</v>
      </c>
      <c r="E180" s="146"/>
      <c r="F180" s="153"/>
      <c r="G180" s="153"/>
      <c r="H180" s="161"/>
    </row>
    <row r="181" spans="2:25" ht="19.5" customHeight="1" thickBot="1" x14ac:dyDescent="0.25">
      <c r="B181" s="377"/>
      <c r="C181" s="153"/>
      <c r="D181" s="24" t="s">
        <v>876</v>
      </c>
      <c r="E181" s="147" t="s">
        <v>52</v>
      </c>
      <c r="F181" s="153"/>
      <c r="G181" s="153"/>
      <c r="H181" s="161"/>
    </row>
    <row r="182" spans="2:25" ht="19.5" customHeight="1" thickBot="1" x14ac:dyDescent="0.25">
      <c r="B182" s="378"/>
      <c r="C182" s="154"/>
      <c r="D182" s="154"/>
      <c r="E182" s="154"/>
      <c r="F182" s="154"/>
      <c r="G182" s="154"/>
      <c r="H182" s="159"/>
    </row>
    <row r="183" spans="2:25" ht="19.5" customHeight="1" x14ac:dyDescent="0.2"/>
    <row r="184" spans="2:25" ht="19.5" customHeight="1" x14ac:dyDescent="0.2"/>
    <row r="185" spans="2:25" ht="19.5" customHeight="1" x14ac:dyDescent="0.2"/>
    <row r="186" spans="2:25" ht="19.5" customHeight="1" x14ac:dyDescent="0.2"/>
    <row r="187" spans="2:25" ht="19.5" customHeight="1" thickBot="1" x14ac:dyDescent="0.25"/>
    <row r="188" spans="2:25" ht="34.5" customHeight="1" x14ac:dyDescent="0.4">
      <c r="B188" s="943" t="s">
        <v>1312</v>
      </c>
      <c r="C188" s="944"/>
      <c r="D188" s="944"/>
      <c r="E188" s="944"/>
      <c r="F188" s="944"/>
      <c r="G188" s="944"/>
      <c r="H188" s="944"/>
      <c r="I188" s="211"/>
      <c r="J188" s="211"/>
      <c r="K188" s="211"/>
      <c r="L188" s="211"/>
      <c r="M188" s="211"/>
      <c r="N188" s="211"/>
      <c r="O188" s="211"/>
      <c r="P188" s="211"/>
      <c r="Q188" s="211"/>
      <c r="R188" s="211"/>
      <c r="S188" s="211"/>
      <c r="T188" s="211"/>
      <c r="U188" s="211"/>
      <c r="V188" s="211"/>
      <c r="W188" s="211"/>
      <c r="X188" s="211"/>
      <c r="Y188" s="212"/>
    </row>
    <row r="189" spans="2:25" ht="19.5" customHeight="1" x14ac:dyDescent="0.2">
      <c r="B189" s="387"/>
      <c r="C189" s="213"/>
      <c r="D189" s="213"/>
      <c r="E189" s="213"/>
      <c r="F189" s="213"/>
      <c r="G189" s="213"/>
      <c r="H189" s="213"/>
      <c r="I189" s="213"/>
      <c r="J189" s="213"/>
      <c r="K189" s="213"/>
      <c r="L189" s="213"/>
      <c r="M189" s="213"/>
      <c r="N189" s="213"/>
      <c r="O189" s="213"/>
      <c r="P189" s="213"/>
      <c r="Q189" s="213"/>
      <c r="R189" s="213"/>
      <c r="S189" s="213"/>
      <c r="T189" s="213"/>
      <c r="U189" s="213"/>
      <c r="V189" s="213"/>
      <c r="W189" s="213"/>
      <c r="X189" s="213"/>
      <c r="Y189" s="214"/>
    </row>
    <row r="190" spans="2:25" ht="19.5" customHeight="1" x14ac:dyDescent="0.2">
      <c r="B190" s="387"/>
      <c r="C190" s="213"/>
      <c r="D190" s="213"/>
      <c r="E190" s="213"/>
      <c r="F190" s="213"/>
      <c r="G190" s="213"/>
      <c r="H190" s="213"/>
      <c r="I190" s="213"/>
      <c r="J190" s="213"/>
      <c r="K190" s="213"/>
      <c r="L190" s="213"/>
      <c r="M190" s="213"/>
      <c r="N190" s="213"/>
      <c r="O190" s="213"/>
      <c r="P190" s="213"/>
      <c r="Q190" s="213"/>
      <c r="R190" s="213"/>
      <c r="S190" s="213"/>
      <c r="T190" s="213"/>
      <c r="U190" s="213"/>
      <c r="V190" s="213"/>
      <c r="W190" s="213"/>
      <c r="X190" s="213"/>
      <c r="Y190" s="214"/>
    </row>
    <row r="191" spans="2:25" ht="24" thickBot="1" x14ac:dyDescent="0.4">
      <c r="B191" s="387"/>
      <c r="C191" s="213"/>
      <c r="D191" s="215" t="s">
        <v>1311</v>
      </c>
      <c r="E191" s="213"/>
      <c r="F191" s="213"/>
      <c r="G191" s="213"/>
      <c r="H191" s="213"/>
      <c r="I191" s="216"/>
      <c r="J191" s="216"/>
      <c r="K191" s="213"/>
      <c r="L191" s="213"/>
      <c r="M191" s="213"/>
      <c r="N191" s="213"/>
      <c r="O191" s="213"/>
      <c r="P191" s="213"/>
      <c r="Q191" s="213"/>
      <c r="R191" s="213"/>
      <c r="S191" s="213"/>
      <c r="T191" s="213"/>
      <c r="U191" s="213"/>
      <c r="V191" s="213"/>
      <c r="W191" s="213"/>
      <c r="X191" s="213"/>
      <c r="Y191" s="214"/>
    </row>
    <row r="192" spans="2:25" ht="30" x14ac:dyDescent="0.2">
      <c r="B192" s="387"/>
      <c r="C192" s="213"/>
      <c r="D192" s="935" t="s">
        <v>695</v>
      </c>
      <c r="E192" s="936"/>
      <c r="F192" s="315" t="s">
        <v>728</v>
      </c>
      <c r="G192" s="217" t="s">
        <v>727</v>
      </c>
      <c r="H192" s="213"/>
      <c r="I192" s="216"/>
      <c r="J192" s="216"/>
      <c r="K192" s="213"/>
      <c r="L192" s="213"/>
      <c r="M192" s="213"/>
      <c r="N192" s="213"/>
      <c r="O192" s="213"/>
      <c r="P192" s="213"/>
      <c r="Q192" s="213"/>
      <c r="R192" s="213"/>
      <c r="S192" s="213"/>
      <c r="T192" s="213"/>
      <c r="U192" s="213"/>
      <c r="V192" s="213"/>
      <c r="W192" s="213"/>
      <c r="X192" s="213"/>
      <c r="Y192" s="214"/>
    </row>
    <row r="193" spans="2:25" x14ac:dyDescent="0.2">
      <c r="B193" s="387"/>
      <c r="C193" s="213"/>
      <c r="D193" s="218" t="s">
        <v>761</v>
      </c>
      <c r="E193" s="219">
        <f>COUNTIF(E16:X16,"&gt;0")</f>
        <v>0</v>
      </c>
      <c r="F193" s="219">
        <f>SUM(E16:X16)</f>
        <v>0</v>
      </c>
      <c r="G193" s="220">
        <f>SUM(E19:X19)</f>
        <v>0</v>
      </c>
      <c r="H193" s="213"/>
      <c r="I193" s="216"/>
      <c r="J193" s="216"/>
      <c r="K193" s="213"/>
      <c r="L193" s="213"/>
      <c r="M193" s="213"/>
      <c r="N193" s="213"/>
      <c r="O193" s="213"/>
      <c r="P193" s="213"/>
      <c r="Q193" s="213"/>
      <c r="R193" s="213"/>
      <c r="S193" s="213"/>
      <c r="T193" s="213"/>
      <c r="U193" s="213"/>
      <c r="V193" s="213"/>
      <c r="W193" s="213"/>
      <c r="X193" s="213"/>
      <c r="Y193" s="214"/>
    </row>
    <row r="194" spans="2:25" x14ac:dyDescent="0.2">
      <c r="B194" s="387"/>
      <c r="C194" s="213"/>
      <c r="D194" s="218" t="s">
        <v>729</v>
      </c>
      <c r="E194" s="219">
        <f>COUNTIF(E31:X31,"&gt;0")</f>
        <v>7</v>
      </c>
      <c r="F194" s="219">
        <f>SUM(E31:X31)</f>
        <v>64629</v>
      </c>
      <c r="G194" s="220">
        <f>SUM(E34:X34)</f>
        <v>180963</v>
      </c>
      <c r="H194" s="213"/>
      <c r="I194" s="216"/>
      <c r="J194" s="216"/>
      <c r="K194" s="213"/>
      <c r="L194" s="213"/>
      <c r="M194" s="213"/>
      <c r="N194" s="213"/>
      <c r="O194" s="213"/>
      <c r="P194" s="213"/>
      <c r="Q194" s="213"/>
      <c r="R194" s="213"/>
      <c r="S194" s="213"/>
      <c r="T194" s="213"/>
      <c r="U194" s="213"/>
      <c r="V194" s="213"/>
      <c r="W194" s="213"/>
      <c r="X194" s="213"/>
      <c r="Y194" s="214"/>
    </row>
    <row r="195" spans="2:25" x14ac:dyDescent="0.2">
      <c r="B195" s="387"/>
      <c r="C195" s="213"/>
      <c r="D195" s="319" t="s">
        <v>765</v>
      </c>
      <c r="E195" s="219">
        <f>COUNTIF(E47:X47,"&gt;0")</f>
        <v>4</v>
      </c>
      <c r="F195" s="219">
        <f>SUM(E47:X47)</f>
        <v>446917</v>
      </c>
      <c r="G195" s="220">
        <f>SUM(E50:X50)</f>
        <v>1067123</v>
      </c>
      <c r="H195" s="213"/>
      <c r="I195" s="213"/>
      <c r="J195" s="213"/>
      <c r="K195" s="213"/>
      <c r="L195" s="213"/>
      <c r="M195" s="213"/>
      <c r="N195" s="213"/>
      <c r="O195" s="213"/>
      <c r="P195" s="213"/>
      <c r="Q195" s="213"/>
      <c r="R195" s="213"/>
      <c r="S195" s="213"/>
      <c r="T195" s="213"/>
      <c r="U195" s="213"/>
      <c r="V195" s="213"/>
      <c r="W195" s="213"/>
      <c r="X195" s="213"/>
      <c r="Y195" s="214"/>
    </row>
    <row r="196" spans="2:25" x14ac:dyDescent="0.2">
      <c r="B196" s="387"/>
      <c r="C196" s="213"/>
      <c r="D196" s="319" t="s">
        <v>730</v>
      </c>
      <c r="E196" s="219">
        <f>COUNTIF(E62:X62,"&gt;0")</f>
        <v>3</v>
      </c>
      <c r="F196" s="219">
        <f>SUM(E62:X62)</f>
        <v>12615</v>
      </c>
      <c r="G196" s="220">
        <f>SUM(E65:X65)</f>
        <v>25231</v>
      </c>
      <c r="H196" s="213"/>
      <c r="I196" s="213"/>
      <c r="J196" s="213"/>
      <c r="K196" s="213"/>
      <c r="L196" s="213"/>
      <c r="M196" s="213"/>
      <c r="N196" s="213"/>
      <c r="O196" s="213"/>
      <c r="P196" s="213"/>
      <c r="Q196" s="213"/>
      <c r="R196" s="213"/>
      <c r="S196" s="213"/>
      <c r="T196" s="213"/>
      <c r="U196" s="213"/>
      <c r="V196" s="213"/>
      <c r="W196" s="213"/>
      <c r="X196" s="213"/>
      <c r="Y196" s="214"/>
    </row>
    <row r="197" spans="2:25" x14ac:dyDescent="0.2">
      <c r="B197" s="387"/>
      <c r="C197" s="213"/>
      <c r="D197" s="319" t="s">
        <v>731</v>
      </c>
      <c r="E197" s="219">
        <f>COUNTIF(E77:X77,"&gt;0")</f>
        <v>2</v>
      </c>
      <c r="F197" s="219">
        <f>SUM(E77:X77)</f>
        <v>167785</v>
      </c>
      <c r="G197" s="220">
        <f>SUM(E80:X80)</f>
        <v>637334</v>
      </c>
      <c r="H197" s="213"/>
      <c r="I197" s="213"/>
      <c r="J197" s="213"/>
      <c r="K197" s="213"/>
      <c r="L197" s="213"/>
      <c r="M197" s="213"/>
      <c r="N197" s="213"/>
      <c r="O197" s="213"/>
      <c r="P197" s="213"/>
      <c r="Q197" s="213"/>
      <c r="R197" s="213"/>
      <c r="S197" s="213"/>
      <c r="T197" s="213"/>
      <c r="U197" s="213"/>
      <c r="V197" s="213"/>
      <c r="W197" s="213"/>
      <c r="X197" s="213"/>
      <c r="Y197" s="214"/>
    </row>
    <row r="198" spans="2:25" x14ac:dyDescent="0.2">
      <c r="B198" s="387"/>
      <c r="C198" s="213"/>
      <c r="D198" s="319" t="s">
        <v>732</v>
      </c>
      <c r="E198" s="219">
        <f>COUNTIF(E92:X92,"&gt;0")</f>
        <v>5</v>
      </c>
      <c r="F198" s="219">
        <f>SUM(E92:X92)</f>
        <v>18060</v>
      </c>
      <c r="G198" s="220">
        <f>SUM(E95:X95)</f>
        <v>198912</v>
      </c>
      <c r="H198" s="213"/>
      <c r="I198" s="213"/>
      <c r="J198" s="213"/>
      <c r="K198" s="213"/>
      <c r="L198" s="213"/>
      <c r="M198" s="213"/>
      <c r="N198" s="213"/>
      <c r="O198" s="213"/>
      <c r="P198" s="213"/>
      <c r="Q198" s="213"/>
      <c r="R198" s="213"/>
      <c r="S198" s="213"/>
      <c r="T198" s="213"/>
      <c r="U198" s="213"/>
      <c r="V198" s="213"/>
      <c r="W198" s="213"/>
      <c r="X198" s="213"/>
      <c r="Y198" s="214"/>
    </row>
    <row r="199" spans="2:25" x14ac:dyDescent="0.2">
      <c r="B199" s="387"/>
      <c r="C199" s="213"/>
      <c r="D199" s="319" t="s">
        <v>733</v>
      </c>
      <c r="E199" s="219">
        <f>COUNTIF(E108:X108,"&gt;0")</f>
        <v>4</v>
      </c>
      <c r="F199" s="219">
        <f>SUM(E108:X108)</f>
        <v>101040</v>
      </c>
      <c r="G199" s="220">
        <f>SUM(E111:X111)</f>
        <v>254688</v>
      </c>
      <c r="H199" s="213"/>
      <c r="I199" s="213"/>
      <c r="J199" s="213"/>
      <c r="K199" s="213"/>
      <c r="L199" s="213"/>
      <c r="M199" s="213"/>
      <c r="N199" s="213"/>
      <c r="O199" s="213"/>
      <c r="P199" s="213"/>
      <c r="Q199" s="213"/>
      <c r="R199" s="213"/>
      <c r="S199" s="213"/>
      <c r="T199" s="213"/>
      <c r="U199" s="213"/>
      <c r="V199" s="213"/>
      <c r="W199" s="213"/>
      <c r="X199" s="213"/>
      <c r="Y199" s="214"/>
    </row>
    <row r="200" spans="2:25" x14ac:dyDescent="0.2">
      <c r="B200" s="387"/>
      <c r="C200" s="213"/>
      <c r="D200" s="218" t="s">
        <v>767</v>
      </c>
      <c r="E200" s="219">
        <f>COUNTIF(E123:X123,"&gt;0")</f>
        <v>0</v>
      </c>
      <c r="F200" s="219">
        <f>SUM(E123:X123)</f>
        <v>0</v>
      </c>
      <c r="G200" s="220">
        <f>SUM(E126:X126)</f>
        <v>0</v>
      </c>
      <c r="H200" s="213"/>
      <c r="I200" s="213"/>
      <c r="J200" s="213"/>
      <c r="K200" s="213"/>
      <c r="L200" s="213"/>
      <c r="M200" s="213"/>
      <c r="N200" s="213"/>
      <c r="O200" s="213"/>
      <c r="P200" s="213"/>
      <c r="Q200" s="213"/>
      <c r="R200" s="213"/>
      <c r="S200" s="213"/>
      <c r="T200" s="213"/>
      <c r="U200" s="213"/>
      <c r="V200" s="213"/>
      <c r="W200" s="213"/>
      <c r="X200" s="213"/>
      <c r="Y200" s="214"/>
    </row>
    <row r="201" spans="2:25" ht="15.75" thickBot="1" x14ac:dyDescent="0.25">
      <c r="B201" s="387"/>
      <c r="C201" s="213"/>
      <c r="D201" s="332" t="s">
        <v>734</v>
      </c>
      <c r="E201" s="333">
        <f>SUM(E193:E200)</f>
        <v>25</v>
      </c>
      <c r="F201" s="333">
        <f>SUM(F193:F200)</f>
        <v>811046</v>
      </c>
      <c r="G201" s="221">
        <f>SUM(G193:G200)</f>
        <v>2364251</v>
      </c>
      <c r="H201" s="213"/>
      <c r="I201" s="213"/>
      <c r="J201" s="213"/>
      <c r="K201" s="213"/>
      <c r="L201" s="213"/>
      <c r="M201" s="213"/>
      <c r="N201" s="213"/>
      <c r="O201" s="213"/>
      <c r="P201" s="213"/>
      <c r="Q201" s="213"/>
      <c r="R201" s="213"/>
      <c r="S201" s="213"/>
      <c r="T201" s="213"/>
      <c r="U201" s="213"/>
      <c r="V201" s="213"/>
      <c r="W201" s="213"/>
      <c r="X201" s="213"/>
      <c r="Y201" s="214"/>
    </row>
    <row r="202" spans="2:25" x14ac:dyDescent="0.2">
      <c r="B202" s="387"/>
      <c r="C202" s="213"/>
      <c r="D202" s="213"/>
      <c r="E202" s="213"/>
      <c r="F202" s="213"/>
      <c r="G202" s="213"/>
      <c r="H202" s="213"/>
      <c r="I202" s="213"/>
      <c r="J202" s="213"/>
      <c r="K202" s="213"/>
      <c r="L202" s="213"/>
      <c r="M202" s="213"/>
      <c r="N202" s="213"/>
      <c r="O202" s="213"/>
      <c r="P202" s="213"/>
      <c r="Q202" s="213"/>
      <c r="R202" s="213"/>
      <c r="S202" s="213"/>
      <c r="T202" s="213"/>
      <c r="U202" s="213"/>
      <c r="V202" s="213"/>
      <c r="W202" s="213"/>
      <c r="X202" s="213"/>
      <c r="Y202" s="214"/>
    </row>
    <row r="203" spans="2:25" x14ac:dyDescent="0.2">
      <c r="B203" s="387"/>
      <c r="C203" s="213"/>
      <c r="D203" s="213"/>
      <c r="E203" s="213"/>
      <c r="F203" s="213"/>
      <c r="G203" s="213"/>
      <c r="H203" s="213"/>
      <c r="I203" s="213"/>
      <c r="J203" s="213"/>
      <c r="K203" s="213"/>
      <c r="L203" s="213"/>
      <c r="M203" s="213"/>
      <c r="N203" s="213"/>
      <c r="O203" s="213"/>
      <c r="P203" s="213"/>
      <c r="Q203" s="213"/>
      <c r="R203" s="213"/>
      <c r="S203" s="213"/>
      <c r="T203" s="213"/>
      <c r="U203" s="213"/>
      <c r="V203" s="213"/>
      <c r="W203" s="213"/>
      <c r="X203" s="213"/>
      <c r="Y203" s="214"/>
    </row>
    <row r="204" spans="2:25" x14ac:dyDescent="0.2">
      <c r="B204" s="387"/>
      <c r="C204" s="213"/>
      <c r="D204" s="213"/>
      <c r="E204" s="213"/>
      <c r="F204" s="213"/>
      <c r="G204" s="213"/>
      <c r="H204" s="213"/>
      <c r="I204" s="213"/>
      <c r="J204" s="213"/>
      <c r="K204" s="213"/>
      <c r="L204" s="213"/>
      <c r="M204" s="213"/>
      <c r="N204" s="213"/>
      <c r="O204" s="213"/>
      <c r="P204" s="213"/>
      <c r="Q204" s="213"/>
      <c r="R204" s="213"/>
      <c r="S204" s="213"/>
      <c r="T204" s="213"/>
      <c r="U204" s="213"/>
      <c r="V204" s="213"/>
      <c r="W204" s="213"/>
      <c r="X204" s="213"/>
      <c r="Y204" s="214"/>
    </row>
    <row r="205" spans="2:25" x14ac:dyDescent="0.2">
      <c r="B205" s="387"/>
      <c r="C205" s="213"/>
      <c r="D205" s="213"/>
      <c r="E205" s="213"/>
      <c r="F205" s="213"/>
      <c r="G205" s="213"/>
      <c r="H205" s="213"/>
      <c r="I205" s="213"/>
      <c r="J205" s="213"/>
      <c r="K205" s="213"/>
      <c r="L205" s="213"/>
      <c r="M205" s="213"/>
      <c r="N205" s="213"/>
      <c r="O205" s="213"/>
      <c r="P205" s="213"/>
      <c r="Q205" s="213"/>
      <c r="R205" s="213"/>
      <c r="S205" s="213"/>
      <c r="T205" s="213"/>
      <c r="U205" s="213"/>
      <c r="V205" s="213"/>
      <c r="W205" s="213"/>
      <c r="X205" s="213"/>
      <c r="Y205" s="214"/>
    </row>
    <row r="206" spans="2:25" x14ac:dyDescent="0.2">
      <c r="B206" s="387"/>
      <c r="C206" s="213"/>
      <c r="D206" s="213"/>
      <c r="E206" s="213"/>
      <c r="F206" s="213"/>
      <c r="G206" s="213"/>
      <c r="H206" s="213"/>
      <c r="I206" s="213"/>
      <c r="J206" s="213"/>
      <c r="K206" s="213"/>
      <c r="L206" s="213"/>
      <c r="M206" s="213"/>
      <c r="N206" s="213"/>
      <c r="O206" s="213"/>
      <c r="P206" s="213"/>
      <c r="Q206" s="213"/>
      <c r="R206" s="213"/>
      <c r="S206" s="213"/>
      <c r="T206" s="213"/>
      <c r="U206" s="213"/>
      <c r="V206" s="213"/>
      <c r="W206" s="213"/>
      <c r="X206" s="213"/>
      <c r="Y206" s="214"/>
    </row>
    <row r="207" spans="2:25" ht="24" thickBot="1" x14ac:dyDescent="0.4">
      <c r="B207" s="387"/>
      <c r="C207" s="213"/>
      <c r="D207" s="222" t="s">
        <v>1310</v>
      </c>
      <c r="E207" s="213"/>
      <c r="F207" s="213"/>
      <c r="G207" s="213"/>
      <c r="H207" s="213"/>
      <c r="I207" s="213"/>
      <c r="J207" s="213"/>
      <c r="K207" s="213"/>
      <c r="L207" s="213"/>
      <c r="M207" s="213"/>
      <c r="N207" s="213"/>
      <c r="O207" s="213"/>
      <c r="P207" s="213"/>
      <c r="Q207" s="213"/>
      <c r="R207" s="213"/>
      <c r="S207" s="213"/>
      <c r="T207" s="213"/>
      <c r="U207" s="213"/>
      <c r="V207" s="213"/>
      <c r="W207" s="213"/>
      <c r="X207" s="213"/>
      <c r="Y207" s="214"/>
    </row>
    <row r="208" spans="2:25" ht="18.75" customHeight="1" x14ac:dyDescent="0.2">
      <c r="B208" s="387"/>
      <c r="C208" s="213"/>
      <c r="D208" s="223"/>
      <c r="E208" s="315" t="s">
        <v>794</v>
      </c>
      <c r="F208" s="315" t="s">
        <v>756</v>
      </c>
      <c r="G208" s="315" t="s">
        <v>0</v>
      </c>
      <c r="H208" s="224" t="s">
        <v>740</v>
      </c>
      <c r="I208" s="224" t="s">
        <v>803</v>
      </c>
      <c r="J208" s="225" t="s">
        <v>736</v>
      </c>
      <c r="K208" s="225" t="s">
        <v>742</v>
      </c>
      <c r="L208" s="322" t="s">
        <v>772</v>
      </c>
      <c r="M208" s="226" t="s">
        <v>773</v>
      </c>
      <c r="N208" s="227" t="s">
        <v>776</v>
      </c>
      <c r="O208" s="321"/>
      <c r="P208" s="213"/>
      <c r="Q208" s="213"/>
      <c r="R208" s="213"/>
      <c r="S208" s="213"/>
      <c r="T208" s="213"/>
      <c r="U208" s="213"/>
      <c r="V208" s="213"/>
      <c r="W208" s="213"/>
      <c r="X208" s="213"/>
      <c r="Y208" s="214"/>
    </row>
    <row r="209" spans="2:25" ht="18.75" customHeight="1" x14ac:dyDescent="0.2">
      <c r="B209" s="387"/>
      <c r="C209" s="213"/>
      <c r="D209" s="228">
        <v>1</v>
      </c>
      <c r="E209" s="229">
        <f>IF('I. Stream &amp; Compound Data'!I28="","",'I. Stream &amp; Compound Data'!I28)</f>
        <v>101</v>
      </c>
      <c r="F209" s="230" t="str">
        <f>IF(E209="","",'I. Stream &amp; Compound Data'!I29)</f>
        <v>Oil-used</v>
      </c>
      <c r="G209" s="230" t="str">
        <f>IF(E209="","",'I. Stream &amp; Compound Data'!I30)</f>
        <v>yes</v>
      </c>
      <c r="H209" s="231">
        <f>IF(E209="","",'I. Stream &amp; Compound Data'!H88)</f>
        <v>1050</v>
      </c>
      <c r="I209" s="231">
        <f t="shared" ref="I209:I248" si="26">IF(H209="","",H209*8766)</f>
        <v>9204300</v>
      </c>
      <c r="J209" s="231">
        <f>IF($E209="","",'I. Stream &amp; Compound Data'!$H92)</f>
        <v>610.04999999999995</v>
      </c>
      <c r="K209" s="232">
        <f>IF(J209="","",J209*8766)</f>
        <v>5347698.3</v>
      </c>
      <c r="L209" s="231">
        <f>IF($E209="","",'I. Stream &amp; Compound Data'!$H86)</f>
        <v>-2942.5</v>
      </c>
      <c r="M209" s="233">
        <f>IF($E209="","",'I. Stream &amp; Compound Data'!$H87)</f>
        <v>-72.239999999999995</v>
      </c>
      <c r="N209" s="233">
        <f>IF($E209="","",'I. Stream &amp; Compound Data'!$H90)</f>
        <v>1.3377505381119235</v>
      </c>
      <c r="O209" s="213"/>
      <c r="P209" s="213"/>
      <c r="Q209" s="213"/>
      <c r="R209" s="213"/>
      <c r="S209" s="213"/>
      <c r="T209" s="213"/>
      <c r="U209" s="213"/>
      <c r="V209" s="213"/>
      <c r="W209" s="213"/>
      <c r="X209" s="213"/>
      <c r="Y209" s="214"/>
    </row>
    <row r="210" spans="2:25" ht="18.75" customHeight="1" x14ac:dyDescent="0.2">
      <c r="B210" s="387"/>
      <c r="C210" s="213"/>
      <c r="D210" s="228">
        <f>D209+1</f>
        <v>2</v>
      </c>
      <c r="E210" s="229">
        <f>IF('I. Stream &amp; Compound Data'!L28="","",'I. Stream &amp; Compound Data'!L28)</f>
        <v>102</v>
      </c>
      <c r="F210" s="230" t="str">
        <f>IF(E210="","",'I. Stream &amp; Compound Data'!L29)</f>
        <v>Methanol</v>
      </c>
      <c r="G210" s="230" t="str">
        <f>IF(E210="","",'I. Stream &amp; Compound Data'!L30)</f>
        <v>no</v>
      </c>
      <c r="H210" s="231">
        <f>IF(E210="","",'I. Stream &amp; Compound Data'!K88)</f>
        <v>147.19999999999999</v>
      </c>
      <c r="I210" s="231">
        <f t="shared" si="26"/>
        <v>1290355.2</v>
      </c>
      <c r="J210" s="231">
        <f>IF($E210="","",'I. Stream &amp; Compound Data'!$K92)</f>
        <v>65.651200000000003</v>
      </c>
      <c r="K210" s="232">
        <f>IF(J210="","",J210*8766)</f>
        <v>575498.4192</v>
      </c>
      <c r="L210" s="231">
        <f>IF($E210="","",'I. Stream &amp; Compound Data'!$K86)</f>
        <v>-1097.7</v>
      </c>
      <c r="M210" s="233">
        <f>IF($E210="","",'I. Stream &amp; Compound Data'!$K87)</f>
        <v>-1.2</v>
      </c>
      <c r="N210" s="233">
        <f>IF($E210="","",'I. Stream &amp; Compound Data'!$K90)</f>
        <v>4.5939847512163761</v>
      </c>
      <c r="O210" s="213"/>
      <c r="P210" s="213"/>
      <c r="Q210" s="213"/>
      <c r="R210" s="213"/>
      <c r="S210" s="213"/>
      <c r="T210" s="213"/>
      <c r="U210" s="213"/>
      <c r="V210" s="213"/>
      <c r="W210" s="213"/>
      <c r="X210" s="213"/>
      <c r="Y210" s="214"/>
    </row>
    <row r="211" spans="2:25" ht="18.75" customHeight="1" x14ac:dyDescent="0.2">
      <c r="B211" s="387"/>
      <c r="C211" s="213"/>
      <c r="D211" s="228">
        <f t="shared" ref="D211:D248" si="27">D210+1</f>
        <v>3</v>
      </c>
      <c r="E211" s="229">
        <f>IF('I. Stream &amp; Compound Data'!O28="","",'I. Stream &amp; Compound Data'!O28)</f>
        <v>104</v>
      </c>
      <c r="F211" s="230" t="str">
        <f>IF(E211="","",'I. Stream &amp; Compound Data'!O29)</f>
        <v>Sodium hydroxide</v>
      </c>
      <c r="G211" s="230" t="str">
        <f>IF(E211="","",'I. Stream &amp; Compound Data'!O30)</f>
        <v>no</v>
      </c>
      <c r="H211" s="231">
        <f>IF(E211="","",'I. Stream &amp; Compound Data'!N88)</f>
        <v>18.2</v>
      </c>
      <c r="I211" s="231">
        <f t="shared" si="26"/>
        <v>159541.19999999998</v>
      </c>
      <c r="J211" s="231">
        <f>IF($E211="","",'I. Stream &amp; Compound Data'!$N92)</f>
        <v>7.8259999999999996</v>
      </c>
      <c r="K211" s="232">
        <f>IF(J211="","",J211*8766)</f>
        <v>68602.716</v>
      </c>
      <c r="L211" s="231">
        <f>IF($E211="","",'I. Stream &amp; Compound Data'!$N86)</f>
        <v>-367.4</v>
      </c>
      <c r="M211" s="233">
        <f>IF($E211="","",'I. Stream &amp; Compound Data'!$N87)</f>
        <v>-0.3</v>
      </c>
      <c r="N211" s="233">
        <f>IF($E211="","",'I. Stream &amp; Compound Data'!$N90)</f>
        <v>0.4550329898917671</v>
      </c>
      <c r="O211" s="213"/>
      <c r="P211" s="213"/>
      <c r="Q211" s="213"/>
      <c r="R211" s="213"/>
      <c r="S211" s="213"/>
      <c r="T211" s="213"/>
      <c r="U211" s="213"/>
      <c r="V211" s="213"/>
      <c r="W211" s="213"/>
      <c r="X211" s="213"/>
      <c r="Y211" s="214"/>
    </row>
    <row r="212" spans="2:25" ht="18.75" customHeight="1" x14ac:dyDescent="0.2">
      <c r="B212" s="387"/>
      <c r="C212" s="213"/>
      <c r="D212" s="228">
        <f t="shared" si="27"/>
        <v>4</v>
      </c>
      <c r="E212" s="229">
        <f>IF('I. Stream &amp; Compound Data'!R28="","",'I. Stream &amp; Compound Data'!R28)</f>
        <v>203</v>
      </c>
      <c r="F212" s="230" t="str">
        <f>IF(E212="","",'I. Stream &amp; Compound Data'!R29)</f>
        <v>Water</v>
      </c>
      <c r="G212" s="230" t="str">
        <f>IF(E212="","",'I. Stream &amp; Compound Data'!R30)</f>
        <v>no</v>
      </c>
      <c r="H212" s="231">
        <f>IF(E212="","",'I. Stream &amp; Compound Data'!Q88)</f>
        <v>11</v>
      </c>
      <c r="I212" s="231">
        <f t="shared" si="26"/>
        <v>96426</v>
      </c>
      <c r="J212" s="231">
        <f>IF($E212="","",'I. Stream &amp; Compound Data'!$Q92)</f>
        <v>7.3700000000000002E-4</v>
      </c>
      <c r="K212" s="232">
        <f>IF(J212="","",J212*8766)</f>
        <v>6.4605420000000002</v>
      </c>
      <c r="L212" s="231">
        <f>IF($E212="","",'I. Stream &amp; Compound Data'!$Q86)</f>
        <v>-174.4</v>
      </c>
      <c r="M212" s="233">
        <f>IF($E212="","",'I. Stream &amp; Compound Data'!$Q87)</f>
        <v>-9.9479999999999999E-2</v>
      </c>
      <c r="N212" s="233">
        <f>IF($E212="","",'I. Stream &amp; Compound Data'!$Q90)</f>
        <v>0.6105921078194646</v>
      </c>
      <c r="O212" s="213"/>
      <c r="P212" s="213"/>
      <c r="Q212" s="213"/>
      <c r="R212" s="213"/>
      <c r="S212" s="213"/>
      <c r="T212" s="213"/>
      <c r="U212" s="213"/>
      <c r="V212" s="213"/>
      <c r="W212" s="213"/>
      <c r="X212" s="213"/>
      <c r="Y212" s="214"/>
    </row>
    <row r="213" spans="2:25" ht="18.75" customHeight="1" x14ac:dyDescent="0.2">
      <c r="B213" s="387"/>
      <c r="C213" s="213"/>
      <c r="D213" s="228">
        <f t="shared" si="27"/>
        <v>5</v>
      </c>
      <c r="E213" s="229">
        <f>IF('I. Stream &amp; Compound Data'!U28="","",'I. Stream &amp; Compound Data'!U28)</f>
        <v>204</v>
      </c>
      <c r="F213" s="230" t="str">
        <f>IF(E213="","",'I. Stream &amp; Compound Data'!U29)</f>
        <v>Phosphoric acid</v>
      </c>
      <c r="G213" s="230" t="str">
        <f>IF(E213="","",'I. Stream &amp; Compound Data'!U30)</f>
        <v>no</v>
      </c>
      <c r="H213" s="231">
        <f>IF(E213="","",'I. Stream &amp; Compound Data'!T88)</f>
        <v>10</v>
      </c>
      <c r="I213" s="231">
        <f t="shared" si="26"/>
        <v>87660</v>
      </c>
      <c r="J213" s="231">
        <f>IF($E213="","",'I. Stream &amp; Compound Data'!$T92)</f>
        <v>9</v>
      </c>
      <c r="K213" s="232">
        <f>IF(J213="","",J213*8766)</f>
        <v>78894</v>
      </c>
      <c r="L213" s="231">
        <f>IF($E213="","",'I. Stream &amp; Compound Data'!$T86)</f>
        <v>-137</v>
      </c>
      <c r="M213" s="233">
        <f>IF($E213="","",'I. Stream &amp; Compound Data'!$T87)</f>
        <v>-5.8139999999999997E-2</v>
      </c>
      <c r="N213" s="233">
        <f>IF($E213="","",'I. Stream &amp; Compound Data'!$T90)</f>
        <v>0.10204581448887293</v>
      </c>
      <c r="O213" s="213"/>
      <c r="P213" s="213"/>
      <c r="Q213" s="213"/>
      <c r="R213" s="213"/>
      <c r="S213" s="213"/>
      <c r="T213" s="213"/>
      <c r="U213" s="213"/>
      <c r="V213" s="213"/>
      <c r="W213" s="213"/>
      <c r="X213" s="213"/>
      <c r="Y213" s="214"/>
    </row>
    <row r="214" spans="2:25" ht="18.75" customHeight="1" x14ac:dyDescent="0.2">
      <c r="B214" s="387"/>
      <c r="C214" s="213"/>
      <c r="D214" s="228">
        <f t="shared" si="27"/>
        <v>6</v>
      </c>
      <c r="E214" s="229">
        <f>IF('I. Stream &amp; Compound Data'!X28="","",'I. Stream &amp; Compound Data'!X28)</f>
        <v>103</v>
      </c>
      <c r="F214" s="230" t="str">
        <f>IF(E214="","",'I. Stream &amp; Compound Data'!X29)</f>
        <v>Sulfuric acid</v>
      </c>
      <c r="G214" s="230" t="str">
        <f>IF(E214="","",'I. Stream &amp; Compound Data'!X30)</f>
        <v>no</v>
      </c>
      <c r="H214" s="231">
        <f>IF(E214="","",'I. Stream &amp; Compound Data'!W88)</f>
        <v>10</v>
      </c>
      <c r="I214" s="231">
        <f t="shared" si="26"/>
        <v>87660</v>
      </c>
      <c r="J214" s="231">
        <f>IF($E214="","",'I. Stream &amp; Compound Data'!$W92)</f>
        <v>0.8</v>
      </c>
      <c r="K214" s="232">
        <f t="shared" ref="K214:K248" si="28">IF(J214="","",J214*8766)</f>
        <v>7012.8</v>
      </c>
      <c r="L214" s="231">
        <f>IF($E214="","",'I. Stream &amp; Compound Data'!$W86)</f>
        <v>-80.063000000000002</v>
      </c>
      <c r="M214" s="233">
        <f>IF($E214="","",'I. Stream &amp; Compound Data'!$W87)</f>
        <v>-0.04</v>
      </c>
      <c r="N214" s="233">
        <f>IF($E214="","",'I. Stream &amp; Compound Data'!$W90)</f>
        <v>0.10195862518989794</v>
      </c>
      <c r="O214" s="213"/>
      <c r="P214" s="213"/>
      <c r="Q214" s="213"/>
      <c r="R214" s="213"/>
      <c r="S214" s="213"/>
      <c r="T214" s="213"/>
      <c r="U214" s="213"/>
      <c r="V214" s="213"/>
      <c r="W214" s="213"/>
      <c r="X214" s="213"/>
      <c r="Y214" s="214"/>
    </row>
    <row r="215" spans="2:25" ht="18.75" customHeight="1" x14ac:dyDescent="0.2">
      <c r="B215" s="387"/>
      <c r="C215" s="213"/>
      <c r="D215" s="228">
        <f t="shared" si="27"/>
        <v>7</v>
      </c>
      <c r="E215" s="229">
        <f>IF('I. Stream &amp; Compound Data'!AA28="","",'I. Stream &amp; Compound Data'!AA28)</f>
        <v>105</v>
      </c>
      <c r="F215" s="230" t="str">
        <f>IF(E215="","",'I. Stream &amp; Compound Data'!AA29)</f>
        <v>Glycerol</v>
      </c>
      <c r="G215" s="230" t="str">
        <f>IF(E215="","",'I. Stream &amp; Compound Data'!AA30)</f>
        <v>yes</v>
      </c>
      <c r="H215" s="231">
        <f>IF(E215="","",'I. Stream &amp; Compound Data'!Z88)</f>
        <v>110</v>
      </c>
      <c r="I215" s="231">
        <f t="shared" si="26"/>
        <v>964260</v>
      </c>
      <c r="J215" s="231">
        <f>IF($E215="","",'I. Stream &amp; Compound Data'!$Z92)</f>
        <v>96.8</v>
      </c>
      <c r="K215" s="232">
        <f t="shared" si="28"/>
        <v>848548.79999999993</v>
      </c>
      <c r="L215" s="231">
        <f>IF($E215="","",'I. Stream &amp; Compound Data'!$Z86)</f>
        <v>-792</v>
      </c>
      <c r="M215" s="233">
        <f>IF($E215="","",'I. Stream &amp; Compound Data'!$Z87)</f>
        <v>-0.7</v>
      </c>
      <c r="N215" s="233">
        <f>IF($E215="","",'I. Stream &amp; Compound Data'!$Z90)</f>
        <v>1.1944343701747566</v>
      </c>
      <c r="O215" s="213"/>
      <c r="P215" s="213"/>
      <c r="Q215" s="213"/>
      <c r="R215" s="213"/>
      <c r="S215" s="213"/>
      <c r="T215" s="213"/>
      <c r="U215" s="213"/>
      <c r="V215" s="213"/>
      <c r="W215" s="213"/>
      <c r="X215" s="213"/>
      <c r="Y215" s="214"/>
    </row>
    <row r="216" spans="2:25" ht="18.75" customHeight="1" x14ac:dyDescent="0.2">
      <c r="B216" s="387"/>
      <c r="C216" s="213"/>
      <c r="D216" s="228">
        <f t="shared" si="27"/>
        <v>8</v>
      </c>
      <c r="E216" s="229" t="str">
        <f>IF('I. Stream &amp; Compound Data'!AD28="","",'I. Stream &amp; Compound Data'!AD28)</f>
        <v/>
      </c>
      <c r="F216" s="230" t="str">
        <f>IF(E216="","",'I. Stream &amp; Compound Data'!AD29)</f>
        <v/>
      </c>
      <c r="G216" s="230" t="str">
        <f>IF(E216="","",'I. Stream &amp; Compound Data'!AD30)</f>
        <v/>
      </c>
      <c r="H216" s="231" t="str">
        <f>IF(E216="","",'I. Stream &amp; Compound Data'!AC88)</f>
        <v/>
      </c>
      <c r="I216" s="231" t="str">
        <f t="shared" si="26"/>
        <v/>
      </c>
      <c r="J216" s="231" t="str">
        <f>IF($E216="","",'I. Stream &amp; Compound Data'!$AC92)</f>
        <v/>
      </c>
      <c r="K216" s="232" t="str">
        <f t="shared" si="28"/>
        <v/>
      </c>
      <c r="L216" s="231" t="str">
        <f>IF($E216="","",'I. Stream &amp; Compound Data'!$AC86)</f>
        <v/>
      </c>
      <c r="M216" s="233" t="str">
        <f>IF($E216="","",'I. Stream &amp; Compound Data'!$AC87)</f>
        <v/>
      </c>
      <c r="N216" s="233" t="str">
        <f>IF($E216="","",'I. Stream &amp; Compound Data'!$AC90)</f>
        <v/>
      </c>
      <c r="O216" s="213"/>
      <c r="P216" s="213"/>
      <c r="Q216" s="213"/>
      <c r="R216" s="213"/>
      <c r="S216" s="213"/>
      <c r="T216" s="213"/>
      <c r="U216" s="213"/>
      <c r="V216" s="213"/>
      <c r="W216" s="213"/>
      <c r="X216" s="213"/>
      <c r="Y216" s="214"/>
    </row>
    <row r="217" spans="2:25" ht="18.75" customHeight="1" x14ac:dyDescent="0.2">
      <c r="B217" s="387"/>
      <c r="C217" s="213"/>
      <c r="D217" s="228">
        <f t="shared" si="27"/>
        <v>9</v>
      </c>
      <c r="E217" s="229" t="str">
        <f>IF('I. Stream &amp; Compound Data'!AG28="","",'I. Stream &amp; Compound Data'!AG28)</f>
        <v/>
      </c>
      <c r="F217" s="230" t="str">
        <f>IF(E217="","",'I. Stream &amp; Compound Data'!AG29)</f>
        <v/>
      </c>
      <c r="G217" s="230" t="str">
        <f>IF(E217="","",'I. Stream &amp; Compound Data'!AG30)</f>
        <v/>
      </c>
      <c r="H217" s="231" t="str">
        <f>IF(E217="","",'I. Stream &amp; Compound Data'!AF88)</f>
        <v/>
      </c>
      <c r="I217" s="231" t="str">
        <f t="shared" si="26"/>
        <v/>
      </c>
      <c r="J217" s="231" t="str">
        <f>IF($E217="","",'I. Stream &amp; Compound Data'!$AF92)</f>
        <v/>
      </c>
      <c r="K217" s="232" t="str">
        <f t="shared" si="28"/>
        <v/>
      </c>
      <c r="L217" s="231" t="str">
        <f>IF($E217="","",'I. Stream &amp; Compound Data'!$AF86)</f>
        <v/>
      </c>
      <c r="M217" s="233" t="str">
        <f>IF($E217="","",'I. Stream &amp; Compound Data'!$AF87)</f>
        <v/>
      </c>
      <c r="N217" s="233" t="str">
        <f>IF($E217="","",'I. Stream &amp; Compound Data'!$AF90)</f>
        <v/>
      </c>
      <c r="O217" s="213"/>
      <c r="P217" s="213"/>
      <c r="Q217" s="213"/>
      <c r="R217" s="213"/>
      <c r="S217" s="213"/>
      <c r="T217" s="213"/>
      <c r="U217" s="213"/>
      <c r="V217" s="213"/>
      <c r="W217" s="213"/>
      <c r="X217" s="213"/>
      <c r="Y217" s="214"/>
    </row>
    <row r="218" spans="2:25" ht="18.75" customHeight="1" x14ac:dyDescent="0.2">
      <c r="B218" s="387"/>
      <c r="C218" s="213"/>
      <c r="D218" s="228">
        <f t="shared" si="27"/>
        <v>10</v>
      </c>
      <c r="E218" s="229" t="str">
        <f>IF('I. Stream &amp; Compound Data'!AJ28="","",'I. Stream &amp; Compound Data'!AJ28)</f>
        <v/>
      </c>
      <c r="F218" s="230" t="str">
        <f>IF(E218="","",'I. Stream &amp; Compound Data'!AJ29)</f>
        <v/>
      </c>
      <c r="G218" s="230" t="str">
        <f>IF(E218="","",'I. Stream &amp; Compound Data'!AJ30)</f>
        <v/>
      </c>
      <c r="H218" s="231" t="str">
        <f>IF(E218="","",'I. Stream &amp; Compound Data'!AI88)</f>
        <v/>
      </c>
      <c r="I218" s="231" t="str">
        <f t="shared" si="26"/>
        <v/>
      </c>
      <c r="J218" s="231" t="str">
        <f>IF($E218="","",'I. Stream &amp; Compound Data'!$AI92)</f>
        <v/>
      </c>
      <c r="K218" s="232" t="str">
        <f t="shared" si="28"/>
        <v/>
      </c>
      <c r="L218" s="231" t="str">
        <f>IF($E218="","",'I. Stream &amp; Compound Data'!$AI86)</f>
        <v/>
      </c>
      <c r="M218" s="233" t="str">
        <f>IF($E218="","",'I. Stream &amp; Compound Data'!$AI87)</f>
        <v/>
      </c>
      <c r="N218" s="233" t="str">
        <f>IF($E218="","",'I. Stream &amp; Compound Data'!$AI90)</f>
        <v/>
      </c>
      <c r="O218" s="213"/>
      <c r="P218" s="213"/>
      <c r="Q218" s="213"/>
      <c r="R218" s="213"/>
      <c r="S218" s="213"/>
      <c r="T218" s="213"/>
      <c r="U218" s="213"/>
      <c r="V218" s="213"/>
      <c r="W218" s="213"/>
      <c r="X218" s="213"/>
      <c r="Y218" s="214"/>
    </row>
    <row r="219" spans="2:25" ht="18.75" customHeight="1" x14ac:dyDescent="0.2">
      <c r="B219" s="387"/>
      <c r="C219" s="213"/>
      <c r="D219" s="228">
        <f t="shared" si="27"/>
        <v>11</v>
      </c>
      <c r="E219" s="231" t="str">
        <f>IF('I. Stream &amp; Compound Data'!AM28="","",'I. Stream &amp; Compound Data'!AM38)</f>
        <v/>
      </c>
      <c r="F219" s="231" t="str">
        <f>IF('I. Stream &amp; Compound Data'!AM29="","",'I. Stream &amp; Compound Data'!AM29)</f>
        <v/>
      </c>
      <c r="G219" s="231" t="str">
        <f>IF('I. Stream &amp; Compound Data'!AM30="","",'I. Stream &amp; Compound Data'!AM30)</f>
        <v/>
      </c>
      <c r="H219" s="231" t="str">
        <f>IF(E219="","",'I. Stream &amp; Compound Data'!AL88)</f>
        <v/>
      </c>
      <c r="I219" s="231" t="str">
        <f t="shared" si="26"/>
        <v/>
      </c>
      <c r="J219" s="231" t="str">
        <f>IF($E219="","",'I. Stream &amp; Compound Data'!$AL92)</f>
        <v/>
      </c>
      <c r="K219" s="232" t="str">
        <f t="shared" si="28"/>
        <v/>
      </c>
      <c r="L219" s="231" t="str">
        <f>IF($E219="","",'I. Stream &amp; Compound Data'!$AL86)</f>
        <v/>
      </c>
      <c r="M219" s="233" t="str">
        <f>IF($E219="","",'I. Stream &amp; Compound Data'!$AL87)</f>
        <v/>
      </c>
      <c r="N219" s="233" t="str">
        <f>IF($E219="","",'I. Stream &amp; Compound Data'!$AL90)</f>
        <v/>
      </c>
      <c r="O219" s="213"/>
      <c r="P219" s="213"/>
      <c r="Q219" s="213"/>
      <c r="R219" s="213"/>
      <c r="S219" s="213"/>
      <c r="T219" s="213"/>
      <c r="U219" s="213"/>
      <c r="V219" s="213"/>
      <c r="W219" s="213"/>
      <c r="X219" s="213"/>
      <c r="Y219" s="214"/>
    </row>
    <row r="220" spans="2:25" ht="18.75" customHeight="1" x14ac:dyDescent="0.2">
      <c r="B220" s="387"/>
      <c r="C220" s="213"/>
      <c r="D220" s="228">
        <f t="shared" si="27"/>
        <v>12</v>
      </c>
      <c r="E220" s="231" t="str">
        <f>IF('I. Stream &amp; Compound Data'!AP28="","",'I. Stream &amp; Compound Data'!AP28)</f>
        <v/>
      </c>
      <c r="F220" s="231" t="str">
        <f>IF('I. Stream &amp; Compound Data'!AP29="","",'I. Stream &amp; Compound Data'!AP29)</f>
        <v/>
      </c>
      <c r="G220" s="231" t="str">
        <f>IF('I. Stream &amp; Compound Data'!AP30="","",'I. Stream &amp; Compound Data'!AP30)</f>
        <v/>
      </c>
      <c r="H220" s="231" t="str">
        <f>IF(E220="","",'I. Stream &amp; Compound Data'!AO88)</f>
        <v/>
      </c>
      <c r="I220" s="231" t="str">
        <f t="shared" si="26"/>
        <v/>
      </c>
      <c r="J220" s="231" t="str">
        <f>IF($E220="","",'I. Stream &amp; Compound Data'!$AO92)</f>
        <v/>
      </c>
      <c r="K220" s="232" t="str">
        <f t="shared" si="28"/>
        <v/>
      </c>
      <c r="L220" s="231" t="str">
        <f>IF($E220="","",'I. Stream &amp; Compound Data'!$AO86)</f>
        <v/>
      </c>
      <c r="M220" s="233" t="str">
        <f>IF($E220="","",'I. Stream &amp; Compound Data'!$AO87)</f>
        <v/>
      </c>
      <c r="N220" s="233" t="str">
        <f>IF($E220="","",'I. Stream &amp; Compound Data'!$AO90)</f>
        <v/>
      </c>
      <c r="O220" s="213"/>
      <c r="P220" s="213"/>
      <c r="Q220" s="213"/>
      <c r="R220" s="213"/>
      <c r="S220" s="213"/>
      <c r="T220" s="213"/>
      <c r="U220" s="213"/>
      <c r="V220" s="213"/>
      <c r="W220" s="213"/>
      <c r="X220" s="213"/>
      <c r="Y220" s="214"/>
    </row>
    <row r="221" spans="2:25" ht="18.75" customHeight="1" x14ac:dyDescent="0.2">
      <c r="B221" s="387"/>
      <c r="C221" s="213"/>
      <c r="D221" s="228">
        <f t="shared" si="27"/>
        <v>13</v>
      </c>
      <c r="E221" s="231" t="str">
        <f>IF('I. Stream &amp; Compound Data'!AS28="","",'I. Stream &amp; Compound Data'!AS28)</f>
        <v/>
      </c>
      <c r="F221" s="231" t="str">
        <f>IF('I. Stream &amp; Compound Data'!AS29="","",'I. Stream &amp; Compound Data'!AS29)</f>
        <v/>
      </c>
      <c r="G221" s="231" t="str">
        <f>IF('I. Stream &amp; Compound Data'!AS30="","",'I. Stream &amp; Compound Data'!AS30)</f>
        <v/>
      </c>
      <c r="H221" s="231" t="str">
        <f>IF(E221="","",'I. Stream &amp; Compound Data'!AR88)</f>
        <v/>
      </c>
      <c r="I221" s="231" t="str">
        <f t="shared" si="26"/>
        <v/>
      </c>
      <c r="J221" s="231" t="str">
        <f>IF($E221="","",'I. Stream &amp; Compound Data'!$AR92)</f>
        <v/>
      </c>
      <c r="K221" s="232" t="str">
        <f t="shared" si="28"/>
        <v/>
      </c>
      <c r="L221" s="231" t="str">
        <f>IF($E221="","",'I. Stream &amp; Compound Data'!$AR86)</f>
        <v/>
      </c>
      <c r="M221" s="233" t="str">
        <f>IF($E221="","",'I. Stream &amp; Compound Data'!$AR87)</f>
        <v/>
      </c>
      <c r="N221" s="233" t="str">
        <f>IF($E221="","",'I. Stream &amp; Compound Data'!$AR90)</f>
        <v/>
      </c>
      <c r="O221" s="213"/>
      <c r="P221" s="213"/>
      <c r="Q221" s="213"/>
      <c r="R221" s="213"/>
      <c r="S221" s="213"/>
      <c r="T221" s="213"/>
      <c r="U221" s="213"/>
      <c r="V221" s="213"/>
      <c r="W221" s="213"/>
      <c r="X221" s="213"/>
      <c r="Y221" s="214"/>
    </row>
    <row r="222" spans="2:25" ht="18.75" customHeight="1" x14ac:dyDescent="0.2">
      <c r="B222" s="387"/>
      <c r="C222" s="213"/>
      <c r="D222" s="228">
        <f t="shared" si="27"/>
        <v>14</v>
      </c>
      <c r="E222" s="231" t="str">
        <f>IF('I. Stream &amp; Compound Data'!AV28="","",'I. Stream &amp; Compound Data'!AV28)</f>
        <v/>
      </c>
      <c r="F222" s="231" t="str">
        <f>IF('I. Stream &amp; Compound Data'!AV29="","",'I. Stream &amp; Compound Data'!AV29)</f>
        <v/>
      </c>
      <c r="G222" s="231" t="str">
        <f>IF('I. Stream &amp; Compound Data'!AV30="","",'I. Stream &amp; Compound Data'!AV30)</f>
        <v/>
      </c>
      <c r="H222" s="231" t="str">
        <f>IF(E222="","",'I. Stream &amp; Compound Data'!AU88)</f>
        <v/>
      </c>
      <c r="I222" s="231" t="str">
        <f t="shared" si="26"/>
        <v/>
      </c>
      <c r="J222" s="231" t="str">
        <f>IF($E222="","",'I. Stream &amp; Compound Data'!$AU92)</f>
        <v/>
      </c>
      <c r="K222" s="232" t="str">
        <f t="shared" si="28"/>
        <v/>
      </c>
      <c r="L222" s="231" t="str">
        <f>IF($E222="","",'I. Stream &amp; Compound Data'!$AU86)</f>
        <v/>
      </c>
      <c r="M222" s="233" t="str">
        <f>IF($E222="","",'I. Stream &amp; Compound Data'!$AU87)</f>
        <v/>
      </c>
      <c r="N222" s="233" t="str">
        <f>IF($E222="","",'I. Stream &amp; Compound Data'!$AU90)</f>
        <v/>
      </c>
      <c r="O222" s="213"/>
      <c r="P222" s="213"/>
      <c r="Q222" s="213"/>
      <c r="R222" s="213"/>
      <c r="S222" s="213"/>
      <c r="T222" s="213"/>
      <c r="U222" s="213"/>
      <c r="V222" s="213"/>
      <c r="W222" s="213"/>
      <c r="X222" s="213"/>
      <c r="Y222" s="214"/>
    </row>
    <row r="223" spans="2:25" ht="18.75" customHeight="1" x14ac:dyDescent="0.2">
      <c r="B223" s="387"/>
      <c r="C223" s="213"/>
      <c r="D223" s="228">
        <f t="shared" si="27"/>
        <v>15</v>
      </c>
      <c r="E223" s="231" t="str">
        <f>IF('I. Stream &amp; Compound Data'!AY28="","",'I. Stream &amp; Compound Data'!AY28)</f>
        <v/>
      </c>
      <c r="F223" s="231" t="str">
        <f>IF('I. Stream &amp; Compound Data'!AY29="","",'I. Stream &amp; Compound Data'!AY29)</f>
        <v/>
      </c>
      <c r="G223" s="231" t="str">
        <f>IF('I. Stream &amp; Compound Data'!AY30="","",'I. Stream &amp; Compound Data'!AY30)</f>
        <v/>
      </c>
      <c r="H223" s="231" t="str">
        <f>IF(E223="","",'I. Stream &amp; Compound Data'!AX88)</f>
        <v/>
      </c>
      <c r="I223" s="231" t="str">
        <f t="shared" si="26"/>
        <v/>
      </c>
      <c r="J223" s="231" t="str">
        <f>IF($E223="","",'I. Stream &amp; Compound Data'!$AX92)</f>
        <v/>
      </c>
      <c r="K223" s="232" t="str">
        <f t="shared" si="28"/>
        <v/>
      </c>
      <c r="L223" s="231" t="str">
        <f>IF($E223="","",'I. Stream &amp; Compound Data'!$AX86)</f>
        <v/>
      </c>
      <c r="M223" s="233" t="str">
        <f>IF($E223="","",'I. Stream &amp; Compound Data'!$AX87)</f>
        <v/>
      </c>
      <c r="N223" s="233" t="str">
        <f>IF($E223="","",'I. Stream &amp; Compound Data'!$AX90)</f>
        <v/>
      </c>
      <c r="O223" s="213"/>
      <c r="P223" s="213"/>
      <c r="Q223" s="213"/>
      <c r="R223" s="213"/>
      <c r="S223" s="213"/>
      <c r="T223" s="213"/>
      <c r="U223" s="213"/>
      <c r="V223" s="213"/>
      <c r="W223" s="213"/>
      <c r="X223" s="213"/>
      <c r="Y223" s="214"/>
    </row>
    <row r="224" spans="2:25" ht="18.75" customHeight="1" x14ac:dyDescent="0.2">
      <c r="B224" s="387"/>
      <c r="C224" s="213"/>
      <c r="D224" s="228">
        <f t="shared" si="27"/>
        <v>16</v>
      </c>
      <c r="E224" s="231" t="str">
        <f>IF('I. Stream &amp; Compound Data'!BB28="","",'I. Stream &amp; Compound Data'!BB28)</f>
        <v/>
      </c>
      <c r="F224" s="231" t="str">
        <f>IF('I. Stream &amp; Compound Data'!BB29="","",'I. Stream &amp; Compound Data'!BB29)</f>
        <v/>
      </c>
      <c r="G224" s="231" t="str">
        <f>IF('I. Stream &amp; Compound Data'!BB30="","",'I. Stream &amp; Compound Data'!BB30)</f>
        <v/>
      </c>
      <c r="H224" s="231" t="str">
        <f>IF(E224="","",'I. Stream &amp; Compound Data'!BA88)</f>
        <v/>
      </c>
      <c r="I224" s="231" t="str">
        <f t="shared" si="26"/>
        <v/>
      </c>
      <c r="J224" s="231" t="str">
        <f>IF($E224="","",'I. Stream &amp; Compound Data'!$BA92)</f>
        <v/>
      </c>
      <c r="K224" s="232" t="str">
        <f t="shared" si="28"/>
        <v/>
      </c>
      <c r="L224" s="231" t="str">
        <f>IF($E224="","",'I. Stream &amp; Compound Data'!$BA86)</f>
        <v/>
      </c>
      <c r="M224" s="233" t="str">
        <f>IF($E224="","",'I. Stream &amp; Compound Data'!$BA87)</f>
        <v/>
      </c>
      <c r="N224" s="233" t="str">
        <f>IF($E224="","",'I. Stream &amp; Compound Data'!$BA90)</f>
        <v/>
      </c>
      <c r="O224" s="213"/>
      <c r="P224" s="213"/>
      <c r="Q224" s="213"/>
      <c r="R224" s="213"/>
      <c r="S224" s="213"/>
      <c r="T224" s="213"/>
      <c r="U224" s="213"/>
      <c r="V224" s="213"/>
      <c r="W224" s="213"/>
      <c r="X224" s="213"/>
      <c r="Y224" s="214"/>
    </row>
    <row r="225" spans="2:25" ht="18.75" customHeight="1" x14ac:dyDescent="0.2">
      <c r="B225" s="387"/>
      <c r="C225" s="213"/>
      <c r="D225" s="228">
        <f t="shared" si="27"/>
        <v>17</v>
      </c>
      <c r="E225" s="231" t="str">
        <f>IF('I. Stream &amp; Compound Data'!BE28="","",'I. Stream &amp; Compound Data'!BE28)</f>
        <v/>
      </c>
      <c r="F225" s="231" t="str">
        <f>IF('I. Stream &amp; Compound Data'!BE29="","",'I. Stream &amp; Compound Data'!BE29)</f>
        <v/>
      </c>
      <c r="G225" s="231" t="str">
        <f>IF('I. Stream &amp; Compound Data'!BE30="","",'I. Stream &amp; Compound Data'!BE30)</f>
        <v/>
      </c>
      <c r="H225" s="231" t="str">
        <f>IF(E225="","",'I. Stream &amp; Compound Data'!BD88)</f>
        <v/>
      </c>
      <c r="I225" s="231" t="str">
        <f t="shared" si="26"/>
        <v/>
      </c>
      <c r="J225" s="231" t="str">
        <f>IF($E225="","",'I. Stream &amp; Compound Data'!$BD92)</f>
        <v/>
      </c>
      <c r="K225" s="232" t="str">
        <f t="shared" si="28"/>
        <v/>
      </c>
      <c r="L225" s="231" t="str">
        <f>IF($E225="","",'I. Stream &amp; Compound Data'!$BD86)</f>
        <v/>
      </c>
      <c r="M225" s="233" t="str">
        <f>IF($E225="","",'I. Stream &amp; Compound Data'!$BD87)</f>
        <v/>
      </c>
      <c r="N225" s="233" t="str">
        <f>IF($E225="","",'I. Stream &amp; Compound Data'!$BD90)</f>
        <v/>
      </c>
      <c r="O225" s="213"/>
      <c r="P225" s="213"/>
      <c r="Q225" s="213"/>
      <c r="R225" s="213"/>
      <c r="S225" s="213"/>
      <c r="T225" s="213"/>
      <c r="U225" s="213"/>
      <c r="V225" s="213"/>
      <c r="W225" s="213"/>
      <c r="X225" s="213"/>
      <c r="Y225" s="214"/>
    </row>
    <row r="226" spans="2:25" ht="18.75" customHeight="1" x14ac:dyDescent="0.2">
      <c r="B226" s="387"/>
      <c r="C226" s="213"/>
      <c r="D226" s="228">
        <f t="shared" si="27"/>
        <v>18</v>
      </c>
      <c r="E226" s="231" t="str">
        <f>IF('I. Stream &amp; Compound Data'!BH28="","",'I. Stream &amp; Compound Data'!BH28)</f>
        <v/>
      </c>
      <c r="F226" s="231" t="str">
        <f>IF('I. Stream &amp; Compound Data'!BH29="","",'I. Stream &amp; Compound Data'!BH29)</f>
        <v/>
      </c>
      <c r="G226" s="231" t="str">
        <f>IF('I. Stream &amp; Compound Data'!BH30="","",'I. Stream &amp; Compound Data'!BH30)</f>
        <v/>
      </c>
      <c r="H226" s="231" t="str">
        <f>IF(E226="","",'I. Stream &amp; Compound Data'!BG88)</f>
        <v/>
      </c>
      <c r="I226" s="231" t="str">
        <f t="shared" si="26"/>
        <v/>
      </c>
      <c r="J226" s="231" t="str">
        <f>IF($E226="","",'I. Stream &amp; Compound Data'!$BG92)</f>
        <v/>
      </c>
      <c r="K226" s="232" t="str">
        <f t="shared" si="28"/>
        <v/>
      </c>
      <c r="L226" s="231" t="str">
        <f>IF($E226="","",'I. Stream &amp; Compound Data'!$BG86)</f>
        <v/>
      </c>
      <c r="M226" s="233" t="str">
        <f>IF($E226="","",'I. Stream &amp; Compound Data'!$BG87)</f>
        <v/>
      </c>
      <c r="N226" s="233" t="str">
        <f>IF($E226="","",'I. Stream &amp; Compound Data'!$BG90)</f>
        <v/>
      </c>
      <c r="O226" s="213"/>
      <c r="P226" s="213"/>
      <c r="Q226" s="213"/>
      <c r="R226" s="213"/>
      <c r="S226" s="213"/>
      <c r="T226" s="213"/>
      <c r="U226" s="213"/>
      <c r="V226" s="213"/>
      <c r="W226" s="213"/>
      <c r="X226" s="213"/>
      <c r="Y226" s="214"/>
    </row>
    <row r="227" spans="2:25" ht="18.75" customHeight="1" x14ac:dyDescent="0.2">
      <c r="B227" s="387"/>
      <c r="C227" s="213"/>
      <c r="D227" s="228">
        <f t="shared" si="27"/>
        <v>19</v>
      </c>
      <c r="E227" s="231" t="str">
        <f>IF('I. Stream &amp; Compound Data'!BK28="","",'I. Stream &amp; Compound Data'!BK28)</f>
        <v/>
      </c>
      <c r="F227" s="231" t="str">
        <f>IF('I. Stream &amp; Compound Data'!BK29="","",'I. Stream &amp; Compound Data'!BK29)</f>
        <v/>
      </c>
      <c r="G227" s="231" t="str">
        <f>IF('I. Stream &amp; Compound Data'!BK30="","",'I. Stream &amp; Compound Data'!BK30)</f>
        <v/>
      </c>
      <c r="H227" s="231" t="str">
        <f>IF(E227="","",'I. Stream &amp; Compound Data'!BJ88)</f>
        <v/>
      </c>
      <c r="I227" s="231" t="str">
        <f t="shared" si="26"/>
        <v/>
      </c>
      <c r="J227" s="231" t="str">
        <f>IF($E227="","",'I. Stream &amp; Compound Data'!$BJ92)</f>
        <v/>
      </c>
      <c r="K227" s="232" t="str">
        <f t="shared" si="28"/>
        <v/>
      </c>
      <c r="L227" s="231" t="str">
        <f>IF($E227="","",'I. Stream &amp; Compound Data'!$BJ86)</f>
        <v/>
      </c>
      <c r="M227" s="233" t="str">
        <f>IF($E227="","",'I. Stream &amp; Compound Data'!$BJ87)</f>
        <v/>
      </c>
      <c r="N227" s="233" t="str">
        <f>IF($E227="","",'I. Stream &amp; Compound Data'!$BJ90)</f>
        <v/>
      </c>
      <c r="O227" s="213"/>
      <c r="P227" s="213"/>
      <c r="Q227" s="213"/>
      <c r="R227" s="213"/>
      <c r="S227" s="213"/>
      <c r="T227" s="213"/>
      <c r="U227" s="213"/>
      <c r="V227" s="213"/>
      <c r="W227" s="213"/>
      <c r="X227" s="213"/>
      <c r="Y227" s="214"/>
    </row>
    <row r="228" spans="2:25" ht="18.75" customHeight="1" x14ac:dyDescent="0.2">
      <c r="B228" s="387"/>
      <c r="C228" s="213"/>
      <c r="D228" s="228">
        <f t="shared" si="27"/>
        <v>20</v>
      </c>
      <c r="E228" s="231" t="str">
        <f>IF('I. Stream &amp; Compound Data'!BN28="","",'I. Stream &amp; Compound Data'!BN28)</f>
        <v/>
      </c>
      <c r="F228" s="231" t="str">
        <f>IF('I. Stream &amp; Compound Data'!BN29="","",'I. Stream &amp; Compound Data'!BN29)</f>
        <v/>
      </c>
      <c r="G228" s="231" t="str">
        <f>IF('I. Stream &amp; Compound Data'!BN30="","",'I. Stream &amp; Compound Data'!BN30)</f>
        <v/>
      </c>
      <c r="H228" s="231" t="str">
        <f>IF(E228="","",'I. Stream &amp; Compound Data'!BM88)</f>
        <v/>
      </c>
      <c r="I228" s="231" t="str">
        <f t="shared" si="26"/>
        <v/>
      </c>
      <c r="J228" s="231" t="str">
        <f>IF($E228="","",'I. Stream &amp; Compound Data'!$BM92)</f>
        <v/>
      </c>
      <c r="K228" s="232" t="str">
        <f t="shared" si="28"/>
        <v/>
      </c>
      <c r="L228" s="231" t="str">
        <f>IF($E228="","",'I. Stream &amp; Compound Data'!$BM86)</f>
        <v/>
      </c>
      <c r="M228" s="233" t="str">
        <f>IF($E228="","",'I. Stream &amp; Compound Data'!$BM87)</f>
        <v/>
      </c>
      <c r="N228" s="233" t="str">
        <f>IF($E228="","",'I. Stream &amp; Compound Data'!$BM90)</f>
        <v/>
      </c>
      <c r="O228" s="213"/>
      <c r="P228" s="213"/>
      <c r="Q228" s="213"/>
      <c r="R228" s="213"/>
      <c r="S228" s="213"/>
      <c r="T228" s="213"/>
      <c r="U228" s="213"/>
      <c r="V228" s="213"/>
      <c r="W228" s="213"/>
      <c r="X228" s="213"/>
      <c r="Y228" s="214"/>
    </row>
    <row r="229" spans="2:25" ht="18.75" customHeight="1" x14ac:dyDescent="0.2">
      <c r="B229" s="387"/>
      <c r="C229" s="213"/>
      <c r="D229" s="228">
        <f t="shared" si="27"/>
        <v>21</v>
      </c>
      <c r="E229" s="231" t="str">
        <f>IF('I. Stream &amp; Compound Data'!BQ28="","",'I. Stream &amp; Compound Data'!BQ28)</f>
        <v/>
      </c>
      <c r="F229" s="231" t="str">
        <f>IF('I. Stream &amp; Compound Data'!BQ29="","",'I. Stream &amp; Compound Data'!BQ29)</f>
        <v/>
      </c>
      <c r="G229" s="231" t="str">
        <f>IF('I. Stream &amp; Compound Data'!BQ30="","",'I. Stream &amp; Compound Data'!BQ30)</f>
        <v/>
      </c>
      <c r="H229" s="231" t="str">
        <f>IF(E229="","",'I. Stream &amp; Compound Data'!BP88)</f>
        <v/>
      </c>
      <c r="I229" s="231" t="str">
        <f t="shared" si="26"/>
        <v/>
      </c>
      <c r="J229" s="231" t="str">
        <f>IF($E229="","",'I. Stream &amp; Compound Data'!$BP92)</f>
        <v/>
      </c>
      <c r="K229" s="232" t="str">
        <f t="shared" si="28"/>
        <v/>
      </c>
      <c r="L229" s="231" t="str">
        <f>IF($E229="","",'I. Stream &amp; Compound Data'!$BP86)</f>
        <v/>
      </c>
      <c r="M229" s="233" t="str">
        <f>IF($E229="","",'I. Stream &amp; Compound Data'!$BP87)</f>
        <v/>
      </c>
      <c r="N229" s="233" t="str">
        <f>IF($E229="","",'I. Stream &amp; Compound Data'!$BP90)</f>
        <v/>
      </c>
      <c r="O229" s="213"/>
      <c r="P229" s="213"/>
      <c r="Q229" s="213"/>
      <c r="R229" s="213"/>
      <c r="S229" s="213"/>
      <c r="T229" s="213"/>
      <c r="U229" s="213"/>
      <c r="V229" s="213"/>
      <c r="W229" s="213"/>
      <c r="X229" s="213"/>
      <c r="Y229" s="214"/>
    </row>
    <row r="230" spans="2:25" ht="18.75" customHeight="1" x14ac:dyDescent="0.2">
      <c r="B230" s="387"/>
      <c r="C230" s="213"/>
      <c r="D230" s="228">
        <f t="shared" si="27"/>
        <v>22</v>
      </c>
      <c r="E230" s="231" t="str">
        <f>IF('I. Stream &amp; Compound Data'!BT28="","",'I. Stream &amp; Compound Data'!BT28)</f>
        <v/>
      </c>
      <c r="F230" s="231" t="str">
        <f>IF('I. Stream &amp; Compound Data'!BT29="","",'I. Stream &amp; Compound Data'!BT29)</f>
        <v/>
      </c>
      <c r="G230" s="231" t="str">
        <f>IF('I. Stream &amp; Compound Data'!BT30="","",'I. Stream &amp; Compound Data'!BT30)</f>
        <v/>
      </c>
      <c r="H230" s="231" t="str">
        <f>IF(E230="","",'I. Stream &amp; Compound Data'!BS88)</f>
        <v/>
      </c>
      <c r="I230" s="231" t="str">
        <f t="shared" si="26"/>
        <v/>
      </c>
      <c r="J230" s="231" t="str">
        <f>IF($E230="","",'I. Stream &amp; Compound Data'!$BS92)</f>
        <v/>
      </c>
      <c r="K230" s="232" t="str">
        <f t="shared" si="28"/>
        <v/>
      </c>
      <c r="L230" s="231" t="str">
        <f>IF($E230="","",'I. Stream &amp; Compound Data'!$BS86)</f>
        <v/>
      </c>
      <c r="M230" s="233" t="str">
        <f>IF($E230="","",'I. Stream &amp; Compound Data'!$BS87)</f>
        <v/>
      </c>
      <c r="N230" s="233" t="str">
        <f>IF($E230="","",'I. Stream &amp; Compound Data'!$BS90)</f>
        <v/>
      </c>
      <c r="O230" s="213"/>
      <c r="P230" s="213"/>
      <c r="Q230" s="213"/>
      <c r="R230" s="213"/>
      <c r="S230" s="213"/>
      <c r="T230" s="213"/>
      <c r="U230" s="213"/>
      <c r="V230" s="213"/>
      <c r="W230" s="213"/>
      <c r="X230" s="213"/>
      <c r="Y230" s="214"/>
    </row>
    <row r="231" spans="2:25" ht="18.75" customHeight="1" x14ac:dyDescent="0.2">
      <c r="B231" s="387"/>
      <c r="C231" s="213"/>
      <c r="D231" s="228">
        <f t="shared" si="27"/>
        <v>23</v>
      </c>
      <c r="E231" s="231" t="str">
        <f>IF('I. Stream &amp; Compound Data'!BW28="","",'I. Stream &amp; Compound Data'!BW28)</f>
        <v/>
      </c>
      <c r="F231" s="231" t="str">
        <f>IF('I. Stream &amp; Compound Data'!BW29="","",'I. Stream &amp; Compound Data'!BW29)</f>
        <v/>
      </c>
      <c r="G231" s="231" t="str">
        <f>IF('I. Stream &amp; Compound Data'!BW30="","",'I. Stream &amp; Compound Data'!BW30)</f>
        <v/>
      </c>
      <c r="H231" s="231" t="str">
        <f>IF(E231="","",'I. Stream &amp; Compound Data'!BV88)</f>
        <v/>
      </c>
      <c r="I231" s="231" t="str">
        <f t="shared" si="26"/>
        <v/>
      </c>
      <c r="J231" s="231" t="str">
        <f>IF($E231="","",'I. Stream &amp; Compound Data'!$BV92)</f>
        <v/>
      </c>
      <c r="K231" s="232" t="str">
        <f t="shared" si="28"/>
        <v/>
      </c>
      <c r="L231" s="231" t="str">
        <f>IF($E231="","",'I. Stream &amp; Compound Data'!$BV86)</f>
        <v/>
      </c>
      <c r="M231" s="233" t="str">
        <f>IF($E231="","",'I. Stream &amp; Compound Data'!$BV87)</f>
        <v/>
      </c>
      <c r="N231" s="233" t="str">
        <f>IF($E231="","",'I. Stream &amp; Compound Data'!$BV90)</f>
        <v/>
      </c>
      <c r="O231" s="213"/>
      <c r="P231" s="213"/>
      <c r="Q231" s="213"/>
      <c r="R231" s="213"/>
      <c r="S231" s="213"/>
      <c r="T231" s="213"/>
      <c r="U231" s="213"/>
      <c r="V231" s="213"/>
      <c r="W231" s="213"/>
      <c r="X231" s="213"/>
      <c r="Y231" s="214"/>
    </row>
    <row r="232" spans="2:25" ht="18.75" customHeight="1" x14ac:dyDescent="0.2">
      <c r="B232" s="387"/>
      <c r="C232" s="213"/>
      <c r="D232" s="228">
        <f t="shared" si="27"/>
        <v>24</v>
      </c>
      <c r="E232" s="231" t="str">
        <f>IF('I. Stream &amp; Compound Data'!BZ28="","",'I. Stream &amp; Compound Data'!BZ28)</f>
        <v/>
      </c>
      <c r="F232" s="231" t="str">
        <f>IF('I. Stream &amp; Compound Data'!BZ29="","",'I. Stream &amp; Compound Data'!BZ29)</f>
        <v/>
      </c>
      <c r="G232" s="231" t="str">
        <f>IF('I. Stream &amp; Compound Data'!BZ30="","",'I. Stream &amp; Compound Data'!BZ30)</f>
        <v/>
      </c>
      <c r="H232" s="231" t="str">
        <f>IF(E232="","",'I. Stream &amp; Compound Data'!BY88)</f>
        <v/>
      </c>
      <c r="I232" s="231" t="str">
        <f t="shared" si="26"/>
        <v/>
      </c>
      <c r="J232" s="231" t="str">
        <f>IF($E232="","",'I. Stream &amp; Compound Data'!$BY92)</f>
        <v/>
      </c>
      <c r="K232" s="232" t="str">
        <f t="shared" si="28"/>
        <v/>
      </c>
      <c r="L232" s="231" t="str">
        <f>IF($E232="","",'I. Stream &amp; Compound Data'!$BY86)</f>
        <v/>
      </c>
      <c r="M232" s="233" t="str">
        <f>IF($E232="","",'I. Stream &amp; Compound Data'!$BY87)</f>
        <v/>
      </c>
      <c r="N232" s="233" t="str">
        <f>IF($E232="","",'I. Stream &amp; Compound Data'!$BY90)</f>
        <v/>
      </c>
      <c r="O232" s="213"/>
      <c r="P232" s="213"/>
      <c r="Q232" s="213"/>
      <c r="R232" s="213"/>
      <c r="S232" s="213"/>
      <c r="T232" s="213"/>
      <c r="U232" s="213"/>
      <c r="V232" s="213"/>
      <c r="W232" s="213"/>
      <c r="X232" s="213"/>
      <c r="Y232" s="214"/>
    </row>
    <row r="233" spans="2:25" ht="18.75" customHeight="1" x14ac:dyDescent="0.2">
      <c r="B233" s="387"/>
      <c r="C233" s="213"/>
      <c r="D233" s="228">
        <f t="shared" si="27"/>
        <v>25</v>
      </c>
      <c r="E233" s="231" t="str">
        <f>IF('I. Stream &amp; Compound Data'!CC28="","",'I. Stream &amp; Compound Data'!CC28)</f>
        <v/>
      </c>
      <c r="F233" s="231" t="str">
        <f>IF('I. Stream &amp; Compound Data'!CC29="","",'I. Stream &amp; Compound Data'!CC29)</f>
        <v/>
      </c>
      <c r="G233" s="231" t="str">
        <f>IF('I. Stream &amp; Compound Data'!CC30="","",'I. Stream &amp; Compound Data'!CC30)</f>
        <v/>
      </c>
      <c r="H233" s="231" t="str">
        <f>IF(E233="","",'I. Stream &amp; Compound Data'!CB88)</f>
        <v/>
      </c>
      <c r="I233" s="231" t="str">
        <f t="shared" si="26"/>
        <v/>
      </c>
      <c r="J233" s="231" t="str">
        <f>IF($E233="","",'I. Stream &amp; Compound Data'!$CB92)</f>
        <v/>
      </c>
      <c r="K233" s="232" t="str">
        <f t="shared" si="28"/>
        <v/>
      </c>
      <c r="L233" s="231" t="str">
        <f>IF($E233="","",'I. Stream &amp; Compound Data'!$CB86)</f>
        <v/>
      </c>
      <c r="M233" s="233" t="str">
        <f>IF($E233="","",'I. Stream &amp; Compound Data'!$CB87)</f>
        <v/>
      </c>
      <c r="N233" s="233" t="str">
        <f>IF($E233="","",'I. Stream &amp; Compound Data'!$CB90)</f>
        <v/>
      </c>
      <c r="O233" s="213"/>
      <c r="P233" s="213"/>
      <c r="Q233" s="213"/>
      <c r="R233" s="213"/>
      <c r="S233" s="213"/>
      <c r="T233" s="213"/>
      <c r="U233" s="213"/>
      <c r="V233" s="213"/>
      <c r="W233" s="213"/>
      <c r="X233" s="213"/>
      <c r="Y233" s="214"/>
    </row>
    <row r="234" spans="2:25" ht="18.75" customHeight="1" x14ac:dyDescent="0.2">
      <c r="B234" s="387"/>
      <c r="C234" s="213"/>
      <c r="D234" s="228">
        <f t="shared" si="27"/>
        <v>26</v>
      </c>
      <c r="E234" s="231" t="str">
        <f>IF('I. Stream &amp; Compound Data'!CF28="","",'I. Stream &amp; Compound Data'!CF28)</f>
        <v/>
      </c>
      <c r="F234" s="231" t="str">
        <f>IF('I. Stream &amp; Compound Data'!CF29="","",'I. Stream &amp; Compound Data'!CF29)</f>
        <v/>
      </c>
      <c r="G234" s="231" t="str">
        <f>IF('I. Stream &amp; Compound Data'!CF30="","",'I. Stream &amp; Compound Data'!CF30)</f>
        <v/>
      </c>
      <c r="H234" s="231" t="str">
        <f>IF(E234="","",'I. Stream &amp; Compound Data'!CE88)</f>
        <v/>
      </c>
      <c r="I234" s="231" t="str">
        <f t="shared" si="26"/>
        <v/>
      </c>
      <c r="J234" s="231" t="str">
        <f>IF($E234="","",'I. Stream &amp; Compound Data'!$CE92)</f>
        <v/>
      </c>
      <c r="K234" s="232" t="str">
        <f t="shared" si="28"/>
        <v/>
      </c>
      <c r="L234" s="231" t="str">
        <f>IF($E234="","",'I. Stream &amp; Compound Data'!$CE86)</f>
        <v/>
      </c>
      <c r="M234" s="233" t="str">
        <f>IF($E234="","",'I. Stream &amp; Compound Data'!$CE87)</f>
        <v/>
      </c>
      <c r="N234" s="233" t="str">
        <f>IF($E234="","",'I. Stream &amp; Compound Data'!$CE90)</f>
        <v/>
      </c>
      <c r="O234" s="213"/>
      <c r="P234" s="213"/>
      <c r="Q234" s="213"/>
      <c r="R234" s="213"/>
      <c r="S234" s="213"/>
      <c r="T234" s="213"/>
      <c r="U234" s="213"/>
      <c r="V234" s="213"/>
      <c r="W234" s="213"/>
      <c r="X234" s="213"/>
      <c r="Y234" s="214"/>
    </row>
    <row r="235" spans="2:25" ht="18.75" customHeight="1" x14ac:dyDescent="0.2">
      <c r="B235" s="387"/>
      <c r="C235" s="213"/>
      <c r="D235" s="228">
        <f t="shared" si="27"/>
        <v>27</v>
      </c>
      <c r="E235" s="231" t="str">
        <f>IF('I. Stream &amp; Compound Data'!CI28="","",'I. Stream &amp; Compound Data'!CI28)</f>
        <v/>
      </c>
      <c r="F235" s="231" t="str">
        <f>IF('I. Stream &amp; Compound Data'!CI29="","",'I. Stream &amp; Compound Data'!CI29)</f>
        <v/>
      </c>
      <c r="G235" s="231" t="str">
        <f>IF('I. Stream &amp; Compound Data'!CI30="","",'I. Stream &amp; Compound Data'!CI30)</f>
        <v/>
      </c>
      <c r="H235" s="231" t="str">
        <f>IF(E235="","",'I. Stream &amp; Compound Data'!CH88)</f>
        <v/>
      </c>
      <c r="I235" s="231" t="str">
        <f t="shared" si="26"/>
        <v/>
      </c>
      <c r="J235" s="231" t="str">
        <f>IF($E235="","",'I. Stream &amp; Compound Data'!$CH92)</f>
        <v/>
      </c>
      <c r="K235" s="232" t="str">
        <f t="shared" si="28"/>
        <v/>
      </c>
      <c r="L235" s="231" t="str">
        <f>IF($E235="","",'I. Stream &amp; Compound Data'!$CH86)</f>
        <v/>
      </c>
      <c r="M235" s="233" t="str">
        <f>IF($E235="","",'I. Stream &amp; Compound Data'!$CH87)</f>
        <v/>
      </c>
      <c r="N235" s="233" t="str">
        <f>IF($E235="","",'I. Stream &amp; Compound Data'!$CH90)</f>
        <v/>
      </c>
      <c r="O235" s="213"/>
      <c r="P235" s="213"/>
      <c r="Q235" s="213"/>
      <c r="R235" s="213"/>
      <c r="S235" s="213"/>
      <c r="T235" s="213"/>
      <c r="U235" s="213"/>
      <c r="V235" s="213"/>
      <c r="W235" s="213"/>
      <c r="X235" s="213"/>
      <c r="Y235" s="214"/>
    </row>
    <row r="236" spans="2:25" ht="18.75" customHeight="1" x14ac:dyDescent="0.2">
      <c r="B236" s="387"/>
      <c r="C236" s="213"/>
      <c r="D236" s="228">
        <f t="shared" si="27"/>
        <v>28</v>
      </c>
      <c r="E236" s="231" t="str">
        <f>IF('I. Stream &amp; Compound Data'!CL28="","",'I. Stream &amp; Compound Data'!CL28)</f>
        <v/>
      </c>
      <c r="F236" s="231" t="str">
        <f>IF('I. Stream &amp; Compound Data'!CL29="","",'I. Stream &amp; Compound Data'!CL29)</f>
        <v/>
      </c>
      <c r="G236" s="231" t="str">
        <f>IF('I. Stream &amp; Compound Data'!CL30="","",'I. Stream &amp; Compound Data'!CL30)</f>
        <v/>
      </c>
      <c r="H236" s="231" t="str">
        <f>IF(E236="","",'I. Stream &amp; Compound Data'!CK88)</f>
        <v/>
      </c>
      <c r="I236" s="231" t="str">
        <f t="shared" si="26"/>
        <v/>
      </c>
      <c r="J236" s="231" t="str">
        <f>IF($E236="","",'I. Stream &amp; Compound Data'!$CK92)</f>
        <v/>
      </c>
      <c r="K236" s="232" t="str">
        <f t="shared" si="28"/>
        <v/>
      </c>
      <c r="L236" s="231" t="str">
        <f>IF($E236="","",'I. Stream &amp; Compound Data'!$CK86)</f>
        <v/>
      </c>
      <c r="M236" s="233" t="str">
        <f>IF($E236="","",'I. Stream &amp; Compound Data'!$CK87)</f>
        <v/>
      </c>
      <c r="N236" s="233" t="str">
        <f>IF($E236="","",'I. Stream &amp; Compound Data'!$CK90)</f>
        <v/>
      </c>
      <c r="O236" s="213"/>
      <c r="P236" s="213"/>
      <c r="Q236" s="213"/>
      <c r="R236" s="213"/>
      <c r="S236" s="213"/>
      <c r="T236" s="213"/>
      <c r="U236" s="213"/>
      <c r="V236" s="213"/>
      <c r="W236" s="213"/>
      <c r="X236" s="213"/>
      <c r="Y236" s="214"/>
    </row>
    <row r="237" spans="2:25" ht="18.75" customHeight="1" x14ac:dyDescent="0.2">
      <c r="B237" s="387"/>
      <c r="C237" s="213"/>
      <c r="D237" s="228">
        <f t="shared" si="27"/>
        <v>29</v>
      </c>
      <c r="E237" s="231" t="str">
        <f>IF('I. Stream &amp; Compound Data'!CO28="","",'I. Stream &amp; Compound Data'!CO28)</f>
        <v/>
      </c>
      <c r="F237" s="231" t="str">
        <f>IF('I. Stream &amp; Compound Data'!CO29="","",'I. Stream &amp; Compound Data'!CO29)</f>
        <v/>
      </c>
      <c r="G237" s="231" t="str">
        <f>IF('I. Stream &amp; Compound Data'!CO30="","",'I. Stream &amp; Compound Data'!CO30)</f>
        <v/>
      </c>
      <c r="H237" s="231" t="str">
        <f>IF(E237="","",'I. Stream &amp; Compound Data'!CN88)</f>
        <v/>
      </c>
      <c r="I237" s="231" t="str">
        <f t="shared" si="26"/>
        <v/>
      </c>
      <c r="J237" s="231" t="str">
        <f>IF($E237="","",'I. Stream &amp; Compound Data'!$CN92)</f>
        <v/>
      </c>
      <c r="K237" s="232" t="str">
        <f t="shared" si="28"/>
        <v/>
      </c>
      <c r="L237" s="231" t="str">
        <f>IF($E237="","",'I. Stream &amp; Compound Data'!$CN86)</f>
        <v/>
      </c>
      <c r="M237" s="233" t="str">
        <f>IF($E237="","",'I. Stream &amp; Compound Data'!$CN87)</f>
        <v/>
      </c>
      <c r="N237" s="233" t="str">
        <f>IF($E237="","",'I. Stream &amp; Compound Data'!$CN90)</f>
        <v/>
      </c>
      <c r="O237" s="213"/>
      <c r="P237" s="213"/>
      <c r="Q237" s="213"/>
      <c r="R237" s="213"/>
      <c r="S237" s="213"/>
      <c r="T237" s="213"/>
      <c r="U237" s="213"/>
      <c r="V237" s="213"/>
      <c r="W237" s="213"/>
      <c r="X237" s="213"/>
      <c r="Y237" s="214"/>
    </row>
    <row r="238" spans="2:25" ht="18.75" customHeight="1" x14ac:dyDescent="0.2">
      <c r="B238" s="387"/>
      <c r="C238" s="213"/>
      <c r="D238" s="228">
        <f t="shared" si="27"/>
        <v>30</v>
      </c>
      <c r="E238" s="231" t="str">
        <f>IF('I. Stream &amp; Compound Data'!CR28="","",'I. Stream &amp; Compound Data'!CR28)</f>
        <v/>
      </c>
      <c r="F238" s="231" t="str">
        <f>IF('I. Stream &amp; Compound Data'!CR29="","",'I. Stream &amp; Compound Data'!CR29)</f>
        <v/>
      </c>
      <c r="G238" s="231" t="str">
        <f>IF('I. Stream &amp; Compound Data'!CR30="","",'I. Stream &amp; Compound Data'!CR30)</f>
        <v/>
      </c>
      <c r="H238" s="231" t="str">
        <f>IF(E238="","",'I. Stream &amp; Compound Data'!CQ88)</f>
        <v/>
      </c>
      <c r="I238" s="231" t="str">
        <f t="shared" si="26"/>
        <v/>
      </c>
      <c r="J238" s="231" t="str">
        <f>IF($E238="","",'I. Stream &amp; Compound Data'!$CQ92)</f>
        <v/>
      </c>
      <c r="K238" s="232" t="str">
        <f t="shared" si="28"/>
        <v/>
      </c>
      <c r="L238" s="231" t="str">
        <f>IF($E238="","",'I. Stream &amp; Compound Data'!$CQ86)</f>
        <v/>
      </c>
      <c r="M238" s="233" t="str">
        <f>IF($E238="","",'I. Stream &amp; Compound Data'!$CQ87)</f>
        <v/>
      </c>
      <c r="N238" s="233" t="str">
        <f>IF($E238="","",'I. Stream &amp; Compound Data'!$CQ90)</f>
        <v/>
      </c>
      <c r="O238" s="213"/>
      <c r="P238" s="213"/>
      <c r="Q238" s="213"/>
      <c r="R238" s="213"/>
      <c r="S238" s="213"/>
      <c r="T238" s="213"/>
      <c r="U238" s="213"/>
      <c r="V238" s="213"/>
      <c r="W238" s="213"/>
      <c r="X238" s="213"/>
      <c r="Y238" s="214"/>
    </row>
    <row r="239" spans="2:25" ht="18.75" customHeight="1" x14ac:dyDescent="0.2">
      <c r="B239" s="387"/>
      <c r="C239" s="213"/>
      <c r="D239" s="228">
        <f t="shared" si="27"/>
        <v>31</v>
      </c>
      <c r="E239" s="231" t="str">
        <f>IF('I. Stream &amp; Compound Data'!CU28="","",'I. Stream &amp; Compound Data'!CU28)</f>
        <v/>
      </c>
      <c r="F239" s="231" t="str">
        <f>IF('I. Stream &amp; Compound Data'!CU29="","",'I. Stream &amp; Compound Data'!CU29)</f>
        <v/>
      </c>
      <c r="G239" s="231" t="str">
        <f>IF('I. Stream &amp; Compound Data'!CU30="","",'I. Stream &amp; Compound Data'!CU30)</f>
        <v/>
      </c>
      <c r="H239" s="231" t="str">
        <f>IF(E239="","",'I. Stream &amp; Compound Data'!CT88)</f>
        <v/>
      </c>
      <c r="I239" s="231" t="str">
        <f t="shared" si="26"/>
        <v/>
      </c>
      <c r="J239" s="231" t="str">
        <f>IF($E239="","",'I. Stream &amp; Compound Data'!$CT92)</f>
        <v/>
      </c>
      <c r="K239" s="232" t="str">
        <f t="shared" si="28"/>
        <v/>
      </c>
      <c r="L239" s="231" t="str">
        <f>IF($E239="","",'I. Stream &amp; Compound Data'!$CT86)</f>
        <v/>
      </c>
      <c r="M239" s="233" t="str">
        <f>IF($E239="","",'I. Stream &amp; Compound Data'!$CT87)</f>
        <v/>
      </c>
      <c r="N239" s="233" t="str">
        <f>IF($E239="","",'I. Stream &amp; Compound Data'!$CT90)</f>
        <v/>
      </c>
      <c r="O239" s="213"/>
      <c r="P239" s="213"/>
      <c r="Q239" s="213"/>
      <c r="R239" s="213"/>
      <c r="S239" s="213"/>
      <c r="T239" s="213"/>
      <c r="U239" s="213"/>
      <c r="V239" s="213"/>
      <c r="W239" s="213"/>
      <c r="X239" s="213"/>
      <c r="Y239" s="214"/>
    </row>
    <row r="240" spans="2:25" ht="18.75" customHeight="1" x14ac:dyDescent="0.2">
      <c r="B240" s="387"/>
      <c r="C240" s="213"/>
      <c r="D240" s="228">
        <f t="shared" si="27"/>
        <v>32</v>
      </c>
      <c r="E240" s="231" t="str">
        <f>IF('I. Stream &amp; Compound Data'!CX28="","",'I. Stream &amp; Compound Data'!CX28)</f>
        <v/>
      </c>
      <c r="F240" s="231" t="str">
        <f>IF('I. Stream &amp; Compound Data'!CX29="","",'I. Stream &amp; Compound Data'!CX29)</f>
        <v/>
      </c>
      <c r="G240" s="231" t="str">
        <f>IF('I. Stream &amp; Compound Data'!CX30="","",'I. Stream &amp; Compound Data'!CX30)</f>
        <v/>
      </c>
      <c r="H240" s="231" t="str">
        <f>IF(E240="","",'I. Stream &amp; Compound Data'!CW88)</f>
        <v/>
      </c>
      <c r="I240" s="231" t="str">
        <f t="shared" si="26"/>
        <v/>
      </c>
      <c r="J240" s="231" t="str">
        <f>IF($E240="","",'I. Stream &amp; Compound Data'!$CW92)</f>
        <v/>
      </c>
      <c r="K240" s="232" t="str">
        <f t="shared" si="28"/>
        <v/>
      </c>
      <c r="L240" s="231" t="str">
        <f>IF($E240="","",'I. Stream &amp; Compound Data'!$CW86)</f>
        <v/>
      </c>
      <c r="M240" s="233" t="str">
        <f>IF($E240="","",'I. Stream &amp; Compound Data'!$CW87)</f>
        <v/>
      </c>
      <c r="N240" s="233" t="str">
        <f>IF($E240="","",'I. Stream &amp; Compound Data'!$CW90)</f>
        <v/>
      </c>
      <c r="O240" s="213"/>
      <c r="P240" s="213"/>
      <c r="Q240" s="213"/>
      <c r="R240" s="213"/>
      <c r="S240" s="213"/>
      <c r="T240" s="213"/>
      <c r="U240" s="213"/>
      <c r="V240" s="213"/>
      <c r="W240" s="213"/>
      <c r="X240" s="213"/>
      <c r="Y240" s="214"/>
    </row>
    <row r="241" spans="2:25" ht="18.75" customHeight="1" x14ac:dyDescent="0.2">
      <c r="B241" s="387"/>
      <c r="C241" s="213"/>
      <c r="D241" s="228">
        <f t="shared" si="27"/>
        <v>33</v>
      </c>
      <c r="E241" s="231" t="str">
        <f>IF('I. Stream &amp; Compound Data'!DA28="","",'I. Stream &amp; Compound Data'!DA28)</f>
        <v/>
      </c>
      <c r="F241" s="231" t="str">
        <f>IF('I. Stream &amp; Compound Data'!DA29="","",'I. Stream &amp; Compound Data'!DA29)</f>
        <v/>
      </c>
      <c r="G241" s="231" t="str">
        <f>IF('I. Stream &amp; Compound Data'!DA30="","",'I. Stream &amp; Compound Data'!DA30)</f>
        <v/>
      </c>
      <c r="H241" s="231" t="str">
        <f>IF(E241="","",'I. Stream &amp; Compound Data'!CZ88)</f>
        <v/>
      </c>
      <c r="I241" s="231" t="str">
        <f t="shared" si="26"/>
        <v/>
      </c>
      <c r="J241" s="231" t="str">
        <f>IF($E241="","",'I. Stream &amp; Compound Data'!$CZ92)</f>
        <v/>
      </c>
      <c r="K241" s="232" t="str">
        <f t="shared" si="28"/>
        <v/>
      </c>
      <c r="L241" s="231" t="str">
        <f>IF($E241="","",'I. Stream &amp; Compound Data'!$CZ86)</f>
        <v/>
      </c>
      <c r="M241" s="233" t="str">
        <f>IF($E241="","",'I. Stream &amp; Compound Data'!$CZ87)</f>
        <v/>
      </c>
      <c r="N241" s="233" t="str">
        <f>IF($E241="","",'I. Stream &amp; Compound Data'!$CZ90)</f>
        <v/>
      </c>
      <c r="O241" s="213"/>
      <c r="P241" s="213"/>
      <c r="Q241" s="213"/>
      <c r="R241" s="213"/>
      <c r="S241" s="213"/>
      <c r="T241" s="213"/>
      <c r="U241" s="213"/>
      <c r="V241" s="213"/>
      <c r="W241" s="213"/>
      <c r="X241" s="213"/>
      <c r="Y241" s="214"/>
    </row>
    <row r="242" spans="2:25" ht="18.75" customHeight="1" x14ac:dyDescent="0.2">
      <c r="B242" s="387"/>
      <c r="C242" s="213"/>
      <c r="D242" s="228">
        <f t="shared" si="27"/>
        <v>34</v>
      </c>
      <c r="E242" s="231" t="str">
        <f>IF('I. Stream &amp; Compound Data'!DD28="","",'I. Stream &amp; Compound Data'!DD28)</f>
        <v/>
      </c>
      <c r="F242" s="231" t="str">
        <f>IF('I. Stream &amp; Compound Data'!DD29="","",'I. Stream &amp; Compound Data'!DD29)</f>
        <v/>
      </c>
      <c r="G242" s="231" t="str">
        <f>IF('I. Stream &amp; Compound Data'!DD30="","",'I. Stream &amp; Compound Data'!DD30)</f>
        <v/>
      </c>
      <c r="H242" s="231" t="str">
        <f>IF(E242="","",'I. Stream &amp; Compound Data'!DC88)</f>
        <v/>
      </c>
      <c r="I242" s="231" t="str">
        <f t="shared" si="26"/>
        <v/>
      </c>
      <c r="J242" s="231" t="str">
        <f>IF($E242="","",'I. Stream &amp; Compound Data'!$DC92)</f>
        <v/>
      </c>
      <c r="K242" s="232" t="str">
        <f t="shared" si="28"/>
        <v/>
      </c>
      <c r="L242" s="231" t="str">
        <f>IF($E242="","",'I. Stream &amp; Compound Data'!$DC86)</f>
        <v/>
      </c>
      <c r="M242" s="233" t="str">
        <f>IF($E242="","",'I. Stream &amp; Compound Data'!$DC87)</f>
        <v/>
      </c>
      <c r="N242" s="233" t="str">
        <f>IF($E242="","",'I. Stream &amp; Compound Data'!$DC90)</f>
        <v/>
      </c>
      <c r="O242" s="213"/>
      <c r="P242" s="213"/>
      <c r="Q242" s="213"/>
      <c r="R242" s="213"/>
      <c r="S242" s="213"/>
      <c r="T242" s="213"/>
      <c r="U242" s="213"/>
      <c r="V242" s="213"/>
      <c r="W242" s="213"/>
      <c r="X242" s="213"/>
      <c r="Y242" s="214"/>
    </row>
    <row r="243" spans="2:25" ht="18.75" customHeight="1" x14ac:dyDescent="0.2">
      <c r="B243" s="387"/>
      <c r="C243" s="213"/>
      <c r="D243" s="228">
        <f t="shared" si="27"/>
        <v>35</v>
      </c>
      <c r="E243" s="231" t="str">
        <f>IF('I. Stream &amp; Compound Data'!DG28="","",'I. Stream &amp; Compound Data'!DG28)</f>
        <v/>
      </c>
      <c r="F243" s="231" t="str">
        <f>IF('I. Stream &amp; Compound Data'!DG29="","",'I. Stream &amp; Compound Data'!DG29)</f>
        <v/>
      </c>
      <c r="G243" s="231" t="str">
        <f>IF('I. Stream &amp; Compound Data'!DG30="","",'I. Stream &amp; Compound Data'!DG30)</f>
        <v/>
      </c>
      <c r="H243" s="231" t="str">
        <f>IF(E243="","",'I. Stream &amp; Compound Data'!DF88)</f>
        <v/>
      </c>
      <c r="I243" s="231" t="str">
        <f t="shared" si="26"/>
        <v/>
      </c>
      <c r="J243" s="231" t="str">
        <f>IF($E243="","",'I. Stream &amp; Compound Data'!$DF92)</f>
        <v/>
      </c>
      <c r="K243" s="232" t="str">
        <f t="shared" si="28"/>
        <v/>
      </c>
      <c r="L243" s="231" t="str">
        <f>IF($E243="","",'I. Stream &amp; Compound Data'!$DF86)</f>
        <v/>
      </c>
      <c r="M243" s="233" t="str">
        <f>IF($E243="","",'I. Stream &amp; Compound Data'!$DF87)</f>
        <v/>
      </c>
      <c r="N243" s="233" t="str">
        <f>IF($E243="","",'I. Stream &amp; Compound Data'!$DF90)</f>
        <v/>
      </c>
      <c r="O243" s="213"/>
      <c r="P243" s="213"/>
      <c r="Q243" s="213"/>
      <c r="R243" s="213"/>
      <c r="S243" s="213"/>
      <c r="T243" s="213"/>
      <c r="U243" s="213"/>
      <c r="V243" s="213"/>
      <c r="W243" s="213"/>
      <c r="X243" s="213"/>
      <c r="Y243" s="214"/>
    </row>
    <row r="244" spans="2:25" ht="18.75" customHeight="1" x14ac:dyDescent="0.2">
      <c r="B244" s="387"/>
      <c r="C244" s="213"/>
      <c r="D244" s="228">
        <f t="shared" si="27"/>
        <v>36</v>
      </c>
      <c r="E244" s="231" t="str">
        <f>IF('I. Stream &amp; Compound Data'!DJ28="","",'I. Stream &amp; Compound Data'!DJ28)</f>
        <v/>
      </c>
      <c r="F244" s="231" t="str">
        <f>IF('I. Stream &amp; Compound Data'!DJ29="","",'I. Stream &amp; Compound Data'!DJ29)</f>
        <v/>
      </c>
      <c r="G244" s="231" t="str">
        <f>IF('I. Stream &amp; Compound Data'!DJ30="","",'I. Stream &amp; Compound Data'!DJ30)</f>
        <v/>
      </c>
      <c r="H244" s="231" t="str">
        <f>IF(E244="","",'I. Stream &amp; Compound Data'!DI88)</f>
        <v/>
      </c>
      <c r="I244" s="231" t="str">
        <f t="shared" si="26"/>
        <v/>
      </c>
      <c r="J244" s="231" t="str">
        <f>IF($E244="","",'I. Stream &amp; Compound Data'!$DI92)</f>
        <v/>
      </c>
      <c r="K244" s="232" t="str">
        <f t="shared" si="28"/>
        <v/>
      </c>
      <c r="L244" s="231" t="str">
        <f>IF($E244="","",'I. Stream &amp; Compound Data'!$DI86)</f>
        <v/>
      </c>
      <c r="M244" s="233" t="str">
        <f>IF($E244="","",'I. Stream &amp; Compound Data'!$DI87)</f>
        <v/>
      </c>
      <c r="N244" s="233" t="str">
        <f>IF($E244="","",'I. Stream &amp; Compound Data'!$DI90)</f>
        <v/>
      </c>
      <c r="O244" s="213"/>
      <c r="P244" s="213"/>
      <c r="Q244" s="213"/>
      <c r="R244" s="213"/>
      <c r="S244" s="213"/>
      <c r="T244" s="213"/>
      <c r="U244" s="213"/>
      <c r="V244" s="213"/>
      <c r="W244" s="213"/>
      <c r="X244" s="213"/>
      <c r="Y244" s="214"/>
    </row>
    <row r="245" spans="2:25" ht="18.75" customHeight="1" x14ac:dyDescent="0.2">
      <c r="B245" s="387"/>
      <c r="C245" s="213"/>
      <c r="D245" s="228">
        <f t="shared" si="27"/>
        <v>37</v>
      </c>
      <c r="E245" s="231" t="str">
        <f>IF('I. Stream &amp; Compound Data'!DM28="","",'I. Stream &amp; Compound Data'!DM28)</f>
        <v/>
      </c>
      <c r="F245" s="231" t="str">
        <f>IF('I. Stream &amp; Compound Data'!DM29="","",'I. Stream &amp; Compound Data'!DM29)</f>
        <v/>
      </c>
      <c r="G245" s="231" t="str">
        <f>IF('I. Stream &amp; Compound Data'!DM30="","",'I. Stream &amp; Compound Data'!DM30)</f>
        <v/>
      </c>
      <c r="H245" s="231" t="str">
        <f>IF(E245="","",'I. Stream &amp; Compound Data'!DL88)</f>
        <v/>
      </c>
      <c r="I245" s="231" t="str">
        <f t="shared" si="26"/>
        <v/>
      </c>
      <c r="J245" s="231" t="str">
        <f>IF($E245="","",'I. Stream &amp; Compound Data'!$DL92)</f>
        <v/>
      </c>
      <c r="K245" s="232" t="str">
        <f t="shared" si="28"/>
        <v/>
      </c>
      <c r="L245" s="231" t="str">
        <f>IF($E245="","",'I. Stream &amp; Compound Data'!$DL86)</f>
        <v/>
      </c>
      <c r="M245" s="233" t="str">
        <f>IF($E245="","",'I. Stream &amp; Compound Data'!$DL87)</f>
        <v/>
      </c>
      <c r="N245" s="233" t="str">
        <f>IF($E245="","",'I. Stream &amp; Compound Data'!$DL90)</f>
        <v/>
      </c>
      <c r="O245" s="213"/>
      <c r="P245" s="213"/>
      <c r="Q245" s="213"/>
      <c r="R245" s="213"/>
      <c r="S245" s="213"/>
      <c r="T245" s="213"/>
      <c r="U245" s="213"/>
      <c r="V245" s="213"/>
      <c r="W245" s="213"/>
      <c r="X245" s="213"/>
      <c r="Y245" s="214"/>
    </row>
    <row r="246" spans="2:25" ht="18.75" customHeight="1" x14ac:dyDescent="0.2">
      <c r="B246" s="387"/>
      <c r="C246" s="213"/>
      <c r="D246" s="228">
        <f t="shared" si="27"/>
        <v>38</v>
      </c>
      <c r="E246" s="231" t="str">
        <f>IF('I. Stream &amp; Compound Data'!DP28="","",'I. Stream &amp; Compound Data'!DP28)</f>
        <v/>
      </c>
      <c r="F246" s="231" t="str">
        <f>IF('I. Stream &amp; Compound Data'!DP29="","",'I. Stream &amp; Compound Data'!DP29)</f>
        <v/>
      </c>
      <c r="G246" s="231" t="str">
        <f>IF('I. Stream &amp; Compound Data'!DP30="","",'I. Stream &amp; Compound Data'!DP30)</f>
        <v/>
      </c>
      <c r="H246" s="231" t="str">
        <f>IF(E246="","",'I. Stream &amp; Compound Data'!DO88)</f>
        <v/>
      </c>
      <c r="I246" s="231" t="str">
        <f t="shared" si="26"/>
        <v/>
      </c>
      <c r="J246" s="231" t="str">
        <f>IF($E246="","",'I. Stream &amp; Compound Data'!$DO92)</f>
        <v/>
      </c>
      <c r="K246" s="232" t="str">
        <f t="shared" si="28"/>
        <v/>
      </c>
      <c r="L246" s="231" t="str">
        <f>IF($E246="","",'I. Stream &amp; Compound Data'!$DO86)</f>
        <v/>
      </c>
      <c r="M246" s="233" t="str">
        <f>IF($E246="","",'I. Stream &amp; Compound Data'!$DO87)</f>
        <v/>
      </c>
      <c r="N246" s="233" t="str">
        <f>IF($E246="","",'I. Stream &amp; Compound Data'!$DO90)</f>
        <v/>
      </c>
      <c r="O246" s="213"/>
      <c r="P246" s="213"/>
      <c r="Q246" s="213"/>
      <c r="R246" s="213"/>
      <c r="S246" s="213"/>
      <c r="T246" s="213"/>
      <c r="U246" s="213"/>
      <c r="V246" s="213"/>
      <c r="W246" s="213"/>
      <c r="X246" s="213"/>
      <c r="Y246" s="214"/>
    </row>
    <row r="247" spans="2:25" ht="18.75" customHeight="1" x14ac:dyDescent="0.2">
      <c r="B247" s="387"/>
      <c r="C247" s="213"/>
      <c r="D247" s="228">
        <f t="shared" si="27"/>
        <v>39</v>
      </c>
      <c r="E247" s="231" t="str">
        <f>IF('I. Stream &amp; Compound Data'!DS28="","",'I. Stream &amp; Compound Data'!DS28)</f>
        <v/>
      </c>
      <c r="F247" s="231" t="str">
        <f>IF('I. Stream &amp; Compound Data'!DS29="","",'I. Stream &amp; Compound Data'!DS29)</f>
        <v/>
      </c>
      <c r="G247" s="231" t="str">
        <f>IF('I. Stream &amp; Compound Data'!DS30="","",'I. Stream &amp; Compound Data'!DS30)</f>
        <v/>
      </c>
      <c r="H247" s="231" t="str">
        <f>IF(E247="","",'I. Stream &amp; Compound Data'!DR88)</f>
        <v/>
      </c>
      <c r="I247" s="231" t="str">
        <f t="shared" si="26"/>
        <v/>
      </c>
      <c r="J247" s="231" t="str">
        <f>IF($E247="","",'I. Stream &amp; Compound Data'!$DR92)</f>
        <v/>
      </c>
      <c r="K247" s="232" t="str">
        <f t="shared" si="28"/>
        <v/>
      </c>
      <c r="L247" s="231" t="str">
        <f>IF($E247="","",'I. Stream &amp; Compound Data'!$DR86)</f>
        <v/>
      </c>
      <c r="M247" s="233" t="str">
        <f>IF($E247="","",'I. Stream &amp; Compound Data'!$DR87)</f>
        <v/>
      </c>
      <c r="N247" s="233" t="str">
        <f>IF($E247="","",'I. Stream &amp; Compound Data'!$DR90)</f>
        <v/>
      </c>
      <c r="O247" s="213"/>
      <c r="P247" s="213"/>
      <c r="Q247" s="213"/>
      <c r="R247" s="213"/>
      <c r="S247" s="213"/>
      <c r="T247" s="213"/>
      <c r="U247" s="213"/>
      <c r="V247" s="213"/>
      <c r="W247" s="213"/>
      <c r="X247" s="213"/>
      <c r="Y247" s="214"/>
    </row>
    <row r="248" spans="2:25" ht="18.75" customHeight="1" thickBot="1" x14ac:dyDescent="0.25">
      <c r="B248" s="387"/>
      <c r="C248" s="213"/>
      <c r="D248" s="234">
        <f t="shared" si="27"/>
        <v>40</v>
      </c>
      <c r="E248" s="235" t="str">
        <f>IF('I. Stream &amp; Compound Data'!DV28="","",'I. Stream &amp; Compound Data'!DV28)</f>
        <v/>
      </c>
      <c r="F248" s="235" t="str">
        <f>IF('I. Stream &amp; Compound Data'!DV29="","",'I. Stream &amp; Compound Data'!DV29)</f>
        <v/>
      </c>
      <c r="G248" s="235" t="str">
        <f>IF('I. Stream &amp; Compound Data'!DV30="","",'I. Stream &amp; Compound Data'!DV30)</f>
        <v/>
      </c>
      <c r="H248" s="235" t="str">
        <f>IF(E248="","",'I. Stream &amp; Compound Data'!DU88)</f>
        <v/>
      </c>
      <c r="I248" s="235" t="str">
        <f t="shared" si="26"/>
        <v/>
      </c>
      <c r="J248" s="235" t="str">
        <f>IF($E248="","",'I. Stream &amp; Compound Data'!$DU92)</f>
        <v/>
      </c>
      <c r="K248" s="236" t="str">
        <f t="shared" si="28"/>
        <v/>
      </c>
      <c r="L248" s="235" t="str">
        <f>IF($E248="","",'I. Stream &amp; Compound Data'!$DU86)</f>
        <v/>
      </c>
      <c r="M248" s="237" t="str">
        <f>IF($E248="","",'I. Stream &amp; Compound Data'!$DU87)</f>
        <v/>
      </c>
      <c r="N248" s="237" t="str">
        <f>IF($E248="","",'I. Stream &amp; Compound Data'!$DU90)</f>
        <v/>
      </c>
      <c r="O248" s="213"/>
      <c r="P248" s="213"/>
      <c r="Q248" s="213"/>
      <c r="R248" s="213"/>
      <c r="S248" s="213"/>
      <c r="T248" s="213"/>
      <c r="U248" s="213"/>
      <c r="V248" s="213"/>
      <c r="W248" s="213"/>
      <c r="X248" s="213"/>
      <c r="Y248" s="214"/>
    </row>
    <row r="249" spans="2:25" ht="15.75" customHeight="1" thickBot="1" x14ac:dyDescent="0.25">
      <c r="B249" s="387"/>
      <c r="C249" s="213"/>
      <c r="D249" s="213"/>
      <c r="E249" s="213"/>
      <c r="F249" s="213"/>
      <c r="G249" s="213" t="s">
        <v>26</v>
      </c>
      <c r="H249" s="238">
        <f>SUM(H209:H248)</f>
        <v>1356.4</v>
      </c>
      <c r="I249" s="238">
        <f>SUM(I209:I248)</f>
        <v>11890202.399999999</v>
      </c>
      <c r="J249" s="238">
        <f t="shared" ref="J249:K249" si="29">SUM(J209:J248)</f>
        <v>790.12793699999986</v>
      </c>
      <c r="K249" s="239">
        <f t="shared" si="29"/>
        <v>6926261.4957419997</v>
      </c>
      <c r="L249" s="213"/>
      <c r="M249" s="213"/>
      <c r="N249" s="213"/>
      <c r="O249" s="213"/>
      <c r="P249" s="213"/>
      <c r="Q249" s="213"/>
      <c r="R249" s="213"/>
      <c r="S249" s="213"/>
      <c r="T249" s="213"/>
      <c r="U249" s="213"/>
      <c r="V249" s="213"/>
      <c r="W249" s="213"/>
      <c r="X249" s="213"/>
      <c r="Y249" s="214"/>
    </row>
    <row r="250" spans="2:25" ht="15.75" customHeight="1" x14ac:dyDescent="0.2">
      <c r="B250" s="387"/>
      <c r="C250" s="213"/>
      <c r="D250" s="213"/>
      <c r="E250" s="213"/>
      <c r="F250" s="213"/>
      <c r="G250" s="213"/>
      <c r="H250" s="213"/>
      <c r="I250" s="213"/>
      <c r="J250" s="213"/>
      <c r="K250" s="213"/>
      <c r="L250" s="213"/>
      <c r="M250" s="213"/>
      <c r="N250" s="213"/>
      <c r="O250" s="213"/>
      <c r="P250" s="213"/>
      <c r="Q250" s="213"/>
      <c r="R250" s="213"/>
      <c r="S250" s="213"/>
      <c r="T250" s="213"/>
      <c r="U250" s="213"/>
      <c r="V250" s="213"/>
      <c r="W250" s="213"/>
      <c r="X250" s="213"/>
      <c r="Y250" s="214"/>
    </row>
    <row r="251" spans="2:25" ht="15.75" customHeight="1" x14ac:dyDescent="0.2">
      <c r="B251" s="387"/>
      <c r="C251" s="213"/>
      <c r="D251" s="213"/>
      <c r="E251" s="213"/>
      <c r="F251" s="213"/>
      <c r="G251" s="213"/>
      <c r="H251" s="213"/>
      <c r="I251" s="213"/>
      <c r="J251" s="213"/>
      <c r="K251" s="213"/>
      <c r="L251" s="213"/>
      <c r="M251" s="213"/>
      <c r="N251" s="213"/>
      <c r="O251" s="213"/>
      <c r="P251" s="213"/>
      <c r="Q251" s="213"/>
      <c r="R251" s="213"/>
      <c r="S251" s="213"/>
      <c r="T251" s="213"/>
      <c r="U251" s="213"/>
      <c r="V251" s="213"/>
      <c r="W251" s="213"/>
      <c r="X251" s="213"/>
      <c r="Y251" s="214"/>
    </row>
    <row r="252" spans="2:25" ht="15.75" customHeight="1" x14ac:dyDescent="0.2">
      <c r="B252" s="387"/>
      <c r="C252" s="213"/>
      <c r="D252" s="213"/>
      <c r="E252" s="213"/>
      <c r="F252" s="213"/>
      <c r="G252" s="213"/>
      <c r="H252" s="213"/>
      <c r="I252" s="213"/>
      <c r="J252" s="213"/>
      <c r="K252" s="213"/>
      <c r="L252" s="213"/>
      <c r="M252" s="213"/>
      <c r="N252" s="213"/>
      <c r="O252" s="213"/>
      <c r="P252" s="213"/>
      <c r="Q252" s="213"/>
      <c r="R252" s="213"/>
      <c r="S252" s="213"/>
      <c r="T252" s="213"/>
      <c r="U252" s="213"/>
      <c r="V252" s="213"/>
      <c r="W252" s="213"/>
      <c r="X252" s="213"/>
      <c r="Y252" s="214"/>
    </row>
    <row r="253" spans="2:25" ht="24" thickBot="1" x14ac:dyDescent="0.4">
      <c r="B253" s="387"/>
      <c r="C253" s="213"/>
      <c r="D253" s="222" t="s">
        <v>1309</v>
      </c>
      <c r="E253" s="213"/>
      <c r="F253" s="213"/>
      <c r="G253" s="213"/>
      <c r="H253" s="213"/>
      <c r="I253" s="213"/>
      <c r="J253" s="213"/>
      <c r="K253" s="213"/>
      <c r="L253" s="213"/>
      <c r="M253" s="213"/>
      <c r="N253" s="213"/>
      <c r="O253" s="213"/>
      <c r="P253" s="213"/>
      <c r="Q253" s="213"/>
      <c r="R253" s="213"/>
      <c r="S253" s="213"/>
      <c r="T253" s="213"/>
      <c r="U253" s="213"/>
      <c r="V253" s="213"/>
      <c r="W253" s="213"/>
      <c r="X253" s="213"/>
      <c r="Y253" s="214"/>
    </row>
    <row r="254" spans="2:25" ht="18.75" x14ac:dyDescent="0.2">
      <c r="B254" s="387"/>
      <c r="C254" s="213"/>
      <c r="D254" s="223"/>
      <c r="E254" s="315" t="s">
        <v>794</v>
      </c>
      <c r="F254" s="315" t="s">
        <v>12</v>
      </c>
      <c r="G254" s="240" t="s">
        <v>740</v>
      </c>
      <c r="H254" s="322" t="s">
        <v>736</v>
      </c>
      <c r="I254" s="322" t="s">
        <v>742</v>
      </c>
      <c r="J254" s="315" t="s">
        <v>0</v>
      </c>
      <c r="K254" s="241" t="s">
        <v>755</v>
      </c>
      <c r="L254" s="336"/>
      <c r="M254" s="336"/>
      <c r="N254" s="213"/>
      <c r="O254" s="213"/>
      <c r="P254" s="213"/>
      <c r="Q254" s="213"/>
      <c r="R254" s="213"/>
      <c r="S254" s="213"/>
      <c r="T254" s="213"/>
      <c r="U254" s="213"/>
      <c r="V254" s="213"/>
      <c r="W254" s="213"/>
      <c r="X254" s="213"/>
      <c r="Y254" s="214"/>
    </row>
    <row r="255" spans="2:25" ht="18" customHeight="1" x14ac:dyDescent="0.2">
      <c r="B255" s="387"/>
      <c r="C255" s="213"/>
      <c r="D255" s="228">
        <v>1</v>
      </c>
      <c r="E255" s="230">
        <f>IF(OR('I. Stream &amp; Compound Data'!I178="",'I. Stream &amp; Compound Data'!I179=0),"",'I. Stream &amp; Compound Data'!I178)</f>
        <v>300</v>
      </c>
      <c r="F255" s="230" t="str">
        <f>IF(E255="","",'I. Stream &amp; Compound Data'!I180)</f>
        <v>FAME</v>
      </c>
      <c r="G255" s="231">
        <f>IF(E255="","",'I. Stream &amp; Compound Data'!$H242)</f>
        <v>990.00019999999995</v>
      </c>
      <c r="H255" s="231">
        <f>IF(E255="","",'I. Stream &amp; Compound Data'!H247)</f>
        <v>1658.250335</v>
      </c>
      <c r="I255" s="232">
        <f t="shared" ref="I255:I294" si="30">IF(E255="","",H255*8766)</f>
        <v>14536222.43661</v>
      </c>
      <c r="J255" s="230" t="str">
        <f>IF(E255="","",'I. Stream &amp; Compound Data'!I183)</f>
        <v>yes</v>
      </c>
      <c r="K255" s="242">
        <f>IF(E255="","",'I. Stream &amp; Compound Data'!I181)</f>
        <v>1</v>
      </c>
      <c r="L255" s="213"/>
      <c r="M255" s="213"/>
      <c r="N255" s="213"/>
      <c r="O255" s="213"/>
      <c r="P255" s="213"/>
      <c r="Q255" s="213"/>
      <c r="R255" s="213"/>
      <c r="S255" s="213"/>
      <c r="T255" s="213"/>
      <c r="U255" s="213"/>
      <c r="V255" s="213"/>
      <c r="W255" s="213"/>
      <c r="X255" s="213"/>
      <c r="Y255" s="214"/>
    </row>
    <row r="256" spans="2:25" ht="18" customHeight="1" x14ac:dyDescent="0.2">
      <c r="B256" s="387"/>
      <c r="C256" s="213"/>
      <c r="D256" s="228">
        <f>D255+1</f>
        <v>2</v>
      </c>
      <c r="E256" s="230">
        <f>IF(OR('I. Stream &amp; Compound Data'!L178="",'I. Stream &amp; Compound Data'!L179=0),"",'I. Stream &amp; Compound Data'!L178)</f>
        <v>301</v>
      </c>
      <c r="F256" s="230" t="str">
        <f>IF(E256="","",'I. Stream &amp; Compound Data'!L180)</f>
        <v>Glycerol</v>
      </c>
      <c r="G256" s="231">
        <f>IF(E256="","",'I. Stream &amp; Compound Data'!$K242)</f>
        <v>104.1443</v>
      </c>
      <c r="H256" s="231">
        <f>IF(E256="","",'I. Stream &amp; Compound Data'!K247)</f>
        <v>91.844858170000009</v>
      </c>
      <c r="I256" s="232">
        <f t="shared" si="30"/>
        <v>805112.02671822009</v>
      </c>
      <c r="J256" s="230" t="str">
        <f>IF(E256="","",'I. Stream &amp; Compound Data'!L183)</f>
        <v>yes</v>
      </c>
      <c r="K256" s="242">
        <f>IF(E256="","",'I. Stream &amp; Compound Data'!L181)</f>
        <v>1</v>
      </c>
      <c r="L256" s="213"/>
      <c r="M256" s="213"/>
      <c r="N256" s="213"/>
      <c r="O256" s="213"/>
      <c r="P256" s="213"/>
      <c r="Q256" s="213"/>
      <c r="R256" s="213"/>
      <c r="S256" s="213"/>
      <c r="T256" s="213"/>
      <c r="U256" s="213"/>
      <c r="V256" s="213"/>
      <c r="W256" s="213"/>
      <c r="X256" s="213"/>
      <c r="Y256" s="214"/>
    </row>
    <row r="257" spans="2:25" ht="18" customHeight="1" x14ac:dyDescent="0.2">
      <c r="B257" s="387"/>
      <c r="C257" s="213"/>
      <c r="D257" s="228">
        <f t="shared" ref="D257:D294" si="31">D256+1</f>
        <v>3</v>
      </c>
      <c r="E257" s="230" t="str">
        <f>IF(OR('I. Stream &amp; Compound Data'!O178="",'I. Stream &amp; Compound Data'!O179=0),"",'I. Stream &amp; Compound Data'!O178)</f>
        <v/>
      </c>
      <c r="F257" s="230" t="str">
        <f>IF(E257="","",'I. Stream &amp; Compound Data'!O180)</f>
        <v/>
      </c>
      <c r="G257" s="231" t="str">
        <f>IF(E257="","",'I. Stream &amp; Compound Data'!$N242)</f>
        <v/>
      </c>
      <c r="H257" s="231" t="str">
        <f>IF(E257="","",'I. Stream &amp; Compound Data'!N247)</f>
        <v/>
      </c>
      <c r="I257" s="232" t="str">
        <f t="shared" si="30"/>
        <v/>
      </c>
      <c r="J257" s="230" t="str">
        <f>IF(E257="","",'I. Stream &amp; Compound Data'!O183)</f>
        <v/>
      </c>
      <c r="K257" s="233" t="str">
        <f>IF(E257="","",'I. Stream &amp; Compound Data'!O181)</f>
        <v/>
      </c>
      <c r="L257" s="213"/>
      <c r="M257" s="213"/>
      <c r="N257" s="213"/>
      <c r="O257" s="213"/>
      <c r="P257" s="213"/>
      <c r="Q257" s="213"/>
      <c r="R257" s="213"/>
      <c r="S257" s="213"/>
      <c r="T257" s="213"/>
      <c r="U257" s="213"/>
      <c r="V257" s="213"/>
      <c r="W257" s="213"/>
      <c r="X257" s="213"/>
      <c r="Y257" s="214"/>
    </row>
    <row r="258" spans="2:25" ht="18" customHeight="1" x14ac:dyDescent="0.2">
      <c r="B258" s="387"/>
      <c r="C258" s="213"/>
      <c r="D258" s="228">
        <f t="shared" si="31"/>
        <v>4</v>
      </c>
      <c r="E258" s="230" t="str">
        <f>IF(OR('I. Stream &amp; Compound Data'!R178="",'I. Stream &amp; Compound Data'!R179=0),"",'I. Stream &amp; Compound Data'!R178)</f>
        <v/>
      </c>
      <c r="F258" s="230" t="str">
        <f>IF(E258="","",'I. Stream &amp; Compound Data'!R180)</f>
        <v/>
      </c>
      <c r="G258" s="231" t="str">
        <f>IF(E258="","",'I. Stream &amp; Compound Data'!$Q242)</f>
        <v/>
      </c>
      <c r="H258" s="231" t="str">
        <f>IF(E258="","",'I. Stream &amp; Compound Data'!Q247)</f>
        <v/>
      </c>
      <c r="I258" s="232" t="str">
        <f t="shared" si="30"/>
        <v/>
      </c>
      <c r="J258" s="230" t="str">
        <f>IF(E258="","",'I. Stream &amp; Compound Data'!R183)</f>
        <v/>
      </c>
      <c r="K258" s="233" t="str">
        <f>IF(E258="","",'I. Stream &amp; Compound Data'!R181)</f>
        <v/>
      </c>
      <c r="L258" s="213"/>
      <c r="M258" s="213"/>
      <c r="N258" s="213"/>
      <c r="O258" s="213"/>
      <c r="P258" s="213"/>
      <c r="Q258" s="213"/>
      <c r="R258" s="213"/>
      <c r="S258" s="213"/>
      <c r="T258" s="213"/>
      <c r="U258" s="213"/>
      <c r="V258" s="213"/>
      <c r="W258" s="213"/>
      <c r="X258" s="213"/>
      <c r="Y258" s="214"/>
    </row>
    <row r="259" spans="2:25" ht="18" customHeight="1" x14ac:dyDescent="0.2">
      <c r="B259" s="387"/>
      <c r="C259" s="213"/>
      <c r="D259" s="228">
        <f t="shared" si="31"/>
        <v>5</v>
      </c>
      <c r="E259" s="230" t="str">
        <f>IF(OR('I. Stream &amp; Compound Data'!U178="",'I. Stream &amp; Compound Data'!U179=0),"",'I. Stream &amp; Compound Data'!U178)</f>
        <v/>
      </c>
      <c r="F259" s="230" t="str">
        <f>IF(E259="","",'I. Stream &amp; Compound Data'!U180)</f>
        <v/>
      </c>
      <c r="G259" s="231" t="str">
        <f>IF(E259="","",'I. Stream &amp; Compound Data'!$T242)</f>
        <v/>
      </c>
      <c r="H259" s="231" t="str">
        <f>IF(E259="","",'I. Stream &amp; Compound Data'!T247)</f>
        <v/>
      </c>
      <c r="I259" s="232" t="str">
        <f t="shared" si="30"/>
        <v/>
      </c>
      <c r="J259" s="230" t="str">
        <f>IF(E259="","",'I. Stream &amp; Compound Data'!U183)</f>
        <v/>
      </c>
      <c r="K259" s="233" t="str">
        <f>IF(E259="","",'I. Stream &amp; Compound Data'!U181)</f>
        <v/>
      </c>
      <c r="L259" s="213"/>
      <c r="M259" s="213"/>
      <c r="N259" s="213"/>
      <c r="O259" s="213"/>
      <c r="P259" s="213"/>
      <c r="Q259" s="213"/>
      <c r="R259" s="213"/>
      <c r="S259" s="213"/>
      <c r="T259" s="213"/>
      <c r="U259" s="213"/>
      <c r="V259" s="213"/>
      <c r="W259" s="213"/>
      <c r="X259" s="213"/>
      <c r="Y259" s="214"/>
    </row>
    <row r="260" spans="2:25" ht="18" customHeight="1" x14ac:dyDescent="0.2">
      <c r="B260" s="387"/>
      <c r="C260" s="213"/>
      <c r="D260" s="228">
        <f t="shared" si="31"/>
        <v>6</v>
      </c>
      <c r="E260" s="231" t="str">
        <f>IF(OR('I. Stream &amp; Compound Data'!X178="",'I. Stream &amp; Compound Data'!X179=0),"",'I. Stream &amp; Compound Data'!X178)</f>
        <v/>
      </c>
      <c r="F260" s="230" t="str">
        <f>IF(E260="","",'I. Stream &amp; Compound Data'!X180)</f>
        <v/>
      </c>
      <c r="G260" s="231" t="str">
        <f>IF(E260="","",'I. Stream &amp; Compound Data'!$W242)</f>
        <v/>
      </c>
      <c r="H260" s="231" t="str">
        <f>IF(E260="","",'I. Stream &amp; Compound Data'!W247)</f>
        <v/>
      </c>
      <c r="I260" s="232" t="str">
        <f t="shared" si="30"/>
        <v/>
      </c>
      <c r="J260" s="230" t="str">
        <f>IF(E260="","",'I. Stream &amp; Compound Data'!X183)</f>
        <v/>
      </c>
      <c r="K260" s="233" t="str">
        <f>IF(E260="","",'I. Stream &amp; Compound Data'!X181)</f>
        <v/>
      </c>
      <c r="L260" s="213"/>
      <c r="M260" s="213"/>
      <c r="N260" s="213"/>
      <c r="O260" s="213"/>
      <c r="P260" s="213"/>
      <c r="Q260" s="213"/>
      <c r="R260" s="213"/>
      <c r="S260" s="213"/>
      <c r="T260" s="213"/>
      <c r="U260" s="213"/>
      <c r="V260" s="213"/>
      <c r="W260" s="213"/>
      <c r="X260" s="213"/>
      <c r="Y260" s="214"/>
    </row>
    <row r="261" spans="2:25" ht="18" customHeight="1" x14ac:dyDescent="0.2">
      <c r="B261" s="387"/>
      <c r="C261" s="213"/>
      <c r="D261" s="228">
        <f t="shared" si="31"/>
        <v>7</v>
      </c>
      <c r="E261" s="231" t="str">
        <f>IF(OR('I. Stream &amp; Compound Data'!AA178="",'I. Stream &amp; Compound Data'!AA179=0),"",'I. Stream &amp; Compound Data'!AA178)</f>
        <v/>
      </c>
      <c r="F261" s="230" t="str">
        <f>IF(E261="","",'I. Stream &amp; Compound Data'!AA180)</f>
        <v/>
      </c>
      <c r="G261" s="231" t="str">
        <f>IF(E261="","",'I. Stream &amp; Compound Data'!$Z242)</f>
        <v/>
      </c>
      <c r="H261" s="231" t="str">
        <f>IF(E261="","",'I. Stream &amp; Compound Data'!Z247)</f>
        <v/>
      </c>
      <c r="I261" s="232" t="str">
        <f t="shared" si="30"/>
        <v/>
      </c>
      <c r="J261" s="230" t="str">
        <f>IF(E261="","",'I. Stream &amp; Compound Data'!AA183)</f>
        <v/>
      </c>
      <c r="K261" s="233" t="str">
        <f>IF(E261="","",'I. Stream &amp; Compound Data'!AA181)</f>
        <v/>
      </c>
      <c r="L261" s="213"/>
      <c r="M261" s="213"/>
      <c r="N261" s="213"/>
      <c r="O261" s="213"/>
      <c r="P261" s="213"/>
      <c r="Q261" s="213"/>
      <c r="R261" s="213"/>
      <c r="S261" s="213"/>
      <c r="T261" s="213"/>
      <c r="U261" s="213"/>
      <c r="V261" s="213"/>
      <c r="W261" s="213"/>
      <c r="X261" s="213"/>
      <c r="Y261" s="214"/>
    </row>
    <row r="262" spans="2:25" ht="18" customHeight="1" x14ac:dyDescent="0.2">
      <c r="B262" s="387"/>
      <c r="C262" s="213"/>
      <c r="D262" s="228">
        <f t="shared" si="31"/>
        <v>8</v>
      </c>
      <c r="E262" s="231" t="str">
        <f>IF(OR('I. Stream &amp; Compound Data'!AD178="",'I. Stream &amp; Compound Data'!AD179=0),"",'I. Stream &amp; Compound Data'!AD178)</f>
        <v/>
      </c>
      <c r="F262" s="230" t="str">
        <f>IF(E262="","",'I. Stream &amp; Compound Data'!AD180)</f>
        <v/>
      </c>
      <c r="G262" s="231" t="str">
        <f>IF(E262="","",'I. Stream &amp; Compound Data'!$AC242)</f>
        <v/>
      </c>
      <c r="H262" s="231" t="str">
        <f>IF(E262="","",'I. Stream &amp; Compound Data'!AC247)</f>
        <v/>
      </c>
      <c r="I262" s="232" t="str">
        <f t="shared" si="30"/>
        <v/>
      </c>
      <c r="J262" s="230" t="str">
        <f>IF(E262="","",'I. Stream &amp; Compound Data'!AD183)</f>
        <v/>
      </c>
      <c r="K262" s="233" t="str">
        <f>IF(E262="","",'I. Stream &amp; Compound Data'!AD181)</f>
        <v/>
      </c>
      <c r="L262" s="213"/>
      <c r="M262" s="213"/>
      <c r="N262" s="213"/>
      <c r="O262" s="213"/>
      <c r="P262" s="213"/>
      <c r="Q262" s="213"/>
      <c r="R262" s="213"/>
      <c r="S262" s="213"/>
      <c r="T262" s="213"/>
      <c r="U262" s="213"/>
      <c r="V262" s="213"/>
      <c r="W262" s="213"/>
      <c r="X262" s="213"/>
      <c r="Y262" s="214"/>
    </row>
    <row r="263" spans="2:25" ht="18" customHeight="1" x14ac:dyDescent="0.2">
      <c r="B263" s="387"/>
      <c r="C263" s="213"/>
      <c r="D263" s="228">
        <f t="shared" si="31"/>
        <v>9</v>
      </c>
      <c r="E263" s="231" t="str">
        <f>IF(OR('I. Stream &amp; Compound Data'!AG178="",'I. Stream &amp; Compound Data'!AG179=0),"",'I. Stream &amp; Compound Data'!AG178)</f>
        <v/>
      </c>
      <c r="F263" s="230" t="str">
        <f>IF(E263="","",'I. Stream &amp; Compound Data'!AG180)</f>
        <v/>
      </c>
      <c r="G263" s="231" t="str">
        <f>IF(E263="","",'I. Stream &amp; Compound Data'!$AF242)</f>
        <v/>
      </c>
      <c r="H263" s="231" t="str">
        <f>IF(E263="","",'I. Stream &amp; Compound Data'!AF247)</f>
        <v/>
      </c>
      <c r="I263" s="232" t="str">
        <f t="shared" si="30"/>
        <v/>
      </c>
      <c r="J263" s="230" t="str">
        <f>IF(E263="","",'I. Stream &amp; Compound Data'!AG183)</f>
        <v/>
      </c>
      <c r="K263" s="233" t="str">
        <f>IF(E263="","",'I. Stream &amp; Compound Data'!AG181)</f>
        <v/>
      </c>
      <c r="L263" s="213"/>
      <c r="M263" s="213"/>
      <c r="N263" s="213"/>
      <c r="O263" s="213"/>
      <c r="P263" s="213"/>
      <c r="Q263" s="213"/>
      <c r="R263" s="213"/>
      <c r="S263" s="213"/>
      <c r="T263" s="213"/>
      <c r="U263" s="213"/>
      <c r="V263" s="213"/>
      <c r="W263" s="213"/>
      <c r="X263" s="213"/>
      <c r="Y263" s="214"/>
    </row>
    <row r="264" spans="2:25" ht="18" customHeight="1" x14ac:dyDescent="0.2">
      <c r="B264" s="387"/>
      <c r="C264" s="213"/>
      <c r="D264" s="228">
        <f t="shared" si="31"/>
        <v>10</v>
      </c>
      <c r="E264" s="231" t="str">
        <f>IF(OR('I. Stream &amp; Compound Data'!AJ178="",'I. Stream &amp; Compound Data'!AJ179=0),"",'I. Stream &amp; Compound Data'!AJ178)</f>
        <v/>
      </c>
      <c r="F264" s="230" t="str">
        <f>IF(E264="","",'I. Stream &amp; Compound Data'!AJ180)</f>
        <v/>
      </c>
      <c r="G264" s="231" t="str">
        <f>IF(E264="","",'I. Stream &amp; Compound Data'!$AI242)</f>
        <v/>
      </c>
      <c r="H264" s="231" t="str">
        <f>IF(E264="","",'I. Stream &amp; Compound Data'!AI247)</f>
        <v/>
      </c>
      <c r="I264" s="232" t="str">
        <f t="shared" si="30"/>
        <v/>
      </c>
      <c r="J264" s="230" t="str">
        <f>IF(E264="","",'I. Stream &amp; Compound Data'!AJ183)</f>
        <v/>
      </c>
      <c r="K264" s="233" t="str">
        <f>IF(E264="","",'I. Stream &amp; Compound Data'!AJ181)</f>
        <v/>
      </c>
      <c r="L264" s="213"/>
      <c r="M264" s="213"/>
      <c r="N264" s="213"/>
      <c r="O264" s="213"/>
      <c r="P264" s="213"/>
      <c r="Q264" s="213"/>
      <c r="R264" s="213"/>
      <c r="S264" s="213"/>
      <c r="T264" s="213"/>
      <c r="U264" s="213"/>
      <c r="V264" s="213"/>
      <c r="W264" s="213"/>
      <c r="X264" s="213"/>
      <c r="Y264" s="214"/>
    </row>
    <row r="265" spans="2:25" ht="18" customHeight="1" x14ac:dyDescent="0.2">
      <c r="B265" s="387"/>
      <c r="C265" s="213"/>
      <c r="D265" s="228">
        <f t="shared" si="31"/>
        <v>11</v>
      </c>
      <c r="E265" s="231" t="str">
        <f>IF(OR('I. Stream &amp; Compound Data'!AM178="",'I. Stream &amp; Compound Data'!AM179=0),"",'I. Stream &amp; Compound Data'!AM178)</f>
        <v/>
      </c>
      <c r="F265" s="230" t="str">
        <f>IF(E265="","",'I. Stream &amp; Compound Data'!AM180)</f>
        <v/>
      </c>
      <c r="G265" s="230" t="str">
        <f>IF($E$265="","",'I. Stream &amp; Compound Data'!$AL242)</f>
        <v/>
      </c>
      <c r="H265" s="230" t="str">
        <f>IF($E$265="","",'I. Stream &amp; Compound Data'!AL247)</f>
        <v/>
      </c>
      <c r="I265" s="232" t="str">
        <f t="shared" si="30"/>
        <v/>
      </c>
      <c r="J265" s="230" t="str">
        <f>IF($E$265="","",'I. Stream &amp; Compound Data'!AM183)</f>
        <v/>
      </c>
      <c r="K265" s="242" t="str">
        <f>IF($E$265="","",'I. Stream &amp; Compound Data'!AM181)</f>
        <v/>
      </c>
      <c r="L265" s="213"/>
      <c r="M265" s="213"/>
      <c r="N265" s="213"/>
      <c r="O265" s="213"/>
      <c r="P265" s="213"/>
      <c r="Q265" s="213"/>
      <c r="R265" s="213"/>
      <c r="S265" s="213"/>
      <c r="T265" s="213"/>
      <c r="U265" s="213"/>
      <c r="V265" s="213"/>
      <c r="W265" s="213"/>
      <c r="X265" s="213"/>
      <c r="Y265" s="214"/>
    </row>
    <row r="266" spans="2:25" ht="18" customHeight="1" x14ac:dyDescent="0.2">
      <c r="B266" s="387"/>
      <c r="C266" s="213"/>
      <c r="D266" s="228">
        <f t="shared" si="31"/>
        <v>12</v>
      </c>
      <c r="E266" s="334" t="str">
        <f>IF(OR('I. Stream &amp; Compound Data'!AP178="",'I. Stream &amp; Compound Data'!AP179=0),"",'I. Stream &amp; Compound Data'!AP178)</f>
        <v/>
      </c>
      <c r="F266" s="230" t="str">
        <f>IF(E266="","",'I. Stream &amp; Compound Data'!AP180)</f>
        <v/>
      </c>
      <c r="G266" s="230" t="str">
        <f>IF($E$266="","",'I. Stream &amp; Compound Data'!$AO242)</f>
        <v/>
      </c>
      <c r="H266" s="230" t="str">
        <f>IF($E$266="","",'I. Stream &amp; Compound Data'!AO247)</f>
        <v/>
      </c>
      <c r="I266" s="232" t="str">
        <f t="shared" si="30"/>
        <v/>
      </c>
      <c r="J266" s="230" t="str">
        <f>IF($E$266="","",'I. Stream &amp; Compound Data'!AP183)</f>
        <v/>
      </c>
      <c r="K266" s="242" t="str">
        <f>IF($E$266="","",'I. Stream &amp; Compound Data'!AP181)</f>
        <v/>
      </c>
      <c r="L266" s="213"/>
      <c r="M266" s="213"/>
      <c r="N266" s="213"/>
      <c r="O266" s="213"/>
      <c r="P266" s="213"/>
      <c r="Q266" s="213"/>
      <c r="R266" s="213"/>
      <c r="S266" s="213"/>
      <c r="T266" s="213"/>
      <c r="U266" s="213"/>
      <c r="V266" s="213"/>
      <c r="W266" s="213"/>
      <c r="X266" s="213"/>
      <c r="Y266" s="214"/>
    </row>
    <row r="267" spans="2:25" ht="18" customHeight="1" x14ac:dyDescent="0.2">
      <c r="B267" s="387"/>
      <c r="C267" s="213"/>
      <c r="D267" s="228">
        <f t="shared" si="31"/>
        <v>13</v>
      </c>
      <c r="E267" s="231" t="str">
        <f>IF(OR('I. Stream &amp; Compound Data'!AS178="",'I. Stream &amp; Compound Data'!AS179=0),"",'I. Stream &amp; Compound Data'!AS178)</f>
        <v/>
      </c>
      <c r="F267" s="230" t="str">
        <f>IF(E267="","",'I. Stream &amp; Compound Data'!AS180)</f>
        <v/>
      </c>
      <c r="G267" s="230" t="str">
        <f>IF($E$267="","",'I. Stream &amp; Compound Data'!$AR242)</f>
        <v/>
      </c>
      <c r="H267" s="230" t="str">
        <f>IF($E$267="","",'I. Stream &amp; Compound Data'!AR247)</f>
        <v/>
      </c>
      <c r="I267" s="232" t="str">
        <f t="shared" si="30"/>
        <v/>
      </c>
      <c r="J267" s="230" t="str">
        <f>IF($E$267="","",'I. Stream &amp; Compound Data'!AS183)</f>
        <v/>
      </c>
      <c r="K267" s="242" t="str">
        <f>IF($E$267="","",'I. Stream &amp; Compound Data'!AS181)</f>
        <v/>
      </c>
      <c r="L267" s="213"/>
      <c r="M267" s="213"/>
      <c r="N267" s="213"/>
      <c r="O267" s="213"/>
      <c r="P267" s="213"/>
      <c r="Q267" s="213"/>
      <c r="R267" s="213"/>
      <c r="S267" s="213"/>
      <c r="T267" s="213"/>
      <c r="U267" s="213"/>
      <c r="V267" s="213"/>
      <c r="W267" s="213"/>
      <c r="X267" s="213"/>
      <c r="Y267" s="214"/>
    </row>
    <row r="268" spans="2:25" ht="18" customHeight="1" x14ac:dyDescent="0.2">
      <c r="B268" s="387"/>
      <c r="C268" s="213"/>
      <c r="D268" s="228">
        <f t="shared" si="31"/>
        <v>14</v>
      </c>
      <c r="E268" s="231" t="str">
        <f>IF(OR('I. Stream &amp; Compound Data'!AV178="",'I. Stream &amp; Compound Data'!AV179=0),"",'I. Stream &amp; Compound Data'!AV178)</f>
        <v/>
      </c>
      <c r="F268" s="230" t="str">
        <f>IF(E268="","",'I. Stream &amp; Compound Data'!AV180)</f>
        <v/>
      </c>
      <c r="G268" s="230" t="str">
        <f>IF($E$268="","",'I. Stream &amp; Compound Data'!$AU242)</f>
        <v/>
      </c>
      <c r="H268" s="230" t="str">
        <f>IF($E$268="","",'I. Stream &amp; Compound Data'!AU247)</f>
        <v/>
      </c>
      <c r="I268" s="232" t="str">
        <f t="shared" si="30"/>
        <v/>
      </c>
      <c r="J268" s="230" t="str">
        <f>IF($E$268="","",'I. Stream &amp; Compound Data'!AV183)</f>
        <v/>
      </c>
      <c r="K268" s="242" t="str">
        <f>IF($E$268="","",'I. Stream &amp; Compound Data'!AV181)</f>
        <v/>
      </c>
      <c r="L268" s="213"/>
      <c r="M268" s="213"/>
      <c r="N268" s="213"/>
      <c r="O268" s="213"/>
      <c r="P268" s="213"/>
      <c r="Q268" s="213"/>
      <c r="R268" s="213"/>
      <c r="S268" s="213"/>
      <c r="T268" s="213"/>
      <c r="U268" s="213"/>
      <c r="V268" s="213"/>
      <c r="W268" s="213"/>
      <c r="X268" s="213"/>
      <c r="Y268" s="214"/>
    </row>
    <row r="269" spans="2:25" ht="18" customHeight="1" x14ac:dyDescent="0.2">
      <c r="B269" s="387"/>
      <c r="C269" s="213"/>
      <c r="D269" s="228">
        <f t="shared" si="31"/>
        <v>15</v>
      </c>
      <c r="E269" s="231" t="str">
        <f>IF(OR('I. Stream &amp; Compound Data'!AY178="",'I. Stream &amp; Compound Data'!AY179=0),"",'I. Stream &amp; Compound Data'!AY178)</f>
        <v/>
      </c>
      <c r="F269" s="230" t="str">
        <f>IF(E269="","",'I. Stream &amp; Compound Data'!AY180)</f>
        <v/>
      </c>
      <c r="G269" s="230" t="str">
        <f>IF($E$269="","",'I. Stream &amp; Compound Data'!$AX242)</f>
        <v/>
      </c>
      <c r="H269" s="230" t="str">
        <f>IF($E$269="","",'I. Stream &amp; Compound Data'!AX247)</f>
        <v/>
      </c>
      <c r="I269" s="232" t="str">
        <f t="shared" si="30"/>
        <v/>
      </c>
      <c r="J269" s="230" t="str">
        <f>IF($E$269="","",'I. Stream &amp; Compound Data'!AY183)</f>
        <v/>
      </c>
      <c r="K269" s="242" t="str">
        <f>IF($E$269="","",'I. Stream &amp; Compound Data'!AY181)</f>
        <v/>
      </c>
      <c r="L269" s="213"/>
      <c r="M269" s="213"/>
      <c r="N269" s="213"/>
      <c r="O269" s="213"/>
      <c r="P269" s="213"/>
      <c r="Q269" s="213"/>
      <c r="R269" s="213"/>
      <c r="S269" s="213"/>
      <c r="T269" s="213"/>
      <c r="U269" s="213"/>
      <c r="V269" s="213"/>
      <c r="W269" s="213"/>
      <c r="X269" s="213"/>
      <c r="Y269" s="214"/>
    </row>
    <row r="270" spans="2:25" ht="18" customHeight="1" x14ac:dyDescent="0.2">
      <c r="B270" s="387"/>
      <c r="C270" s="213"/>
      <c r="D270" s="228">
        <f t="shared" si="31"/>
        <v>16</v>
      </c>
      <c r="E270" s="231" t="str">
        <f>IF(OR('I. Stream &amp; Compound Data'!BB178="",'I. Stream &amp; Compound Data'!BB179=0),"",'I. Stream &amp; Compound Data'!BB178)</f>
        <v/>
      </c>
      <c r="F270" s="230" t="str">
        <f>IF(E270="","",'I. Stream &amp; Compound Data'!BB180)</f>
        <v/>
      </c>
      <c r="G270" s="230" t="str">
        <f>IF($E$270="","",'I. Stream &amp; Compound Data'!$BA242)</f>
        <v/>
      </c>
      <c r="H270" s="230" t="str">
        <f>IF($E$270="","",'I. Stream &amp; Compound Data'!BA247)</f>
        <v/>
      </c>
      <c r="I270" s="232" t="str">
        <f t="shared" si="30"/>
        <v/>
      </c>
      <c r="J270" s="230" t="str">
        <f>IF($E$270="","",'I. Stream &amp; Compound Data'!BB183)</f>
        <v/>
      </c>
      <c r="K270" s="242" t="str">
        <f>IF($E$270="","",'I. Stream &amp; Compound Data'!BB181)</f>
        <v/>
      </c>
      <c r="L270" s="213"/>
      <c r="M270" s="213"/>
      <c r="N270" s="213"/>
      <c r="O270" s="213"/>
      <c r="P270" s="213"/>
      <c r="Q270" s="213"/>
      <c r="R270" s="213"/>
      <c r="S270" s="213"/>
      <c r="T270" s="213"/>
      <c r="U270" s="213"/>
      <c r="V270" s="213"/>
      <c r="W270" s="213"/>
      <c r="X270" s="213"/>
      <c r="Y270" s="214"/>
    </row>
    <row r="271" spans="2:25" ht="18" customHeight="1" x14ac:dyDescent="0.2">
      <c r="B271" s="387"/>
      <c r="C271" s="213"/>
      <c r="D271" s="228">
        <f t="shared" si="31"/>
        <v>17</v>
      </c>
      <c r="E271" s="231" t="str">
        <f>IF(OR('I. Stream &amp; Compound Data'!BE178="",'I. Stream &amp; Compound Data'!BE179=0),"",'I. Stream &amp; Compound Data'!BE178)</f>
        <v/>
      </c>
      <c r="F271" s="230" t="str">
        <f>IF(E271="","",'I. Stream &amp; Compound Data'!BE180)</f>
        <v/>
      </c>
      <c r="G271" s="230" t="str">
        <f>IF($E$271="","",'I. Stream &amp; Compound Data'!$BD242)</f>
        <v/>
      </c>
      <c r="H271" s="230" t="str">
        <f>IF($E$271="","",'I. Stream &amp; Compound Data'!BD247)</f>
        <v/>
      </c>
      <c r="I271" s="232" t="str">
        <f t="shared" si="30"/>
        <v/>
      </c>
      <c r="J271" s="230" t="str">
        <f>IF($E$271="","",'I. Stream &amp; Compound Data'!BE183)</f>
        <v/>
      </c>
      <c r="K271" s="242" t="str">
        <f>IF($E$271="","",'I. Stream &amp; Compound Data'!BE181)</f>
        <v/>
      </c>
      <c r="L271" s="213"/>
      <c r="M271" s="213"/>
      <c r="N271" s="213"/>
      <c r="O271" s="213"/>
      <c r="P271" s="213"/>
      <c r="Q271" s="213"/>
      <c r="R271" s="213"/>
      <c r="S271" s="213"/>
      <c r="T271" s="213"/>
      <c r="U271" s="213"/>
      <c r="V271" s="213"/>
      <c r="W271" s="213"/>
      <c r="X271" s="213"/>
      <c r="Y271" s="214"/>
    </row>
    <row r="272" spans="2:25" ht="18" customHeight="1" x14ac:dyDescent="0.2">
      <c r="B272" s="387"/>
      <c r="C272" s="213"/>
      <c r="D272" s="228">
        <f t="shared" si="31"/>
        <v>18</v>
      </c>
      <c r="E272" s="231" t="str">
        <f>IF(OR('I. Stream &amp; Compound Data'!BH178="",'I. Stream &amp; Compound Data'!BH179=0),"",'I. Stream &amp; Compound Data'!BH178)</f>
        <v/>
      </c>
      <c r="F272" s="230" t="str">
        <f>IF(E272="","",'I. Stream &amp; Compound Data'!BH180)</f>
        <v/>
      </c>
      <c r="G272" s="230" t="str">
        <f>IF($E$272="","",'I. Stream &amp; Compound Data'!$BG242)</f>
        <v/>
      </c>
      <c r="H272" s="230" t="str">
        <f>IF($E$272="","",'I. Stream &amp; Compound Data'!BG247)</f>
        <v/>
      </c>
      <c r="I272" s="232" t="str">
        <f t="shared" si="30"/>
        <v/>
      </c>
      <c r="J272" s="230" t="str">
        <f>IF($E$272="","",'I. Stream &amp; Compound Data'!BH183)</f>
        <v/>
      </c>
      <c r="K272" s="242" t="str">
        <f>IF($E$272="","",'I. Stream &amp; Compound Data'!BH181)</f>
        <v/>
      </c>
      <c r="L272" s="213"/>
      <c r="M272" s="213"/>
      <c r="N272" s="213"/>
      <c r="O272" s="213"/>
      <c r="P272" s="213"/>
      <c r="Q272" s="213"/>
      <c r="R272" s="213"/>
      <c r="S272" s="213"/>
      <c r="T272" s="213"/>
      <c r="U272" s="213"/>
      <c r="V272" s="213"/>
      <c r="W272" s="213"/>
      <c r="X272" s="213"/>
      <c r="Y272" s="214"/>
    </row>
    <row r="273" spans="2:25" ht="18" customHeight="1" x14ac:dyDescent="0.2">
      <c r="B273" s="387"/>
      <c r="C273" s="213"/>
      <c r="D273" s="228">
        <f t="shared" si="31"/>
        <v>19</v>
      </c>
      <c r="E273" s="231" t="str">
        <f>IF(OR('I. Stream &amp; Compound Data'!BK178="",'I. Stream &amp; Compound Data'!BK179=0),"",'I. Stream &amp; Compound Data'!BK178)</f>
        <v/>
      </c>
      <c r="F273" s="230" t="str">
        <f>IF(E273="","",'I. Stream &amp; Compound Data'!BK180)</f>
        <v/>
      </c>
      <c r="G273" s="230" t="str">
        <f>IF($E$273="","",'I. Stream &amp; Compound Data'!$BJ242)</f>
        <v/>
      </c>
      <c r="H273" s="230" t="str">
        <f>IF($E$273="","",'I. Stream &amp; Compound Data'!BJ247)</f>
        <v/>
      </c>
      <c r="I273" s="232" t="str">
        <f t="shared" si="30"/>
        <v/>
      </c>
      <c r="J273" s="230" t="str">
        <f>IF($E$273="","",'I. Stream &amp; Compound Data'!BK183)</f>
        <v/>
      </c>
      <c r="K273" s="242" t="str">
        <f>IF($E$273="","",'I. Stream &amp; Compound Data'!BK181)</f>
        <v/>
      </c>
      <c r="L273" s="213"/>
      <c r="M273" s="213"/>
      <c r="N273" s="213"/>
      <c r="O273" s="213"/>
      <c r="P273" s="213"/>
      <c r="Q273" s="213"/>
      <c r="R273" s="213"/>
      <c r="S273" s="213"/>
      <c r="T273" s="213"/>
      <c r="U273" s="213"/>
      <c r="V273" s="213"/>
      <c r="W273" s="213"/>
      <c r="X273" s="213"/>
      <c r="Y273" s="214"/>
    </row>
    <row r="274" spans="2:25" ht="18" customHeight="1" x14ac:dyDescent="0.2">
      <c r="B274" s="387"/>
      <c r="C274" s="213"/>
      <c r="D274" s="228">
        <f t="shared" si="31"/>
        <v>20</v>
      </c>
      <c r="E274" s="231" t="str">
        <f>IF(OR('I. Stream &amp; Compound Data'!BN178="",'I. Stream &amp; Compound Data'!BN179=0),"",'I. Stream &amp; Compound Data'!BN178)</f>
        <v/>
      </c>
      <c r="F274" s="230" t="str">
        <f>IF(E274="","",'I. Stream &amp; Compound Data'!BN180)</f>
        <v/>
      </c>
      <c r="G274" s="230" t="str">
        <f>IF($E$274="","",'I. Stream &amp; Compound Data'!$BM242)</f>
        <v/>
      </c>
      <c r="H274" s="230" t="str">
        <f>IF($E$274="","",'I. Stream &amp; Compound Data'!BM247)</f>
        <v/>
      </c>
      <c r="I274" s="232" t="str">
        <f t="shared" si="30"/>
        <v/>
      </c>
      <c r="J274" s="230" t="str">
        <f>IF($E$274="","",'I. Stream &amp; Compound Data'!BN183)</f>
        <v/>
      </c>
      <c r="K274" s="242" t="str">
        <f>IF($E$274="","",'I. Stream &amp; Compound Data'!BN181)</f>
        <v/>
      </c>
      <c r="L274" s="213"/>
      <c r="M274" s="213"/>
      <c r="N274" s="213"/>
      <c r="O274" s="213"/>
      <c r="P274" s="213"/>
      <c r="Q274" s="213"/>
      <c r="R274" s="213"/>
      <c r="S274" s="213"/>
      <c r="T274" s="213"/>
      <c r="U274" s="213"/>
      <c r="V274" s="213"/>
      <c r="W274" s="213"/>
      <c r="X274" s="213"/>
      <c r="Y274" s="214"/>
    </row>
    <row r="275" spans="2:25" ht="18" customHeight="1" x14ac:dyDescent="0.2">
      <c r="B275" s="387"/>
      <c r="C275" s="213"/>
      <c r="D275" s="228">
        <f t="shared" si="31"/>
        <v>21</v>
      </c>
      <c r="E275" s="231" t="str">
        <f>IF(OR('I. Stream &amp; Compound Data'!BQ178="",'I. Stream &amp; Compound Data'!BQ179=0),"",'I. Stream &amp; Compound Data'!BQ178)</f>
        <v/>
      </c>
      <c r="F275" s="230" t="str">
        <f>IF(E275="","",'I. Stream &amp; Compound Data'!BQ180)</f>
        <v/>
      </c>
      <c r="G275" s="230" t="str">
        <f>IF($E$275="","",'I. Stream &amp; Compound Data'!$BP242)</f>
        <v/>
      </c>
      <c r="H275" s="230" t="str">
        <f>IF($E$275="","",'I. Stream &amp; Compound Data'!BP247)</f>
        <v/>
      </c>
      <c r="I275" s="232" t="str">
        <f t="shared" si="30"/>
        <v/>
      </c>
      <c r="J275" s="230" t="str">
        <f>IF($E$275="","",'I. Stream &amp; Compound Data'!BQ183)</f>
        <v/>
      </c>
      <c r="K275" s="242" t="str">
        <f>IF($E$275="","",'I. Stream &amp; Compound Data'!BQ181)</f>
        <v/>
      </c>
      <c r="L275" s="213"/>
      <c r="M275" s="213"/>
      <c r="N275" s="213"/>
      <c r="O275" s="213"/>
      <c r="P275" s="213"/>
      <c r="Q275" s="213"/>
      <c r="R275" s="213"/>
      <c r="S275" s="213"/>
      <c r="T275" s="213"/>
      <c r="U275" s="213"/>
      <c r="V275" s="213"/>
      <c r="W275" s="213"/>
      <c r="X275" s="213"/>
      <c r="Y275" s="214"/>
    </row>
    <row r="276" spans="2:25" ht="18" customHeight="1" x14ac:dyDescent="0.2">
      <c r="B276" s="387"/>
      <c r="C276" s="213"/>
      <c r="D276" s="228">
        <f t="shared" si="31"/>
        <v>22</v>
      </c>
      <c r="E276" s="231" t="str">
        <f>IF(OR('I. Stream &amp; Compound Data'!BT178="",'I. Stream &amp; Compound Data'!BT179=0),"",'I. Stream &amp; Compound Data'!BT178)</f>
        <v/>
      </c>
      <c r="F276" s="230" t="str">
        <f>IF(E276="","",'I. Stream &amp; Compound Data'!BT180)</f>
        <v/>
      </c>
      <c r="G276" s="230" t="str">
        <f>IF($E$276="","",'I. Stream &amp; Compound Data'!$BS242)</f>
        <v/>
      </c>
      <c r="H276" s="230" t="str">
        <f>IF($E$276="","",'I. Stream &amp; Compound Data'!BS247)</f>
        <v/>
      </c>
      <c r="I276" s="232" t="str">
        <f t="shared" si="30"/>
        <v/>
      </c>
      <c r="J276" s="230" t="str">
        <f>IF($E$276="","",'I. Stream &amp; Compound Data'!BT183)</f>
        <v/>
      </c>
      <c r="K276" s="242" t="str">
        <f>IF($E$276="","",'I. Stream &amp; Compound Data'!BT181)</f>
        <v/>
      </c>
      <c r="L276" s="213"/>
      <c r="M276" s="213"/>
      <c r="N276" s="213"/>
      <c r="O276" s="213"/>
      <c r="P276" s="213"/>
      <c r="Q276" s="213"/>
      <c r="R276" s="213"/>
      <c r="S276" s="213"/>
      <c r="T276" s="213"/>
      <c r="U276" s="213"/>
      <c r="V276" s="213"/>
      <c r="W276" s="213"/>
      <c r="X276" s="213"/>
      <c r="Y276" s="214"/>
    </row>
    <row r="277" spans="2:25" ht="18" customHeight="1" x14ac:dyDescent="0.2">
      <c r="B277" s="387"/>
      <c r="C277" s="213"/>
      <c r="D277" s="228">
        <f t="shared" si="31"/>
        <v>23</v>
      </c>
      <c r="E277" s="231" t="str">
        <f>IF(OR('I. Stream &amp; Compound Data'!BW178="",'I. Stream &amp; Compound Data'!BW179=0),"",'I. Stream &amp; Compound Data'!BW178)</f>
        <v/>
      </c>
      <c r="F277" s="230" t="str">
        <f>IF(E277="","",'I. Stream &amp; Compound Data'!BW180)</f>
        <v/>
      </c>
      <c r="G277" s="230" t="str">
        <f>IF($E$277="","",'I. Stream &amp; Compound Data'!$BV242)</f>
        <v/>
      </c>
      <c r="H277" s="230" t="str">
        <f>IF($E$277="","",'I. Stream &amp; Compound Data'!BV247)</f>
        <v/>
      </c>
      <c r="I277" s="232" t="str">
        <f t="shared" si="30"/>
        <v/>
      </c>
      <c r="J277" s="230" t="str">
        <f>IF($E$277="","",'I. Stream &amp; Compound Data'!BW183)</f>
        <v/>
      </c>
      <c r="K277" s="242" t="str">
        <f>IF($E$277="","",'I. Stream &amp; Compound Data'!BW181)</f>
        <v/>
      </c>
      <c r="L277" s="213"/>
      <c r="M277" s="213"/>
      <c r="N277" s="213"/>
      <c r="O277" s="213"/>
      <c r="P277" s="213"/>
      <c r="Q277" s="213"/>
      <c r="R277" s="213"/>
      <c r="S277" s="213"/>
      <c r="T277" s="213"/>
      <c r="U277" s="213"/>
      <c r="V277" s="213"/>
      <c r="W277" s="213"/>
      <c r="X277" s="213"/>
      <c r="Y277" s="214"/>
    </row>
    <row r="278" spans="2:25" ht="18" customHeight="1" x14ac:dyDescent="0.2">
      <c r="B278" s="387"/>
      <c r="C278" s="213"/>
      <c r="D278" s="228">
        <f t="shared" si="31"/>
        <v>24</v>
      </c>
      <c r="E278" s="231" t="str">
        <f>IF(OR('I. Stream &amp; Compound Data'!BZ178="",'I. Stream &amp; Compound Data'!BZ179=0),"",'I. Stream &amp; Compound Data'!BZ178)</f>
        <v/>
      </c>
      <c r="F278" s="230" t="str">
        <f>IF(E278="","",'I. Stream &amp; Compound Data'!BZ180)</f>
        <v/>
      </c>
      <c r="G278" s="230" t="str">
        <f>IF($E$278="","",'I. Stream &amp; Compound Data'!$BY242)</f>
        <v/>
      </c>
      <c r="H278" s="230" t="str">
        <f>IF($E$278="","",'I. Stream &amp; Compound Data'!BY247)</f>
        <v/>
      </c>
      <c r="I278" s="232" t="str">
        <f t="shared" si="30"/>
        <v/>
      </c>
      <c r="J278" s="230" t="str">
        <f>IF($E$278="","",'I. Stream &amp; Compound Data'!BZ183)</f>
        <v/>
      </c>
      <c r="K278" s="242" t="str">
        <f>IF($E$278="","",'I. Stream &amp; Compound Data'!BZ181)</f>
        <v/>
      </c>
      <c r="L278" s="213"/>
      <c r="M278" s="213"/>
      <c r="N278" s="213"/>
      <c r="O278" s="213"/>
      <c r="P278" s="213"/>
      <c r="Q278" s="213"/>
      <c r="R278" s="213"/>
      <c r="S278" s="213"/>
      <c r="T278" s="213"/>
      <c r="U278" s="213"/>
      <c r="V278" s="213"/>
      <c r="W278" s="213"/>
      <c r="X278" s="213"/>
      <c r="Y278" s="214"/>
    </row>
    <row r="279" spans="2:25" ht="18" customHeight="1" x14ac:dyDescent="0.2">
      <c r="B279" s="387"/>
      <c r="C279" s="213"/>
      <c r="D279" s="228">
        <f t="shared" si="31"/>
        <v>25</v>
      </c>
      <c r="E279" s="231" t="str">
        <f>IF(OR('I. Stream &amp; Compound Data'!CC178="",'I. Stream &amp; Compound Data'!CC179=0),"",'I. Stream &amp; Compound Data'!CC178)</f>
        <v/>
      </c>
      <c r="F279" s="230" t="str">
        <f>IF(E279="","",'I. Stream &amp; Compound Data'!CC180)</f>
        <v/>
      </c>
      <c r="G279" s="230" t="str">
        <f>IF($E$279="","",'I. Stream &amp; Compound Data'!$CB242)</f>
        <v/>
      </c>
      <c r="H279" s="230" t="str">
        <f>IF($E$279="","",'I. Stream &amp; Compound Data'!CB247)</f>
        <v/>
      </c>
      <c r="I279" s="232" t="str">
        <f t="shared" si="30"/>
        <v/>
      </c>
      <c r="J279" s="230" t="str">
        <f>IF($E$279="","",'I. Stream &amp; Compound Data'!CC183)</f>
        <v/>
      </c>
      <c r="K279" s="242" t="str">
        <f>IF($E$279="","",'I. Stream &amp; Compound Data'!CC181)</f>
        <v/>
      </c>
      <c r="L279" s="213"/>
      <c r="M279" s="213"/>
      <c r="N279" s="213"/>
      <c r="O279" s="213"/>
      <c r="P279" s="213"/>
      <c r="Q279" s="213"/>
      <c r="R279" s="213"/>
      <c r="S279" s="213"/>
      <c r="T279" s="213"/>
      <c r="U279" s="213"/>
      <c r="V279" s="213"/>
      <c r="W279" s="213"/>
      <c r="X279" s="213"/>
      <c r="Y279" s="214"/>
    </row>
    <row r="280" spans="2:25" ht="18" customHeight="1" x14ac:dyDescent="0.2">
      <c r="B280" s="387"/>
      <c r="C280" s="213"/>
      <c r="D280" s="228">
        <f t="shared" si="31"/>
        <v>26</v>
      </c>
      <c r="E280" s="231" t="str">
        <f>IF(OR('I. Stream &amp; Compound Data'!CF178="",'I. Stream &amp; Compound Data'!CF179=0),"",'I. Stream &amp; Compound Data'!CF178)</f>
        <v/>
      </c>
      <c r="F280" s="230" t="str">
        <f>IF(E280="","",'I. Stream &amp; Compound Data'!CF180)</f>
        <v/>
      </c>
      <c r="G280" s="230" t="str">
        <f>IF($E$280="","",'I. Stream &amp; Compound Data'!$CE242)</f>
        <v/>
      </c>
      <c r="H280" s="230" t="str">
        <f>IF($E$280="","",'I. Stream &amp; Compound Data'!CE247)</f>
        <v/>
      </c>
      <c r="I280" s="232" t="str">
        <f t="shared" si="30"/>
        <v/>
      </c>
      <c r="J280" s="230" t="str">
        <f>IF($E$280="","",'I. Stream &amp; Compound Data'!CF183)</f>
        <v/>
      </c>
      <c r="K280" s="242" t="str">
        <f>IF($E$280="","",'I. Stream &amp; Compound Data'!CF181)</f>
        <v/>
      </c>
      <c r="L280" s="213"/>
      <c r="M280" s="213"/>
      <c r="N280" s="213"/>
      <c r="O280" s="213"/>
      <c r="P280" s="213"/>
      <c r="Q280" s="213"/>
      <c r="R280" s="213"/>
      <c r="S280" s="213"/>
      <c r="T280" s="213"/>
      <c r="U280" s="213"/>
      <c r="V280" s="213"/>
      <c r="W280" s="213"/>
      <c r="X280" s="213"/>
      <c r="Y280" s="214"/>
    </row>
    <row r="281" spans="2:25" ht="18" customHeight="1" x14ac:dyDescent="0.2">
      <c r="B281" s="387"/>
      <c r="C281" s="213"/>
      <c r="D281" s="228">
        <f t="shared" si="31"/>
        <v>27</v>
      </c>
      <c r="E281" s="231" t="str">
        <f>IF(OR('I. Stream &amp; Compound Data'!CI178="",'I. Stream &amp; Compound Data'!CI179=0),"",'I. Stream &amp; Compound Data'!CI178)</f>
        <v/>
      </c>
      <c r="F281" s="230" t="str">
        <f>IF(E281="","",'I. Stream &amp; Compound Data'!CI180)</f>
        <v/>
      </c>
      <c r="G281" s="230" t="str">
        <f>IF($E$281="","",'I. Stream &amp; Compound Data'!$CH242)</f>
        <v/>
      </c>
      <c r="H281" s="230" t="str">
        <f>IF($E$281="","",'I. Stream &amp; Compound Data'!CH247)</f>
        <v/>
      </c>
      <c r="I281" s="232" t="str">
        <f t="shared" si="30"/>
        <v/>
      </c>
      <c r="J281" s="230" t="str">
        <f>IF($E$281="","",'I. Stream &amp; Compound Data'!CI183)</f>
        <v/>
      </c>
      <c r="K281" s="242" t="str">
        <f>IF($E$281="","",'I. Stream &amp; Compound Data'!CI181)</f>
        <v/>
      </c>
      <c r="L281" s="213"/>
      <c r="M281" s="213"/>
      <c r="N281" s="213"/>
      <c r="O281" s="213"/>
      <c r="P281" s="213"/>
      <c r="Q281" s="213"/>
      <c r="R281" s="213"/>
      <c r="S281" s="213"/>
      <c r="T281" s="213"/>
      <c r="U281" s="213"/>
      <c r="V281" s="213"/>
      <c r="W281" s="213"/>
      <c r="X281" s="213"/>
      <c r="Y281" s="214"/>
    </row>
    <row r="282" spans="2:25" ht="18" customHeight="1" x14ac:dyDescent="0.2">
      <c r="B282" s="387"/>
      <c r="C282" s="213"/>
      <c r="D282" s="228">
        <f t="shared" si="31"/>
        <v>28</v>
      </c>
      <c r="E282" s="231" t="str">
        <f>IF(OR('I. Stream &amp; Compound Data'!CL178="",'I. Stream &amp; Compound Data'!CL179=0),"",'I. Stream &amp; Compound Data'!CL178)</f>
        <v/>
      </c>
      <c r="F282" s="230" t="str">
        <f>IF(E282="","",'I. Stream &amp; Compound Data'!CL180)</f>
        <v/>
      </c>
      <c r="G282" s="230" t="str">
        <f>IF($E$282="","",'I. Stream &amp; Compound Data'!$CK242)</f>
        <v/>
      </c>
      <c r="H282" s="230" t="str">
        <f>IF($E$282="","",'I. Stream &amp; Compound Data'!CK247)</f>
        <v/>
      </c>
      <c r="I282" s="232" t="str">
        <f t="shared" si="30"/>
        <v/>
      </c>
      <c r="J282" s="230" t="str">
        <f>IF($E$282="","",'I. Stream &amp; Compound Data'!CL183)</f>
        <v/>
      </c>
      <c r="K282" s="242" t="str">
        <f>IF($E$282="","",'I. Stream &amp; Compound Data'!CL181)</f>
        <v/>
      </c>
      <c r="L282" s="213"/>
      <c r="M282" s="213"/>
      <c r="N282" s="213"/>
      <c r="O282" s="213"/>
      <c r="P282" s="213"/>
      <c r="Q282" s="213"/>
      <c r="R282" s="213"/>
      <c r="S282" s="213"/>
      <c r="T282" s="213"/>
      <c r="U282" s="213"/>
      <c r="V282" s="213"/>
      <c r="W282" s="213"/>
      <c r="X282" s="213"/>
      <c r="Y282" s="214"/>
    </row>
    <row r="283" spans="2:25" ht="18" customHeight="1" x14ac:dyDescent="0.2">
      <c r="B283" s="387"/>
      <c r="C283" s="213"/>
      <c r="D283" s="228">
        <f t="shared" si="31"/>
        <v>29</v>
      </c>
      <c r="E283" s="231" t="str">
        <f>IF(OR('I. Stream &amp; Compound Data'!CO178="",'I. Stream &amp; Compound Data'!CO179=0),"",'I. Stream &amp; Compound Data'!CO178)</f>
        <v/>
      </c>
      <c r="F283" s="230" t="str">
        <f>IF(E283="","",'I. Stream &amp; Compound Data'!CO180)</f>
        <v/>
      </c>
      <c r="G283" s="230" t="str">
        <f>IF($E$283="","",'I. Stream &amp; Compound Data'!$CN242)</f>
        <v/>
      </c>
      <c r="H283" s="230" t="str">
        <f>IF($E$283="","",'I. Stream &amp; Compound Data'!CN247)</f>
        <v/>
      </c>
      <c r="I283" s="232" t="str">
        <f t="shared" si="30"/>
        <v/>
      </c>
      <c r="J283" s="230" t="str">
        <f>IF($E$283="","",'I. Stream &amp; Compound Data'!CO183)</f>
        <v/>
      </c>
      <c r="K283" s="242" t="str">
        <f>IF($E$283="","",'I. Stream &amp; Compound Data'!CO181)</f>
        <v/>
      </c>
      <c r="L283" s="213"/>
      <c r="M283" s="213"/>
      <c r="N283" s="213"/>
      <c r="O283" s="213"/>
      <c r="P283" s="213"/>
      <c r="Q283" s="213"/>
      <c r="R283" s="213"/>
      <c r="S283" s="213"/>
      <c r="T283" s="213"/>
      <c r="U283" s="213"/>
      <c r="V283" s="213"/>
      <c r="W283" s="213"/>
      <c r="X283" s="213"/>
      <c r="Y283" s="214"/>
    </row>
    <row r="284" spans="2:25" ht="18" customHeight="1" x14ac:dyDescent="0.2">
      <c r="B284" s="387"/>
      <c r="C284" s="213"/>
      <c r="D284" s="228">
        <f t="shared" si="31"/>
        <v>30</v>
      </c>
      <c r="E284" s="231" t="str">
        <f>IF(OR('I. Stream &amp; Compound Data'!CR178="",'I. Stream &amp; Compound Data'!CR179=0),"",'I. Stream &amp; Compound Data'!CR178)</f>
        <v/>
      </c>
      <c r="F284" s="230" t="str">
        <f>IF(E284="","",'I. Stream &amp; Compound Data'!CR180)</f>
        <v/>
      </c>
      <c r="G284" s="230" t="str">
        <f>IF($E$284="","",'I. Stream &amp; Compound Data'!$CQ242)</f>
        <v/>
      </c>
      <c r="H284" s="230" t="str">
        <f>IF($E$284="","",'I. Stream &amp; Compound Data'!CQ247)</f>
        <v/>
      </c>
      <c r="I284" s="232" t="str">
        <f t="shared" si="30"/>
        <v/>
      </c>
      <c r="J284" s="230" t="str">
        <f>IF($E$284="","",'I. Stream &amp; Compound Data'!CR183)</f>
        <v/>
      </c>
      <c r="K284" s="242" t="str">
        <f>IF($E$284="","",'I. Stream &amp; Compound Data'!CR181)</f>
        <v/>
      </c>
      <c r="L284" s="213"/>
      <c r="M284" s="213"/>
      <c r="N284" s="213"/>
      <c r="O284" s="213"/>
      <c r="P284" s="243"/>
      <c r="Q284" s="243"/>
      <c r="R284" s="213"/>
      <c r="S284" s="213"/>
      <c r="T284" s="213"/>
      <c r="U284" s="213"/>
      <c r="V284" s="213"/>
      <c r="W284" s="213"/>
      <c r="X284" s="213"/>
      <c r="Y284" s="214"/>
    </row>
    <row r="285" spans="2:25" ht="18" customHeight="1" x14ac:dyDescent="0.2">
      <c r="B285" s="387"/>
      <c r="C285" s="213"/>
      <c r="D285" s="228">
        <f t="shared" si="31"/>
        <v>31</v>
      </c>
      <c r="E285" s="231" t="str">
        <f>IF(OR('I. Stream &amp; Compound Data'!CU178="",'I. Stream &amp; Compound Data'!CU179=0),"",'I. Stream &amp; Compound Data'!CU178)</f>
        <v/>
      </c>
      <c r="F285" s="230" t="str">
        <f>IF(E285="","",'I. Stream &amp; Compound Data'!CU180)</f>
        <v/>
      </c>
      <c r="G285" s="230" t="str">
        <f>IF($E$285="","",'I. Stream &amp; Compound Data'!$CT242)</f>
        <v/>
      </c>
      <c r="H285" s="230" t="str">
        <f>IF($E$285="","",'I. Stream &amp; Compound Data'!CT247)</f>
        <v/>
      </c>
      <c r="I285" s="232" t="str">
        <f t="shared" si="30"/>
        <v/>
      </c>
      <c r="J285" s="230" t="str">
        <f>IF($E$285="","",'I. Stream &amp; Compound Data'!CU183)</f>
        <v/>
      </c>
      <c r="K285" s="242" t="str">
        <f>IF($E$285="","",'I. Stream &amp; Compound Data'!CU181)</f>
        <v/>
      </c>
      <c r="L285" s="213"/>
      <c r="M285" s="243"/>
      <c r="N285" s="243"/>
      <c r="O285" s="213"/>
      <c r="P285" s="243"/>
      <c r="Q285" s="243"/>
      <c r="R285" s="213"/>
      <c r="S285" s="213"/>
      <c r="T285" s="213"/>
      <c r="U285" s="213"/>
      <c r="V285" s="213"/>
      <c r="W285" s="213"/>
      <c r="X285" s="213"/>
      <c r="Y285" s="214"/>
    </row>
    <row r="286" spans="2:25" ht="18" customHeight="1" x14ac:dyDescent="0.2">
      <c r="B286" s="387"/>
      <c r="C286" s="213"/>
      <c r="D286" s="228">
        <f>D285+1</f>
        <v>32</v>
      </c>
      <c r="E286" s="231" t="str">
        <f>IF(OR('I. Stream &amp; Compound Data'!CX178="",'I. Stream &amp; Compound Data'!CX179=0),"",'I. Stream &amp; Compound Data'!CX178)</f>
        <v/>
      </c>
      <c r="F286" s="230" t="str">
        <f>IF(E286="","",'I. Stream &amp; Compound Data'!CX180)</f>
        <v/>
      </c>
      <c r="G286" s="230" t="str">
        <f>IF($E$286="","",'I. Stream &amp; Compound Data'!$CW242)</f>
        <v/>
      </c>
      <c r="H286" s="230" t="str">
        <f>IF($E$286="","",'I. Stream &amp; Compound Data'!CW247)</f>
        <v/>
      </c>
      <c r="I286" s="232" t="str">
        <f t="shared" si="30"/>
        <v/>
      </c>
      <c r="J286" s="230" t="str">
        <f>IF($E$286="","",'I. Stream &amp; Compound Data'!CX183)</f>
        <v/>
      </c>
      <c r="K286" s="242" t="str">
        <f>IF($E$286="","",'I. Stream &amp; Compound Data'!CX181)</f>
        <v/>
      </c>
      <c r="L286" s="213"/>
      <c r="M286" s="213"/>
      <c r="N286" s="213"/>
      <c r="O286" s="213"/>
      <c r="P286" s="243"/>
      <c r="Q286" s="243"/>
      <c r="R286" s="213"/>
      <c r="S286" s="213"/>
      <c r="T286" s="213"/>
      <c r="U286" s="213"/>
      <c r="V286" s="213"/>
      <c r="W286" s="213"/>
      <c r="X286" s="213"/>
      <c r="Y286" s="214"/>
    </row>
    <row r="287" spans="2:25" ht="18" customHeight="1" x14ac:dyDescent="0.2">
      <c r="B287" s="387"/>
      <c r="C287" s="213"/>
      <c r="D287" s="228">
        <f t="shared" si="31"/>
        <v>33</v>
      </c>
      <c r="E287" s="231" t="str">
        <f>IF(OR('I. Stream &amp; Compound Data'!DA178="",'I. Stream &amp; Compound Data'!DA179=0),"",'I. Stream &amp; Compound Data'!DA178)</f>
        <v/>
      </c>
      <c r="F287" s="230" t="str">
        <f>IF(E287="","",'I. Stream &amp; Compound Data'!DA180)</f>
        <v/>
      </c>
      <c r="G287" s="230" t="str">
        <f>IF($E$287="","",'I. Stream &amp; Compound Data'!$CZ242)</f>
        <v/>
      </c>
      <c r="H287" s="230" t="str">
        <f>IF($E$287="","",'I. Stream &amp; Compound Data'!CZ247)</f>
        <v/>
      </c>
      <c r="I287" s="232" t="str">
        <f t="shared" si="30"/>
        <v/>
      </c>
      <c r="J287" s="230" t="str">
        <f>IF($E$287="","",'I. Stream &amp; Compound Data'!DA183)</f>
        <v/>
      </c>
      <c r="K287" s="242" t="str">
        <f>IF($E$287="","",'I. Stream &amp; Compound Data'!DA181)</f>
        <v/>
      </c>
      <c r="L287" s="213"/>
      <c r="M287" s="213"/>
      <c r="N287" s="213"/>
      <c r="O287" s="213"/>
      <c r="P287" s="243"/>
      <c r="Q287" s="243"/>
      <c r="R287" s="213"/>
      <c r="S287" s="213"/>
      <c r="T287" s="213"/>
      <c r="U287" s="213"/>
      <c r="V287" s="213"/>
      <c r="W287" s="213"/>
      <c r="X287" s="213"/>
      <c r="Y287" s="214"/>
    </row>
    <row r="288" spans="2:25" ht="18" customHeight="1" x14ac:dyDescent="0.2">
      <c r="B288" s="387"/>
      <c r="C288" s="213"/>
      <c r="D288" s="228">
        <f t="shared" si="31"/>
        <v>34</v>
      </c>
      <c r="E288" s="231" t="str">
        <f>IF(OR('I. Stream &amp; Compound Data'!DD178="",'I. Stream &amp; Compound Data'!DD179=0),"",'I. Stream &amp; Compound Data'!DD178)</f>
        <v/>
      </c>
      <c r="F288" s="230" t="str">
        <f>IF(E288="","",'I. Stream &amp; Compound Data'!DD180)</f>
        <v/>
      </c>
      <c r="G288" s="230" t="str">
        <f>IF($E$288="","",'I. Stream &amp; Compound Data'!$DC242)</f>
        <v/>
      </c>
      <c r="H288" s="230" t="str">
        <f>IF($E$288="","",'I. Stream &amp; Compound Data'!DC247)</f>
        <v/>
      </c>
      <c r="I288" s="232" t="str">
        <f t="shared" si="30"/>
        <v/>
      </c>
      <c r="J288" s="230" t="str">
        <f>IF($E$288="","",'I. Stream &amp; Compound Data'!DD183)</f>
        <v/>
      </c>
      <c r="K288" s="242" t="str">
        <f>IF($E$288="","",'I. Stream &amp; Compound Data'!DD181)</f>
        <v/>
      </c>
      <c r="L288" s="213"/>
      <c r="M288" s="213"/>
      <c r="N288" s="213"/>
      <c r="O288" s="213"/>
      <c r="P288" s="243"/>
      <c r="Q288" s="243"/>
      <c r="R288" s="213"/>
      <c r="S288" s="213"/>
      <c r="T288" s="213"/>
      <c r="U288" s="213"/>
      <c r="V288" s="213"/>
      <c r="W288" s="213"/>
      <c r="X288" s="213"/>
      <c r="Y288" s="214"/>
    </row>
    <row r="289" spans="2:25" ht="18" customHeight="1" x14ac:dyDescent="0.2">
      <c r="B289" s="387"/>
      <c r="C289" s="213"/>
      <c r="D289" s="228">
        <f t="shared" si="31"/>
        <v>35</v>
      </c>
      <c r="E289" s="231" t="str">
        <f>IF(OR('I. Stream &amp; Compound Data'!DG178="",'I. Stream &amp; Compound Data'!DG179=0),"",'I. Stream &amp; Compound Data'!DG178)</f>
        <v/>
      </c>
      <c r="F289" s="230" t="str">
        <f>IF(E289="","",'I. Stream &amp; Compound Data'!DG180)</f>
        <v/>
      </c>
      <c r="G289" s="230" t="str">
        <f>IF($E$289="","",'I. Stream &amp; Compound Data'!$DF242)</f>
        <v/>
      </c>
      <c r="H289" s="230" t="str">
        <f>IF($E$289="","",'I. Stream &amp; Compound Data'!DF247)</f>
        <v/>
      </c>
      <c r="I289" s="232" t="str">
        <f t="shared" si="30"/>
        <v/>
      </c>
      <c r="J289" s="230" t="str">
        <f>IF($E$289="","",'I. Stream &amp; Compound Data'!DG183)</f>
        <v/>
      </c>
      <c r="K289" s="242" t="str">
        <f>IF($E$289="","",'I. Stream &amp; Compound Data'!DG181)</f>
        <v/>
      </c>
      <c r="L289" s="213"/>
      <c r="M289" s="213"/>
      <c r="N289" s="213"/>
      <c r="O289" s="213"/>
      <c r="P289" s="213"/>
      <c r="Q289" s="213"/>
      <c r="R289" s="213"/>
      <c r="S289" s="213"/>
      <c r="T289" s="213"/>
      <c r="U289" s="213"/>
      <c r="V289" s="213"/>
      <c r="W289" s="213"/>
      <c r="X289" s="213"/>
      <c r="Y289" s="214"/>
    </row>
    <row r="290" spans="2:25" ht="18" customHeight="1" x14ac:dyDescent="0.2">
      <c r="B290" s="387"/>
      <c r="C290" s="213"/>
      <c r="D290" s="228">
        <f>D289+1</f>
        <v>36</v>
      </c>
      <c r="E290" s="231" t="str">
        <f>IF(OR('I. Stream &amp; Compound Data'!DJ178="",'I. Stream &amp; Compound Data'!DJ179=0),"",'I. Stream &amp; Compound Data'!DJ178)</f>
        <v/>
      </c>
      <c r="F290" s="230" t="str">
        <f>IF(E290="","",'I. Stream &amp; Compound Data'!DJ180)</f>
        <v/>
      </c>
      <c r="G290" s="230" t="str">
        <f>IF($E$290="","",'I. Stream &amp; Compound Data'!$DI242)</f>
        <v/>
      </c>
      <c r="H290" s="230" t="str">
        <f>IF($E$290="","",'I. Stream &amp; Compound Data'!DI247)</f>
        <v/>
      </c>
      <c r="I290" s="232" t="str">
        <f t="shared" si="30"/>
        <v/>
      </c>
      <c r="J290" s="230" t="str">
        <f>IF($E$290="","",'I. Stream &amp; Compound Data'!DJ183)</f>
        <v/>
      </c>
      <c r="K290" s="242" t="str">
        <f>IF($E$290="","",'I. Stream &amp; Compound Data'!DJ181)</f>
        <v/>
      </c>
      <c r="L290" s="213"/>
      <c r="M290" s="213"/>
      <c r="N290" s="213"/>
      <c r="O290" s="213"/>
      <c r="P290" s="213"/>
      <c r="Q290" s="213"/>
      <c r="R290" s="213"/>
      <c r="S290" s="213"/>
      <c r="T290" s="213"/>
      <c r="U290" s="213"/>
      <c r="V290" s="213"/>
      <c r="W290" s="213"/>
      <c r="X290" s="213"/>
      <c r="Y290" s="214"/>
    </row>
    <row r="291" spans="2:25" ht="18" customHeight="1" x14ac:dyDescent="0.2">
      <c r="B291" s="387"/>
      <c r="C291" s="213"/>
      <c r="D291" s="228">
        <f t="shared" si="31"/>
        <v>37</v>
      </c>
      <c r="E291" s="231" t="str">
        <f>IF(OR('I. Stream &amp; Compound Data'!DM178="",'I. Stream &amp; Compound Data'!DM179=0),"",'I. Stream &amp; Compound Data'!DM178)</f>
        <v/>
      </c>
      <c r="F291" s="230" t="str">
        <f>IF(E291="","",'I. Stream &amp; Compound Data'!DM180)</f>
        <v/>
      </c>
      <c r="G291" s="230" t="str">
        <f>IF($E$291="","",'I. Stream &amp; Compound Data'!$DL242)</f>
        <v/>
      </c>
      <c r="H291" s="230" t="str">
        <f>IF($E$291="","",'I. Stream &amp; Compound Data'!DL247)</f>
        <v/>
      </c>
      <c r="I291" s="232" t="str">
        <f t="shared" si="30"/>
        <v/>
      </c>
      <c r="J291" s="230" t="str">
        <f>IF($E$291="","",'I. Stream &amp; Compound Data'!DM183)</f>
        <v/>
      </c>
      <c r="K291" s="242" t="str">
        <f>IF($E$291="","",'I. Stream &amp; Compound Data'!DM181)</f>
        <v/>
      </c>
      <c r="L291" s="213"/>
      <c r="M291" s="213"/>
      <c r="N291" s="213"/>
      <c r="O291" s="213"/>
      <c r="P291" s="243"/>
      <c r="Q291" s="243"/>
      <c r="R291" s="213"/>
      <c r="S291" s="213"/>
      <c r="T291" s="213"/>
      <c r="U291" s="213"/>
      <c r="V291" s="213"/>
      <c r="W291" s="213"/>
      <c r="X291" s="213"/>
      <c r="Y291" s="214"/>
    </row>
    <row r="292" spans="2:25" ht="18" customHeight="1" x14ac:dyDescent="0.2">
      <c r="B292" s="387"/>
      <c r="C292" s="213"/>
      <c r="D292" s="228">
        <f t="shared" si="31"/>
        <v>38</v>
      </c>
      <c r="E292" s="231" t="str">
        <f>IF(OR('I. Stream &amp; Compound Data'!DP178="",'I. Stream &amp; Compound Data'!DP179=0),"",'I. Stream &amp; Compound Data'!DP178)</f>
        <v/>
      </c>
      <c r="F292" s="230" t="str">
        <f>IF(E292="","",'I. Stream &amp; Compound Data'!DP180)</f>
        <v/>
      </c>
      <c r="G292" s="230" t="str">
        <f>IF($E$292="","",'I. Stream &amp; Compound Data'!$DO242)</f>
        <v/>
      </c>
      <c r="H292" s="230" t="str">
        <f>IF($E$292="","",'I. Stream &amp; Compound Data'!DO247)</f>
        <v/>
      </c>
      <c r="I292" s="232" t="str">
        <f t="shared" si="30"/>
        <v/>
      </c>
      <c r="J292" s="230" t="str">
        <f>IF($E$292="","",'I. Stream &amp; Compound Data'!DP183)</f>
        <v/>
      </c>
      <c r="K292" s="242" t="str">
        <f>IF($E$292="","",'I. Stream &amp; Compound Data'!DP181)</f>
        <v/>
      </c>
      <c r="L292" s="213"/>
      <c r="M292" s="213"/>
      <c r="N292" s="213"/>
      <c r="O292" s="213"/>
      <c r="P292" s="243"/>
      <c r="Q292" s="243"/>
      <c r="R292" s="213"/>
      <c r="S292" s="213"/>
      <c r="T292" s="213"/>
      <c r="U292" s="213"/>
      <c r="V292" s="213"/>
      <c r="W292" s="213"/>
      <c r="X292" s="213"/>
      <c r="Y292" s="214"/>
    </row>
    <row r="293" spans="2:25" ht="18" customHeight="1" x14ac:dyDescent="0.2">
      <c r="B293" s="387"/>
      <c r="C293" s="213"/>
      <c r="D293" s="228">
        <f>D292+1</f>
        <v>39</v>
      </c>
      <c r="E293" s="231" t="str">
        <f>IF(OR('I. Stream &amp; Compound Data'!DS178="",'I. Stream &amp; Compound Data'!DS179=0),"",'I. Stream &amp; Compound Data'!DS178)</f>
        <v/>
      </c>
      <c r="F293" s="230" t="str">
        <f>IF(E293="","",'I. Stream &amp; Compound Data'!DS180)</f>
        <v/>
      </c>
      <c r="G293" s="230" t="str">
        <f>IF($E$293="","",'I. Stream &amp; Compound Data'!$DR242)</f>
        <v/>
      </c>
      <c r="H293" s="230" t="str">
        <f>IF($E$293="","",'I. Stream &amp; Compound Data'!DR247)</f>
        <v/>
      </c>
      <c r="I293" s="232" t="str">
        <f t="shared" si="30"/>
        <v/>
      </c>
      <c r="J293" s="230" t="str">
        <f>IF($E$293="","",'I. Stream &amp; Compound Data'!DS183)</f>
        <v/>
      </c>
      <c r="K293" s="242" t="str">
        <f>IF($E$293="","",'I. Stream &amp; Compound Data'!DS181)</f>
        <v/>
      </c>
      <c r="L293" s="213"/>
      <c r="M293" s="213"/>
      <c r="N293" s="213"/>
      <c r="O293" s="213"/>
      <c r="P293" s="243"/>
      <c r="Q293" s="243"/>
      <c r="R293" s="213"/>
      <c r="S293" s="213"/>
      <c r="T293" s="213"/>
      <c r="U293" s="213"/>
      <c r="V293" s="213"/>
      <c r="W293" s="213"/>
      <c r="X293" s="213"/>
      <c r="Y293" s="214"/>
    </row>
    <row r="294" spans="2:25" ht="18" customHeight="1" thickBot="1" x14ac:dyDescent="0.25">
      <c r="B294" s="387"/>
      <c r="C294" s="213"/>
      <c r="D294" s="234">
        <f t="shared" si="31"/>
        <v>40</v>
      </c>
      <c r="E294" s="235" t="str">
        <f>IF(OR('I. Stream &amp; Compound Data'!DV178="",'I. Stream &amp; Compound Data'!DV179=0),"",'I. Stream &amp; Compound Data'!DV178)</f>
        <v/>
      </c>
      <c r="F294" s="244" t="str">
        <f>IF(E294="","",'I. Stream &amp; Compound Data'!DV180)</f>
        <v/>
      </c>
      <c r="G294" s="244" t="str">
        <f>IF($E$294="","",'I. Stream &amp; Compound Data'!$DU242)</f>
        <v/>
      </c>
      <c r="H294" s="244" t="str">
        <f>IF($E$294="","",'I. Stream &amp; Compound Data'!DU247)</f>
        <v/>
      </c>
      <c r="I294" s="236" t="str">
        <f t="shared" si="30"/>
        <v/>
      </c>
      <c r="J294" s="244" t="str">
        <f>IF($E$294="","",'I. Stream &amp; Compound Data'!DV183)</f>
        <v/>
      </c>
      <c r="K294" s="245" t="str">
        <f>IF($E$294="","",'I. Stream &amp; Compound Data'!DV181)</f>
        <v/>
      </c>
      <c r="L294" s="213"/>
      <c r="M294" s="213"/>
      <c r="N294" s="213"/>
      <c r="O294" s="213"/>
      <c r="P294" s="243"/>
      <c r="Q294" s="243"/>
      <c r="R294" s="213"/>
      <c r="S294" s="213"/>
      <c r="T294" s="213"/>
      <c r="U294" s="213"/>
      <c r="V294" s="213"/>
      <c r="W294" s="213"/>
      <c r="X294" s="213"/>
      <c r="Y294" s="214"/>
    </row>
    <row r="295" spans="2:25" ht="15.75" thickBot="1" x14ac:dyDescent="0.25">
      <c r="B295" s="387"/>
      <c r="C295" s="213"/>
      <c r="D295" s="213"/>
      <c r="E295" s="213"/>
      <c r="F295" s="213" t="s">
        <v>26</v>
      </c>
      <c r="G295" s="246">
        <f>SUM(G255:G294)</f>
        <v>1094.1444999999999</v>
      </c>
      <c r="H295" s="246">
        <f>SUM(H255:H294)</f>
        <v>1750.0951931699999</v>
      </c>
      <c r="I295" s="247">
        <f>SUM(I255:I294)</f>
        <v>15341334.46332822</v>
      </c>
      <c r="J295" s="243"/>
      <c r="K295" s="243"/>
      <c r="L295" s="243"/>
      <c r="M295" s="243"/>
      <c r="N295" s="243"/>
      <c r="O295" s="213"/>
      <c r="P295" s="243"/>
      <c r="Q295" s="243"/>
      <c r="R295" s="213"/>
      <c r="S295" s="213"/>
      <c r="T295" s="213"/>
      <c r="U295" s="213"/>
      <c r="V295" s="213"/>
      <c r="W295" s="213"/>
      <c r="X295" s="213"/>
      <c r="Y295" s="214"/>
    </row>
    <row r="296" spans="2:25" x14ac:dyDescent="0.2">
      <c r="B296" s="387"/>
      <c r="C296" s="213"/>
      <c r="D296" s="213"/>
      <c r="E296" s="213"/>
      <c r="F296" s="213"/>
      <c r="G296" s="213"/>
      <c r="H296" s="243"/>
      <c r="I296" s="243"/>
      <c r="J296" s="243"/>
      <c r="K296" s="243"/>
      <c r="L296" s="243"/>
      <c r="M296" s="243"/>
      <c r="N296" s="243"/>
      <c r="O296" s="213"/>
      <c r="P296" s="213"/>
      <c r="Q296" s="213"/>
      <c r="R296" s="213"/>
      <c r="S296" s="213"/>
      <c r="T296" s="213"/>
      <c r="U296" s="213"/>
      <c r="V296" s="213"/>
      <c r="W296" s="213"/>
      <c r="X296" s="213"/>
      <c r="Y296" s="214"/>
    </row>
    <row r="297" spans="2:25" x14ac:dyDescent="0.2">
      <c r="B297" s="387"/>
      <c r="C297" s="213"/>
      <c r="D297" s="213"/>
      <c r="E297" s="213"/>
      <c r="F297" s="213"/>
      <c r="G297" s="213"/>
      <c r="H297" s="243"/>
      <c r="I297" s="243"/>
      <c r="J297" s="243"/>
      <c r="K297" s="243"/>
      <c r="L297" s="243"/>
      <c r="M297" s="243"/>
      <c r="N297" s="243"/>
      <c r="O297" s="213"/>
      <c r="P297" s="213"/>
      <c r="Q297" s="213"/>
      <c r="R297" s="213"/>
      <c r="S297" s="213"/>
      <c r="T297" s="213"/>
      <c r="U297" s="213"/>
      <c r="V297" s="213"/>
      <c r="W297" s="213"/>
      <c r="X297" s="213"/>
      <c r="Y297" s="214"/>
    </row>
    <row r="298" spans="2:25" x14ac:dyDescent="0.2">
      <c r="B298" s="387"/>
      <c r="C298" s="213"/>
      <c r="D298" s="213"/>
      <c r="E298" s="213"/>
      <c r="F298" s="213"/>
      <c r="G298" s="213"/>
      <c r="H298" s="243"/>
      <c r="I298" s="243"/>
      <c r="J298" s="243"/>
      <c r="K298" s="243"/>
      <c r="L298" s="243"/>
      <c r="M298" s="243"/>
      <c r="N298" s="243"/>
      <c r="O298" s="213"/>
      <c r="P298" s="213"/>
      <c r="Q298" s="213"/>
      <c r="R298" s="213"/>
      <c r="S298" s="213"/>
      <c r="T298" s="213"/>
      <c r="U298" s="213"/>
      <c r="V298" s="213"/>
      <c r="W298" s="213"/>
      <c r="X298" s="213"/>
      <c r="Y298" s="214"/>
    </row>
    <row r="299" spans="2:25" x14ac:dyDescent="0.2">
      <c r="B299" s="387"/>
      <c r="C299" s="213"/>
      <c r="D299" s="213"/>
      <c r="E299" s="213"/>
      <c r="F299" s="213"/>
      <c r="G299" s="213"/>
      <c r="H299" s="213"/>
      <c r="I299" s="213"/>
      <c r="J299" s="213"/>
      <c r="K299" s="213"/>
      <c r="L299" s="213"/>
      <c r="M299" s="213"/>
      <c r="N299" s="213"/>
      <c r="O299" s="213"/>
      <c r="P299" s="243"/>
      <c r="Q299" s="243"/>
      <c r="R299" s="243"/>
      <c r="S299" s="213"/>
      <c r="T299" s="213"/>
      <c r="U299" s="213"/>
      <c r="V299" s="213"/>
      <c r="W299" s="213"/>
      <c r="X299" s="213"/>
      <c r="Y299" s="214"/>
    </row>
    <row r="300" spans="2:25" x14ac:dyDescent="0.2">
      <c r="B300" s="387"/>
      <c r="C300" s="213"/>
      <c r="D300" s="213"/>
      <c r="E300" s="213"/>
      <c r="F300" s="213"/>
      <c r="G300" s="213"/>
      <c r="H300" s="213"/>
      <c r="I300" s="213"/>
      <c r="J300" s="213"/>
      <c r="K300" s="213"/>
      <c r="L300" s="213"/>
      <c r="M300" s="213"/>
      <c r="N300" s="213"/>
      <c r="O300" s="213"/>
      <c r="P300" s="243"/>
      <c r="Q300" s="243"/>
      <c r="R300" s="243"/>
      <c r="S300" s="213"/>
      <c r="T300" s="213"/>
      <c r="U300" s="213"/>
      <c r="V300" s="213"/>
      <c r="W300" s="213"/>
      <c r="X300" s="213"/>
      <c r="Y300" s="214"/>
    </row>
    <row r="301" spans="2:25" x14ac:dyDescent="0.2">
      <c r="B301" s="387"/>
      <c r="C301" s="213"/>
      <c r="D301" s="213"/>
      <c r="E301" s="213"/>
      <c r="F301" s="213"/>
      <c r="G301" s="213"/>
      <c r="H301" s="213"/>
      <c r="I301" s="213"/>
      <c r="J301" s="213"/>
      <c r="K301" s="213"/>
      <c r="L301" s="213"/>
      <c r="M301" s="213"/>
      <c r="N301" s="213"/>
      <c r="O301" s="213"/>
      <c r="P301" s="243"/>
      <c r="Q301" s="243"/>
      <c r="R301" s="243"/>
      <c r="S301" s="213"/>
      <c r="T301" s="213"/>
      <c r="U301" s="213"/>
      <c r="V301" s="213"/>
      <c r="W301" s="213"/>
      <c r="X301" s="213"/>
      <c r="Y301" s="214"/>
    </row>
    <row r="302" spans="2:25" ht="24" thickBot="1" x14ac:dyDescent="0.4">
      <c r="B302" s="387"/>
      <c r="C302" s="213"/>
      <c r="D302" s="222" t="s">
        <v>1307</v>
      </c>
      <c r="E302" s="213"/>
      <c r="F302" s="213"/>
      <c r="G302" s="213"/>
      <c r="H302" s="213"/>
      <c r="I302" s="213"/>
      <c r="J302" s="213"/>
      <c r="K302" s="213"/>
      <c r="L302" s="213"/>
      <c r="M302" s="213"/>
      <c r="N302" s="213"/>
      <c r="O302" s="213"/>
      <c r="P302" s="243"/>
      <c r="Q302" s="243"/>
      <c r="R302" s="243"/>
      <c r="S302" s="213"/>
      <c r="T302" s="213"/>
      <c r="U302" s="213"/>
      <c r="V302" s="213"/>
      <c r="W302" s="213"/>
      <c r="X302" s="213"/>
      <c r="Y302" s="214"/>
    </row>
    <row r="303" spans="2:25" s="605" customFormat="1" ht="37.5" customHeight="1" x14ac:dyDescent="0.2">
      <c r="B303" s="598"/>
      <c r="C303" s="599"/>
      <c r="D303" s="596"/>
      <c r="E303" s="597" t="s">
        <v>794</v>
      </c>
      <c r="F303" s="597" t="s">
        <v>778</v>
      </c>
      <c r="G303" s="597" t="s">
        <v>0</v>
      </c>
      <c r="H303" s="597" t="s">
        <v>740</v>
      </c>
      <c r="I303" s="600" t="s">
        <v>801</v>
      </c>
      <c r="J303" s="600" t="s">
        <v>3</v>
      </c>
      <c r="K303" s="597" t="s">
        <v>799</v>
      </c>
      <c r="L303" s="597" t="s">
        <v>804</v>
      </c>
      <c r="M303" s="601" t="s">
        <v>884</v>
      </c>
      <c r="N303" s="601" t="s">
        <v>885</v>
      </c>
      <c r="O303" s="600" t="s">
        <v>772</v>
      </c>
      <c r="P303" s="600" t="s">
        <v>773</v>
      </c>
      <c r="Q303" s="602" t="s">
        <v>776</v>
      </c>
      <c r="R303" s="603"/>
      <c r="S303" s="599"/>
      <c r="T303" s="599"/>
      <c r="U303" s="599"/>
      <c r="V303" s="599"/>
      <c r="W303" s="599"/>
      <c r="X303" s="599"/>
      <c r="Y303" s="604"/>
    </row>
    <row r="304" spans="2:25" ht="15" customHeight="1" x14ac:dyDescent="0.2">
      <c r="B304" s="387"/>
      <c r="C304" s="213"/>
      <c r="D304" s="228">
        <v>1</v>
      </c>
      <c r="E304" s="230">
        <f>IF('I. Stream &amp; Compound Data'!$I178="","",'I. Stream &amp; Compound Data'!$I178)</f>
        <v>300</v>
      </c>
      <c r="F304" s="230">
        <f>IF($E304="","",'I. Stream &amp; Compound Data'!$I179)</f>
        <v>1</v>
      </c>
      <c r="G304" s="230" t="str">
        <f>IF('I. Stream &amp; Compound Data'!$I183="","",'I. Stream &amp; Compound Data'!$I183)</f>
        <v>yes</v>
      </c>
      <c r="H304" s="231">
        <f>IF($E304="","",'I. Stream &amp; Compound Data'!$H242)</f>
        <v>990.00019999999995</v>
      </c>
      <c r="I304" s="231">
        <f>IF($E304="","",'I. Stream &amp; Compound Data'!$H243)</f>
        <v>1.3540000000000001</v>
      </c>
      <c r="J304" s="231">
        <f>IF($E304="","",'I. Stream &amp; Compound Data'!$H239)</f>
        <v>0</v>
      </c>
      <c r="K304" s="230" t="str">
        <f>IF(OR($F304=1,$E304=""),"",'I. Stream &amp; Compound Data'!$I182)</f>
        <v/>
      </c>
      <c r="L304" s="230" t="str">
        <f>IF(OR($F304=1,$E304=""),"",'I. Stream &amp; Compound Data'!$I184)</f>
        <v/>
      </c>
      <c r="M304" s="231">
        <f>IF($E304="","",'I. Stream &amp; Compound Data'!$H237)</f>
        <v>208.584</v>
      </c>
      <c r="N304" s="231">
        <f>IF($E304="","",'I. Stream &amp; Compound Data'!$H238)</f>
        <v>10</v>
      </c>
      <c r="O304" s="231">
        <f>IF($E304="","",'I. Stream &amp; Compound Data'!$H240)</f>
        <v>-2007</v>
      </c>
      <c r="P304" s="231">
        <f>IF($E304="","",'I. Stream &amp; Compound Data'!$H241)</f>
        <v>-5.5570000000000004</v>
      </c>
      <c r="Q304" s="233">
        <f>IF($E304="","",'I. Stream &amp; Compound Data'!$H245)</f>
        <v>3.332861458656494</v>
      </c>
      <c r="R304" s="243"/>
      <c r="S304" s="213"/>
      <c r="T304" s="213"/>
      <c r="U304" s="213"/>
      <c r="V304" s="213"/>
      <c r="W304" s="213"/>
      <c r="X304" s="213"/>
      <c r="Y304" s="214"/>
    </row>
    <row r="305" spans="2:25" x14ac:dyDescent="0.2">
      <c r="B305" s="387"/>
      <c r="C305" s="213"/>
      <c r="D305" s="228">
        <f>D304+1</f>
        <v>2</v>
      </c>
      <c r="E305" s="230">
        <f>IF('I. Stream &amp; Compound Data'!$L178="","",'I. Stream &amp; Compound Data'!$L178)</f>
        <v>301</v>
      </c>
      <c r="F305" s="230">
        <f>IF($E305="","",'I. Stream &amp; Compound Data'!$L179)</f>
        <v>1</v>
      </c>
      <c r="G305" s="230" t="str">
        <f>IF('I. Stream &amp; Compound Data'!$L183="","",'I. Stream &amp; Compound Data'!$L183)</f>
        <v>yes</v>
      </c>
      <c r="H305" s="231">
        <f>IF($E305="","",'I. Stream &amp; Compound Data'!$K242)</f>
        <v>104.1443</v>
      </c>
      <c r="I305" s="231">
        <f>IF($E305="","",'I. Stream &amp; Compound Data'!$K243)</f>
        <v>8.6999999999999994E-2</v>
      </c>
      <c r="J305" s="231">
        <f>IF($E305="","",'I. Stream &amp; Compound Data'!$K239)</f>
        <v>0</v>
      </c>
      <c r="K305" s="230" t="str">
        <f>IF(OR($F305=1,$E305=""),"",'I. Stream &amp; Compound Data'!$L182)</f>
        <v/>
      </c>
      <c r="L305" s="230" t="str">
        <f>IF(OR($F305=1,$E305=""),"",'I. Stream &amp; Compound Data'!$L184)</f>
        <v/>
      </c>
      <c r="M305" s="231">
        <f>IF($E305="","",'I. Stream &amp; Compound Data'!$K237)</f>
        <v>112</v>
      </c>
      <c r="N305" s="231">
        <f>IF($E305="","",'I. Stream &amp; Compound Data'!$K238)</f>
        <v>50</v>
      </c>
      <c r="O305" s="231">
        <f>IF($E305="","",'I. Stream &amp; Compound Data'!$K240)</f>
        <v>-733.1</v>
      </c>
      <c r="P305" s="231">
        <f>IF($E305="","",'I. Stream &amp; Compound Data'!$K241)</f>
        <v>-0.61450000000000005</v>
      </c>
      <c r="Q305" s="233">
        <f>IF($E305="","",'I. Stream &amp; Compound Data'!$K245)</f>
        <v>1.1444415516704145</v>
      </c>
      <c r="R305" s="243"/>
      <c r="S305" s="213"/>
      <c r="T305" s="213"/>
      <c r="U305" s="213"/>
      <c r="V305" s="213"/>
      <c r="W305" s="213"/>
      <c r="X305" s="213"/>
      <c r="Y305" s="214"/>
    </row>
    <row r="306" spans="2:25" x14ac:dyDescent="0.2">
      <c r="B306" s="387"/>
      <c r="C306" s="213"/>
      <c r="D306" s="228">
        <f t="shared" ref="D306:D343" si="32">D305+1</f>
        <v>3</v>
      </c>
      <c r="E306" s="230">
        <f>IF('I. Stream &amp; Compound Data'!$O178="","",'I. Stream &amp; Compound Data'!$O178)</f>
        <v>305</v>
      </c>
      <c r="F306" s="230">
        <f>IF($E306="","",'I. Stream &amp; Compound Data'!$O179)</f>
        <v>0</v>
      </c>
      <c r="G306" s="230" t="str">
        <f>IF('I. Stream &amp; Compound Data'!$O183="","",'I. Stream &amp; Compound Data'!$O183)</f>
        <v/>
      </c>
      <c r="H306" s="231">
        <f>IF($E306="","",'I. Stream &amp; Compound Data'!$N242)</f>
        <v>21.109400000000001</v>
      </c>
      <c r="I306" s="231">
        <f>IF($E306="","",'I. Stream &amp; Compound Data'!$N243)</f>
        <v>126.813</v>
      </c>
      <c r="J306" s="231">
        <f>IF($E306="","",'I. Stream &amp; Compound Data'!$N239)</f>
        <v>1</v>
      </c>
      <c r="K306" s="230">
        <f>IF(OR($F306=1,$E306=""),"",'I. Stream &amp; Compound Data'!$O182)</f>
        <v>0</v>
      </c>
      <c r="L306" s="230">
        <f>IF(OR($F306=1,$E306=""),"",'I. Stream &amp; Compound Data'!$O184)</f>
        <v>0</v>
      </c>
      <c r="M306" s="231">
        <f>IF($E306="","",'I. Stream &amp; Compound Data'!$N237)</f>
        <v>208.584</v>
      </c>
      <c r="N306" s="231">
        <f>IF($E306="","",'I. Stream &amp; Compound Data'!$N238)</f>
        <v>10</v>
      </c>
      <c r="O306" s="231">
        <f>IF($E306="","",'I. Stream &amp; Compound Data'!$N240)</f>
        <v>-86.89</v>
      </c>
      <c r="P306" s="231">
        <f>IF($E306="","",'I. Stream &amp; Compound Data'!$N241)</f>
        <v>-8.3199999999999996E-2</v>
      </c>
      <c r="Q306" s="233">
        <f>IF($E306="","",'I. Stream &amp; Compound Data'!$N245)</f>
        <v>0.31708154911849368</v>
      </c>
      <c r="R306" s="243"/>
      <c r="S306" s="213"/>
      <c r="T306" s="213"/>
      <c r="U306" s="213"/>
      <c r="V306" s="213"/>
      <c r="W306" s="213"/>
      <c r="X306" s="213"/>
      <c r="Y306" s="214"/>
    </row>
    <row r="307" spans="2:25" x14ac:dyDescent="0.2">
      <c r="B307" s="387"/>
      <c r="C307" s="213"/>
      <c r="D307" s="228">
        <f t="shared" si="32"/>
        <v>4</v>
      </c>
      <c r="E307" s="230">
        <f>IF('I. Stream &amp; Compound Data'!$R178="","",'I. Stream &amp; Compound Data'!$R178)</f>
        <v>304</v>
      </c>
      <c r="F307" s="230">
        <f>IF($E307="","",'I. Stream &amp; Compound Data'!$R179)</f>
        <v>0</v>
      </c>
      <c r="G307" s="230" t="str">
        <f>IF('I. Stream &amp; Compound Data'!$R183="","",'I. Stream &amp; Compound Data'!$R183)</f>
        <v/>
      </c>
      <c r="H307" s="231">
        <f>IF($E307="","",'I. Stream &amp; Compound Data'!$Q242)</f>
        <v>55.496900000000004</v>
      </c>
      <c r="I307" s="231">
        <f>IF($E307="","",'I. Stream &amp; Compound Data'!$Q243)</f>
        <v>9.2999999999999999E-2</v>
      </c>
      <c r="J307" s="231">
        <f>IF($E307="","",'I. Stream &amp; Compound Data'!$Q239)</f>
        <v>0</v>
      </c>
      <c r="K307" s="230">
        <f>IF(OR($F307=1,$E307=""),"",'I. Stream &amp; Compound Data'!$R182)</f>
        <v>0</v>
      </c>
      <c r="L307" s="230">
        <f>IF(OR($F307=1,$E307=""),"",'I. Stream &amp; Compound Data'!$R184)</f>
        <v>0</v>
      </c>
      <c r="M307" s="231">
        <f>IF($E307="","",'I. Stream &amp; Compound Data'!$Q237)</f>
        <v>541.85199999999998</v>
      </c>
      <c r="N307" s="231">
        <f>IF($E307="","",'I. Stream &amp; Compound Data'!$Q238)</f>
        <v>20</v>
      </c>
      <c r="O307" s="231">
        <f>IF($E307="","",'I. Stream &amp; Compound Data'!$Q240)</f>
        <v>-191.6</v>
      </c>
      <c r="P307" s="231">
        <f>IF($E307="","",'I. Stream &amp; Compound Data'!$Q241)</f>
        <v>-3.45</v>
      </c>
      <c r="Q307" s="233">
        <f>IF($E307="","",'I. Stream &amp; Compound Data'!$Q245)</f>
        <v>0.21652970234016136</v>
      </c>
      <c r="R307" s="243"/>
      <c r="S307" s="213"/>
      <c r="T307" s="213"/>
      <c r="U307" s="213"/>
      <c r="V307" s="213"/>
      <c r="W307" s="213"/>
      <c r="X307" s="213"/>
      <c r="Y307" s="214"/>
    </row>
    <row r="308" spans="2:25" x14ac:dyDescent="0.2">
      <c r="B308" s="387"/>
      <c r="C308" s="213"/>
      <c r="D308" s="228">
        <f t="shared" si="32"/>
        <v>5</v>
      </c>
      <c r="E308" s="230">
        <f>IF('I. Stream &amp; Compound Data'!$U178="","",'I. Stream &amp; Compound Data'!$U178)</f>
        <v>302</v>
      </c>
      <c r="F308" s="230">
        <f>IF($E308="","",'I. Stream &amp; Compound Data'!$U179)</f>
        <v>0</v>
      </c>
      <c r="G308" s="230" t="str">
        <f>IF('I. Stream &amp; Compound Data'!$U183="","",'I. Stream &amp; Compound Data'!$U183)</f>
        <v/>
      </c>
      <c r="H308" s="231">
        <f>IF($E308="","",'I. Stream &amp; Compound Data'!$T242)</f>
        <v>15.479800000000001</v>
      </c>
      <c r="I308" s="231">
        <f>IF($E308="","",'I. Stream &amp; Compound Data'!$T243)</f>
        <v>1.7999999999999999E-2</v>
      </c>
      <c r="J308" s="231">
        <f>IF($E308="","",'I. Stream &amp; Compound Data'!$T239)</f>
        <v>0</v>
      </c>
      <c r="K308" s="230">
        <f>IF(OR($F308=1,$E308=""),"",'I. Stream &amp; Compound Data'!$U182)</f>
        <v>0</v>
      </c>
      <c r="L308" s="230">
        <f>IF(OR($F308=1,$E308=""),"",'I. Stream &amp; Compound Data'!$U184)</f>
        <v>0</v>
      </c>
      <c r="M308" s="231">
        <f>IF($E308="","",'I. Stream &amp; Compound Data'!$T237)</f>
        <v>38.746000000000002</v>
      </c>
      <c r="N308" s="231">
        <f>IF($E308="","",'I. Stream &amp; Compound Data'!$T238)</f>
        <v>40</v>
      </c>
      <c r="O308" s="231">
        <f>IF($E308="","",'I. Stream &amp; Compound Data'!$T240)</f>
        <v>-187.4</v>
      </c>
      <c r="P308" s="231">
        <f>IF($E308="","",'I. Stream &amp; Compound Data'!$T241)</f>
        <v>-0.12939999999999999</v>
      </c>
      <c r="Q308" s="233">
        <f>IF($E308="","",'I. Stream &amp; Compound Data'!$T245)</f>
        <v>0.69308011474184561</v>
      </c>
      <c r="R308" s="243"/>
      <c r="S308" s="213"/>
      <c r="T308" s="213"/>
      <c r="U308" s="213"/>
      <c r="V308" s="213"/>
      <c r="W308" s="213"/>
      <c r="X308" s="213"/>
      <c r="Y308" s="214"/>
    </row>
    <row r="309" spans="2:25" x14ac:dyDescent="0.2">
      <c r="B309" s="387"/>
      <c r="C309" s="213"/>
      <c r="D309" s="228">
        <f t="shared" si="32"/>
        <v>6</v>
      </c>
      <c r="E309" s="230">
        <f>IF('I. Stream &amp; Compound Data'!$X178="","",'I. Stream &amp; Compound Data'!$X178)</f>
        <v>303</v>
      </c>
      <c r="F309" s="230">
        <f>IF($E309="","",'I. Stream &amp; Compound Data'!$X179)</f>
        <v>0</v>
      </c>
      <c r="G309" s="230" t="str">
        <f>IF('I. Stream &amp; Compound Data'!$X183="","",'I. Stream &amp; Compound Data'!$X183)</f>
        <v/>
      </c>
      <c r="H309" s="231">
        <f>IF($E309="","",'I. Stream &amp; Compound Data'!$W242)</f>
        <v>11.9826</v>
      </c>
      <c r="I309" s="231">
        <f>IF($E309="","",'I. Stream &amp; Compound Data'!$W243)</f>
        <v>5.0000000000000001E-3</v>
      </c>
      <c r="J309" s="231">
        <f>IF($E309="","",'I. Stream &amp; Compound Data'!$W239)</f>
        <v>0</v>
      </c>
      <c r="K309" s="230">
        <f>IF(OR($F309=1,$E309=""),"",'I. Stream &amp; Compound Data'!$X182)</f>
        <v>0</v>
      </c>
      <c r="L309" s="230">
        <f>IF(OR($F309=1,$E309=""),"",'I. Stream &amp; Compound Data'!$X184)</f>
        <v>1</v>
      </c>
      <c r="M309" s="231">
        <f>IF($E309="","",'I. Stream &amp; Compound Data'!$W237)</f>
        <v>60</v>
      </c>
      <c r="N309" s="231">
        <f>IF($E309="","",'I. Stream &amp; Compound Data'!$W238)</f>
        <v>100</v>
      </c>
      <c r="O309" s="231">
        <f>IF($E309="","",'I. Stream &amp; Compound Data'!$W240)</f>
        <v>-155.6</v>
      </c>
      <c r="P309" s="231">
        <f>IF($E309="","",'I. Stream &amp; Compound Data'!$W241)</f>
        <v>-7.0459999999999995E-2</v>
      </c>
      <c r="Q309" s="233">
        <f>IF($E309="","",'I. Stream &amp; Compound Data'!$W245)</f>
        <v>0.10204555103873716</v>
      </c>
      <c r="R309" s="213"/>
      <c r="S309" s="213"/>
      <c r="T309" s="213"/>
      <c r="U309" s="213"/>
      <c r="V309" s="213"/>
      <c r="W309" s="213"/>
      <c r="X309" s="213"/>
      <c r="Y309" s="214"/>
    </row>
    <row r="310" spans="2:25" x14ac:dyDescent="0.2">
      <c r="B310" s="387"/>
      <c r="C310" s="213"/>
      <c r="D310" s="228">
        <f t="shared" si="32"/>
        <v>7</v>
      </c>
      <c r="E310" s="230">
        <f>IF('I. Stream &amp; Compound Data'!$AA178="","",'I. Stream &amp; Compound Data'!$AA178)</f>
        <v>306</v>
      </c>
      <c r="F310" s="230">
        <f>IF($E310="","",'I. Stream &amp; Compound Data'!$AA179)</f>
        <v>0</v>
      </c>
      <c r="G310" s="230" t="str">
        <f>IF('I. Stream &amp; Compound Data'!$AA183="","",'I. Stream &amp; Compound Data'!$AA183)</f>
        <v/>
      </c>
      <c r="H310" s="231">
        <f>IF($E310="","",'I. Stream &amp; Compound Data'!$Z242)</f>
        <v>144.458</v>
      </c>
      <c r="I310" s="231">
        <f>IF($E310="","",'I. Stream &amp; Compound Data'!$Z243)</f>
        <v>0.13109999999999999</v>
      </c>
      <c r="J310" s="231">
        <f>IF($E310="","",'I. Stream &amp; Compound Data'!$Z239)</f>
        <v>0</v>
      </c>
      <c r="K310" s="230">
        <f>IF(OR($F310=1,$E310=""),"",'I. Stream &amp; Compound Data'!$AA182)</f>
        <v>0</v>
      </c>
      <c r="L310" s="230">
        <f>IF(OR($F310=1,$E310=""),"",'I. Stream &amp; Compound Data'!$AA184)</f>
        <v>0</v>
      </c>
      <c r="M310" s="231">
        <f>IF($E310="","",'I. Stream &amp; Compound Data'!$Z237)</f>
        <v>53.3</v>
      </c>
      <c r="N310" s="231">
        <f>IF($E310="","",'I. Stream &amp; Compound Data'!$Z238)</f>
        <v>30</v>
      </c>
      <c r="O310" s="231">
        <f>IF($E310="","",'I. Stream &amp; Compound Data'!$Z240)</f>
        <v>-1089.8</v>
      </c>
      <c r="P310" s="231">
        <f>IF($E310="","",'I. Stream &amp; Compound Data'!$Z241)</f>
        <v>-0.94299999999999995</v>
      </c>
      <c r="Q310" s="233">
        <f>IF($E310="","",'I. Stream &amp; Compound Data'!$Z245)</f>
        <v>2.3488020756811467</v>
      </c>
      <c r="R310" s="213"/>
      <c r="S310" s="213"/>
      <c r="T310" s="213"/>
      <c r="U310" s="213"/>
      <c r="V310" s="213"/>
      <c r="W310" s="213"/>
      <c r="X310" s="213"/>
      <c r="Y310" s="214"/>
    </row>
    <row r="311" spans="2:25" x14ac:dyDescent="0.2">
      <c r="B311" s="387"/>
      <c r="C311" s="213"/>
      <c r="D311" s="228">
        <f t="shared" si="32"/>
        <v>8</v>
      </c>
      <c r="E311" s="230">
        <f>IF('I. Stream &amp; Compound Data'!$AD178="","",'I. Stream &amp; Compound Data'!$AD178)</f>
        <v>307</v>
      </c>
      <c r="F311" s="230">
        <f>IF($E311="","",'I. Stream &amp; Compound Data'!$AD179)</f>
        <v>0</v>
      </c>
      <c r="G311" s="230" t="str">
        <f>IF('I. Stream &amp; Compound Data'!$AD183="","",'I. Stream &amp; Compound Data'!$AD183)</f>
        <v/>
      </c>
      <c r="H311" s="231">
        <f>IF($E311="","",'I. Stream &amp; Compound Data'!$AC242)</f>
        <v>14.5</v>
      </c>
      <c r="I311" s="231">
        <f>IF($E311="","",'I. Stream &amp; Compound Data'!$AC243)</f>
        <v>6.0000000000000001E-3</v>
      </c>
      <c r="J311" s="231">
        <f>IF($E311="","",'I. Stream &amp; Compound Data'!$AC239)</f>
        <v>0</v>
      </c>
      <c r="K311" s="230">
        <f>IF(OR($F311=1,$E311=""),"",'I. Stream &amp; Compound Data'!$AD182)</f>
        <v>0</v>
      </c>
      <c r="L311" s="230">
        <f>IF(OR($F311=1,$E311=""),"",'I. Stream &amp; Compound Data'!$AD184)</f>
        <v>0</v>
      </c>
      <c r="M311" s="231">
        <f>IF($E311="","",'I. Stream &amp; Compound Data'!$AC237)</f>
        <v>77.8</v>
      </c>
      <c r="N311" s="231">
        <f>IF($E311="","",'I. Stream &amp; Compound Data'!$AC238)</f>
        <v>90</v>
      </c>
      <c r="O311" s="231">
        <f>IF($E311="","",'I. Stream &amp; Compound Data'!$AC240)</f>
        <v>-147</v>
      </c>
      <c r="P311" s="231">
        <f>IF($E311="","",'I. Stream &amp; Compound Data'!$AC241)</f>
        <v>-0.1</v>
      </c>
      <c r="Q311" s="233">
        <f>IF($E311="","",'I. Stream &amp; Compound Data'!$AC245)</f>
        <v>0.10208392002252888</v>
      </c>
      <c r="R311" s="213"/>
      <c r="S311" s="213"/>
      <c r="T311" s="213"/>
      <c r="U311" s="213"/>
      <c r="V311" s="213"/>
      <c r="W311" s="213"/>
      <c r="X311" s="213"/>
      <c r="Y311" s="214"/>
    </row>
    <row r="312" spans="2:25" x14ac:dyDescent="0.2">
      <c r="B312" s="387"/>
      <c r="C312" s="213"/>
      <c r="D312" s="228">
        <f t="shared" si="32"/>
        <v>9</v>
      </c>
      <c r="E312" s="230" t="str">
        <f>IF('I. Stream &amp; Compound Data'!$AG178="","",'I. Stream &amp; Compound Data'!$AG178)</f>
        <v/>
      </c>
      <c r="F312" s="230" t="str">
        <f>IF($E312="","",'I. Stream &amp; Compound Data'!$AG179)</f>
        <v/>
      </c>
      <c r="G312" s="230" t="str">
        <f>IF('I. Stream &amp; Compound Data'!$AG183="","",'I. Stream &amp; Compound Data'!$AG183)</f>
        <v/>
      </c>
      <c r="H312" s="231" t="str">
        <f>IF($E312="","",'I. Stream &amp; Compound Data'!$AF242)</f>
        <v/>
      </c>
      <c r="I312" s="231" t="str">
        <f>IF($E312="","",'I. Stream &amp; Compound Data'!$AF243)</f>
        <v/>
      </c>
      <c r="J312" s="231" t="str">
        <f>IF($E312="","",'I. Stream &amp; Compound Data'!$AF239)</f>
        <v/>
      </c>
      <c r="K312" s="230" t="str">
        <f>IF(OR($F312=1,$E312=""),"",'I. Stream &amp; Compound Data'!$AG182)</f>
        <v/>
      </c>
      <c r="L312" s="230" t="str">
        <f>IF(OR($F312=1,$E312=""),"",'I. Stream &amp; Compound Data'!$AG184)</f>
        <v/>
      </c>
      <c r="M312" s="231" t="str">
        <f>IF($E312="","",'I. Stream &amp; Compound Data'!$AF237)</f>
        <v/>
      </c>
      <c r="N312" s="231" t="str">
        <f>IF($E312="","",'I. Stream &amp; Compound Data'!$AF238)</f>
        <v/>
      </c>
      <c r="O312" s="231" t="str">
        <f>IF($E312="","",'I. Stream &amp; Compound Data'!$AF240)</f>
        <v/>
      </c>
      <c r="P312" s="231" t="str">
        <f>IF($E312="","",'I. Stream &amp; Compound Data'!$AF241)</f>
        <v/>
      </c>
      <c r="Q312" s="233" t="str">
        <f>IF($E312="","",'I. Stream &amp; Compound Data'!$AF245)</f>
        <v/>
      </c>
      <c r="R312" s="213"/>
      <c r="S312" s="213"/>
      <c r="T312" s="213"/>
      <c r="U312" s="213"/>
      <c r="V312" s="213"/>
      <c r="W312" s="213"/>
      <c r="X312" s="213"/>
      <c r="Y312" s="214"/>
    </row>
    <row r="313" spans="2:25" x14ac:dyDescent="0.2">
      <c r="B313" s="387"/>
      <c r="C313" s="213"/>
      <c r="D313" s="228">
        <f t="shared" si="32"/>
        <v>10</v>
      </c>
      <c r="E313" s="230" t="str">
        <f>IF('I. Stream &amp; Compound Data'!$AJ178="","",'I. Stream &amp; Compound Data'!$AJ178)</f>
        <v/>
      </c>
      <c r="F313" s="230" t="str">
        <f>IF($E313="","",'I. Stream &amp; Compound Data'!$AJ179)</f>
        <v/>
      </c>
      <c r="G313" s="230" t="str">
        <f>IF('I. Stream &amp; Compound Data'!$AJ183="","",'I. Stream &amp; Compound Data'!$AJ183)</f>
        <v/>
      </c>
      <c r="H313" s="231" t="str">
        <f>IF($E313="","",'I. Stream &amp; Compound Data'!$AI242)</f>
        <v/>
      </c>
      <c r="I313" s="231" t="str">
        <f>IF($E313="","",'I. Stream &amp; Compound Data'!$AI243)</f>
        <v/>
      </c>
      <c r="J313" s="231" t="str">
        <f>IF($E313="","",'I. Stream &amp; Compound Data'!$AI239)</f>
        <v/>
      </c>
      <c r="K313" s="230" t="str">
        <f>IF(OR($F313=1,$E313=""),"",'I. Stream &amp; Compound Data'!$AJ182)</f>
        <v/>
      </c>
      <c r="L313" s="230" t="str">
        <f>IF(OR($F313=1,$E313=""),"",'I. Stream &amp; Compound Data'!$AJ184)</f>
        <v/>
      </c>
      <c r="M313" s="231" t="str">
        <f>IF($E313="","",'I. Stream &amp; Compound Data'!$AI237)</f>
        <v/>
      </c>
      <c r="N313" s="231" t="str">
        <f>IF($E313="","",'I. Stream &amp; Compound Data'!$AI238)</f>
        <v/>
      </c>
      <c r="O313" s="231" t="str">
        <f>IF($E313="","",'I. Stream &amp; Compound Data'!$AI240)</f>
        <v/>
      </c>
      <c r="P313" s="231" t="str">
        <f>IF($E313="","",'I. Stream &amp; Compound Data'!$AI241)</f>
        <v/>
      </c>
      <c r="Q313" s="233" t="str">
        <f>IF($E313="","",'I. Stream &amp; Compound Data'!$AI245)</f>
        <v/>
      </c>
      <c r="R313" s="213"/>
      <c r="S313" s="213"/>
      <c r="T313" s="213"/>
      <c r="U313" s="213"/>
      <c r="V313" s="213"/>
      <c r="W313" s="213"/>
      <c r="X313" s="213"/>
      <c r="Y313" s="214"/>
    </row>
    <row r="314" spans="2:25" x14ac:dyDescent="0.2">
      <c r="B314" s="387"/>
      <c r="C314" s="213"/>
      <c r="D314" s="228">
        <f t="shared" si="32"/>
        <v>11</v>
      </c>
      <c r="E314" s="230" t="str">
        <f>IF('I. Stream &amp; Compound Data'!$AM178="","",'I. Stream &amp; Compound Data'!$AM178)</f>
        <v/>
      </c>
      <c r="F314" s="230" t="str">
        <f>IF($E314="","",'I. Stream &amp; Compound Data'!$AM179)</f>
        <v/>
      </c>
      <c r="G314" s="230" t="str">
        <f>IF('I. Stream &amp; Compound Data'!$AM183="","",'I. Stream &amp; Compound Data'!$AM183)</f>
        <v/>
      </c>
      <c r="H314" s="230" t="str">
        <f>IF($E314="","",'I. Stream &amp; Compound Data'!$AL242)</f>
        <v/>
      </c>
      <c r="I314" s="230" t="str">
        <f>IF($E314="","",'I. Stream &amp; Compound Data'!$AL243)</f>
        <v/>
      </c>
      <c r="J314" s="230" t="str">
        <f>IF($E314="","",'I. Stream &amp; Compound Data'!$AL239)</f>
        <v/>
      </c>
      <c r="K314" s="230" t="str">
        <f>IF(OR($F314=1,$E314=""),"",'I. Stream &amp; Compound Data'!$AM182)</f>
        <v/>
      </c>
      <c r="L314" s="230" t="str">
        <f>IF(OR($F314=1,$E314=""),"",'I. Stream &amp; Compound Data'!$AM184)</f>
        <v/>
      </c>
      <c r="M314" s="230" t="str">
        <f>IF($E314="","",'I. Stream &amp; Compound Data'!$AL237)</f>
        <v/>
      </c>
      <c r="N314" s="230" t="str">
        <f>IF($E314="","",'I. Stream &amp; Compound Data'!$AL238)</f>
        <v/>
      </c>
      <c r="O314" s="231" t="str">
        <f>IF($E314="","",'I. Stream &amp; Compound Data'!$AL240)</f>
        <v/>
      </c>
      <c r="P314" s="231" t="str">
        <f>IF($E314="","",'I. Stream &amp; Compound Data'!$AL241)</f>
        <v/>
      </c>
      <c r="Q314" s="233" t="str">
        <f>IF($E314="","",'I. Stream &amp; Compound Data'!$AL245)</f>
        <v/>
      </c>
      <c r="R314" s="213"/>
      <c r="S314" s="213"/>
      <c r="T314" s="213"/>
      <c r="U314" s="213"/>
      <c r="V314" s="213"/>
      <c r="W314" s="213"/>
      <c r="X314" s="213"/>
      <c r="Y314" s="214"/>
    </row>
    <row r="315" spans="2:25" x14ac:dyDescent="0.2">
      <c r="B315" s="387"/>
      <c r="C315" s="213"/>
      <c r="D315" s="228">
        <f t="shared" si="32"/>
        <v>12</v>
      </c>
      <c r="E315" s="318" t="str">
        <f>IF('I. Stream &amp; Compound Data'!$AP178="","",'I. Stream &amp; Compound Data'!$AP178)</f>
        <v/>
      </c>
      <c r="F315" s="318" t="str">
        <f>IF($E315="","",'I. Stream &amp; Compound Data'!$AP179)</f>
        <v/>
      </c>
      <c r="G315" s="318" t="str">
        <f>IF('I. Stream &amp; Compound Data'!$AP183="","",'I. Stream &amp; Compound Data'!$AP183)</f>
        <v/>
      </c>
      <c r="H315" s="230" t="str">
        <f>IF($E315="","",'I. Stream &amp; Compound Data'!$AO242)</f>
        <v/>
      </c>
      <c r="I315" s="230" t="str">
        <f>IF($E315="","",'I. Stream &amp; Compound Data'!$AO243)</f>
        <v/>
      </c>
      <c r="J315" s="230" t="str">
        <f>IF($E315="","",'I. Stream &amp; Compound Data'!$AO239)</f>
        <v/>
      </c>
      <c r="K315" s="318" t="str">
        <f>IF(OR($F315=1,$E315=""),"",'I. Stream &amp; Compound Data'!$AP182)</f>
        <v/>
      </c>
      <c r="L315" s="318" t="str">
        <f>IF(OR($F315=1,$E315=""),"",'I. Stream &amp; Compound Data'!$AP184)</f>
        <v/>
      </c>
      <c r="M315" s="230" t="str">
        <f>IF($E315="","",'I. Stream &amp; Compound Data'!$AO237)</f>
        <v/>
      </c>
      <c r="N315" s="230" t="str">
        <f>IF($E315="","",'I. Stream &amp; Compound Data'!$AO238)</f>
        <v/>
      </c>
      <c r="O315" s="231" t="str">
        <f>IF($E315="","",'I. Stream &amp; Compound Data'!$AO240)</f>
        <v/>
      </c>
      <c r="P315" s="231" t="str">
        <f>IF($E315="","",'I. Stream &amp; Compound Data'!$AO241)</f>
        <v/>
      </c>
      <c r="Q315" s="233" t="str">
        <f>IF($E315="","",'I. Stream &amp; Compound Data'!$AO245)</f>
        <v/>
      </c>
      <c r="R315" s="213"/>
      <c r="S315" s="213"/>
      <c r="T315" s="213"/>
      <c r="U315" s="213"/>
      <c r="V315" s="213"/>
      <c r="W315" s="213"/>
      <c r="X315" s="213"/>
      <c r="Y315" s="214"/>
    </row>
    <row r="316" spans="2:25" x14ac:dyDescent="0.2">
      <c r="B316" s="387"/>
      <c r="C316" s="213"/>
      <c r="D316" s="228">
        <f t="shared" si="32"/>
        <v>13</v>
      </c>
      <c r="E316" s="230" t="str">
        <f>IF('I. Stream &amp; Compound Data'!$AS178="","",'I. Stream &amp; Compound Data'!$AS178)</f>
        <v/>
      </c>
      <c r="F316" s="230" t="str">
        <f>IF($E316="","",'I. Stream &amp; Compound Data'!$AS179)</f>
        <v/>
      </c>
      <c r="G316" s="230" t="str">
        <f>IF('I. Stream &amp; Compound Data'!$AS183="","",'I. Stream &amp; Compound Data'!$AS183)</f>
        <v/>
      </c>
      <c r="H316" s="230" t="str">
        <f>IF($E316="","",'I. Stream &amp; Compound Data'!$AR242)</f>
        <v/>
      </c>
      <c r="I316" s="230" t="str">
        <f>IF($E316="","",'I. Stream &amp; Compound Data'!$AR243)</f>
        <v/>
      </c>
      <c r="J316" s="230" t="str">
        <f>IF($E316="","",'I. Stream &amp; Compound Data'!$AR239)</f>
        <v/>
      </c>
      <c r="K316" s="230" t="str">
        <f>IF(OR($F316=1,$E316=""),"",'I. Stream &amp; Compound Data'!$AS182)</f>
        <v/>
      </c>
      <c r="L316" s="230" t="str">
        <f>IF(OR($F316=1,$E316=""),"",'I. Stream &amp; Compound Data'!$AS184)</f>
        <v/>
      </c>
      <c r="M316" s="230" t="str">
        <f>IF($E316="","",'I. Stream &amp; Compound Data'!$AR237)</f>
        <v/>
      </c>
      <c r="N316" s="230" t="str">
        <f>IF($E316="","",'I. Stream &amp; Compound Data'!$AR238)</f>
        <v/>
      </c>
      <c r="O316" s="231" t="str">
        <f>IF($E316="","",'I. Stream &amp; Compound Data'!$AR240)</f>
        <v/>
      </c>
      <c r="P316" s="231" t="str">
        <f>IF($E316="","",'I. Stream &amp; Compound Data'!$AR241)</f>
        <v/>
      </c>
      <c r="Q316" s="233" t="str">
        <f>IF($E316="","",'I. Stream &amp; Compound Data'!$AR245)</f>
        <v/>
      </c>
      <c r="R316" s="213"/>
      <c r="S316" s="213"/>
      <c r="T316" s="213"/>
      <c r="U316" s="213"/>
      <c r="V316" s="213"/>
      <c r="W316" s="213"/>
      <c r="X316" s="213"/>
      <c r="Y316" s="214"/>
    </row>
    <row r="317" spans="2:25" x14ac:dyDescent="0.2">
      <c r="B317" s="387"/>
      <c r="C317" s="213"/>
      <c r="D317" s="228">
        <f t="shared" si="32"/>
        <v>14</v>
      </c>
      <c r="E317" s="230" t="str">
        <f>IF('I. Stream &amp; Compound Data'!$AV178="","",'I. Stream &amp; Compound Data'!$AV178)</f>
        <v/>
      </c>
      <c r="F317" s="230" t="str">
        <f>IF($E317="","",'I. Stream &amp; Compound Data'!$AV179)</f>
        <v/>
      </c>
      <c r="G317" s="230" t="str">
        <f>IF('I. Stream &amp; Compound Data'!$AV183="","",'I. Stream &amp; Compound Data'!$AV183)</f>
        <v/>
      </c>
      <c r="H317" s="230" t="str">
        <f>IF($E317="","",'I. Stream &amp; Compound Data'!$AU242)</f>
        <v/>
      </c>
      <c r="I317" s="230" t="str">
        <f>IF($E317="","",'I. Stream &amp; Compound Data'!$AU243)</f>
        <v/>
      </c>
      <c r="J317" s="230" t="str">
        <f>IF($E317="","",'I. Stream &amp; Compound Data'!$AU239)</f>
        <v/>
      </c>
      <c r="K317" s="230" t="str">
        <f>IF(OR($F317=1,$E317=""),"",'I. Stream &amp; Compound Data'!$AV182)</f>
        <v/>
      </c>
      <c r="L317" s="230" t="str">
        <f>IF(OR($F317=1,$E317=""),"",'I. Stream &amp; Compound Data'!$AV184)</f>
        <v/>
      </c>
      <c r="M317" s="230" t="str">
        <f>IF($E317="","",'I. Stream &amp; Compound Data'!$AU237)</f>
        <v/>
      </c>
      <c r="N317" s="230" t="str">
        <f>IF($E317="","",'I. Stream &amp; Compound Data'!$AU238)</f>
        <v/>
      </c>
      <c r="O317" s="231" t="str">
        <f>IF($E317="","",'I. Stream &amp; Compound Data'!$AU240)</f>
        <v/>
      </c>
      <c r="P317" s="231" t="str">
        <f>IF($E317="","",'I. Stream &amp; Compound Data'!$AU241)</f>
        <v/>
      </c>
      <c r="Q317" s="233" t="str">
        <f>IF($E317="","",'I. Stream &amp; Compound Data'!$AU245)</f>
        <v/>
      </c>
      <c r="R317" s="213"/>
      <c r="S317" s="213"/>
      <c r="T317" s="213"/>
      <c r="U317" s="213"/>
      <c r="V317" s="213"/>
      <c r="W317" s="213"/>
      <c r="X317" s="213"/>
      <c r="Y317" s="214"/>
    </row>
    <row r="318" spans="2:25" x14ac:dyDescent="0.2">
      <c r="B318" s="387"/>
      <c r="C318" s="213"/>
      <c r="D318" s="228">
        <f t="shared" si="32"/>
        <v>15</v>
      </c>
      <c r="E318" s="230" t="str">
        <f>IF('I. Stream &amp; Compound Data'!$AY178="","",'I. Stream &amp; Compound Data'!$AY178)</f>
        <v/>
      </c>
      <c r="F318" s="230" t="str">
        <f>IF($E318="","",'I. Stream &amp; Compound Data'!$AY179)</f>
        <v/>
      </c>
      <c r="G318" s="230" t="str">
        <f>IF('I. Stream &amp; Compound Data'!$AY183="","",'I. Stream &amp; Compound Data'!$AY183)</f>
        <v/>
      </c>
      <c r="H318" s="230" t="str">
        <f>IF($E318="","",'I. Stream &amp; Compound Data'!$AX242)</f>
        <v/>
      </c>
      <c r="I318" s="230" t="str">
        <f>IF($E318="","",'I. Stream &amp; Compound Data'!$AX243)</f>
        <v/>
      </c>
      <c r="J318" s="230" t="str">
        <f>IF($E318="","",'I. Stream &amp; Compound Data'!$AX239)</f>
        <v/>
      </c>
      <c r="K318" s="230" t="str">
        <f>IF(OR($F318=1,$E318=""),"",'I. Stream &amp; Compound Data'!$AY182)</f>
        <v/>
      </c>
      <c r="L318" s="230" t="str">
        <f>IF(OR($F318=1,$E318=""),"",'I. Stream &amp; Compound Data'!$AY184)</f>
        <v/>
      </c>
      <c r="M318" s="230" t="str">
        <f>IF($E318="","",'I. Stream &amp; Compound Data'!$AX237)</f>
        <v/>
      </c>
      <c r="N318" s="230" t="str">
        <f>IF($E318="","",'I. Stream &amp; Compound Data'!$AX238)</f>
        <v/>
      </c>
      <c r="O318" s="231" t="str">
        <f>IF($E318="","",'I. Stream &amp; Compound Data'!$AX240)</f>
        <v/>
      </c>
      <c r="P318" s="231" t="str">
        <f>IF($E318="","",'I. Stream &amp; Compound Data'!$AX241)</f>
        <v/>
      </c>
      <c r="Q318" s="233" t="str">
        <f>IF($E318="","",'I. Stream &amp; Compound Data'!$AX245)</f>
        <v/>
      </c>
      <c r="R318" s="213"/>
      <c r="S318" s="213"/>
      <c r="T318" s="213"/>
      <c r="U318" s="213"/>
      <c r="V318" s="213"/>
      <c r="W318" s="213"/>
      <c r="X318" s="213"/>
      <c r="Y318" s="214"/>
    </row>
    <row r="319" spans="2:25" x14ac:dyDescent="0.2">
      <c r="B319" s="387"/>
      <c r="C319" s="213"/>
      <c r="D319" s="228">
        <f t="shared" si="32"/>
        <v>16</v>
      </c>
      <c r="E319" s="230" t="str">
        <f>IF('I. Stream &amp; Compound Data'!$BB178="","",'I. Stream &amp; Compound Data'!$BB178)</f>
        <v/>
      </c>
      <c r="F319" s="230" t="str">
        <f>IF($E319="","",'I. Stream &amp; Compound Data'!$BB179)</f>
        <v/>
      </c>
      <c r="G319" s="230" t="str">
        <f>IF('I. Stream &amp; Compound Data'!$BB183="","",'I. Stream &amp; Compound Data'!$BB183)</f>
        <v/>
      </c>
      <c r="H319" s="230" t="str">
        <f>IF($E319="","",'I. Stream &amp; Compound Data'!$BA242)</f>
        <v/>
      </c>
      <c r="I319" s="230" t="str">
        <f>IF($E319="","",'I. Stream &amp; Compound Data'!$BA243)</f>
        <v/>
      </c>
      <c r="J319" s="230" t="str">
        <f>IF($E319="","",'I. Stream &amp; Compound Data'!$BA239)</f>
        <v/>
      </c>
      <c r="K319" s="230" t="str">
        <f>IF(OR($F319=1,$E319=""),"",'I. Stream &amp; Compound Data'!$BB182)</f>
        <v/>
      </c>
      <c r="L319" s="230" t="str">
        <f>IF(OR($F319=1,$E319=""),"",'I. Stream &amp; Compound Data'!$BB184)</f>
        <v/>
      </c>
      <c r="M319" s="230" t="str">
        <f>IF($E319="","",'I. Stream &amp; Compound Data'!$BA237)</f>
        <v/>
      </c>
      <c r="N319" s="230" t="str">
        <f>IF($E319="","",'I. Stream &amp; Compound Data'!$BA238)</f>
        <v/>
      </c>
      <c r="O319" s="231" t="str">
        <f>IF($E319="","",'I. Stream &amp; Compound Data'!$BA240)</f>
        <v/>
      </c>
      <c r="P319" s="231" t="str">
        <f>IF($E319="","",'I. Stream &amp; Compound Data'!$BA241)</f>
        <v/>
      </c>
      <c r="Q319" s="233" t="str">
        <f>IF($E319="","",'I. Stream &amp; Compound Data'!$BA245)</f>
        <v/>
      </c>
      <c r="R319" s="213"/>
      <c r="S319" s="213"/>
      <c r="T319" s="213"/>
      <c r="U319" s="213"/>
      <c r="V319" s="213"/>
      <c r="W319" s="213"/>
      <c r="X319" s="213"/>
      <c r="Y319" s="214"/>
    </row>
    <row r="320" spans="2:25" x14ac:dyDescent="0.2">
      <c r="B320" s="387"/>
      <c r="C320" s="213"/>
      <c r="D320" s="228">
        <f>D319+1</f>
        <v>17</v>
      </c>
      <c r="E320" s="230" t="str">
        <f>IF('I. Stream &amp; Compound Data'!$BE178="","",'I. Stream &amp; Compound Data'!$BE178)</f>
        <v/>
      </c>
      <c r="F320" s="230" t="str">
        <f>IF($E320="","",'I. Stream &amp; Compound Data'!$BE179)</f>
        <v/>
      </c>
      <c r="G320" s="230" t="str">
        <f>IF('I. Stream &amp; Compound Data'!$BE183="","",'I. Stream &amp; Compound Data'!$BE183)</f>
        <v/>
      </c>
      <c r="H320" s="230" t="str">
        <f>IF($E320="","",'I. Stream &amp; Compound Data'!$BD242)</f>
        <v/>
      </c>
      <c r="I320" s="230" t="str">
        <f>IF($E320="","",'I. Stream &amp; Compound Data'!$BD243)</f>
        <v/>
      </c>
      <c r="J320" s="230" t="str">
        <f>IF($E320="","",'I. Stream &amp; Compound Data'!$BD239)</f>
        <v/>
      </c>
      <c r="K320" s="230" t="str">
        <f>IF(OR($F320=1,$E320=""),"",'I. Stream &amp; Compound Data'!$BE182)</f>
        <v/>
      </c>
      <c r="L320" s="230" t="str">
        <f>IF(OR($F320=1,$E320=""),"",'I. Stream &amp; Compound Data'!$BE184)</f>
        <v/>
      </c>
      <c r="M320" s="230" t="str">
        <f>IF($E320="","",'I. Stream &amp; Compound Data'!$BD237)</f>
        <v/>
      </c>
      <c r="N320" s="230" t="str">
        <f>IF($E320="","",'I. Stream &amp; Compound Data'!$BD238)</f>
        <v/>
      </c>
      <c r="O320" s="231" t="str">
        <f>IF($E320="","",'I. Stream &amp; Compound Data'!$BD240)</f>
        <v/>
      </c>
      <c r="P320" s="231" t="str">
        <f>IF($E320="","",'I. Stream &amp; Compound Data'!$BD241)</f>
        <v/>
      </c>
      <c r="Q320" s="233" t="str">
        <f>IF($E320="","",'I. Stream &amp; Compound Data'!$BD245)</f>
        <v/>
      </c>
      <c r="R320" s="213"/>
      <c r="S320" s="213"/>
      <c r="T320" s="213"/>
      <c r="U320" s="213"/>
      <c r="V320" s="213"/>
      <c r="W320" s="213"/>
      <c r="X320" s="213"/>
      <c r="Y320" s="214"/>
    </row>
    <row r="321" spans="2:25" x14ac:dyDescent="0.2">
      <c r="B321" s="387"/>
      <c r="C321" s="213"/>
      <c r="D321" s="228">
        <f t="shared" si="32"/>
        <v>18</v>
      </c>
      <c r="E321" s="230" t="str">
        <f>IF('I. Stream &amp; Compound Data'!$BH178="","",'I. Stream &amp; Compound Data'!$BH178)</f>
        <v/>
      </c>
      <c r="F321" s="230" t="str">
        <f>IF($E321="","",'I. Stream &amp; Compound Data'!$BH179)</f>
        <v/>
      </c>
      <c r="G321" s="230" t="str">
        <f>IF('I. Stream &amp; Compound Data'!$BH183="","",'I. Stream &amp; Compound Data'!$BH183)</f>
        <v/>
      </c>
      <c r="H321" s="230" t="str">
        <f>IF($E321="","",'I. Stream &amp; Compound Data'!$BG242)</f>
        <v/>
      </c>
      <c r="I321" s="230" t="str">
        <f>IF($E321="","",'I. Stream &amp; Compound Data'!$BG243)</f>
        <v/>
      </c>
      <c r="J321" s="230" t="str">
        <f>IF($E321="","",'I. Stream &amp; Compound Data'!$BG239)</f>
        <v/>
      </c>
      <c r="K321" s="230" t="str">
        <f>IF(OR($F321=1,$E321=""),"",'I. Stream &amp; Compound Data'!$BH182)</f>
        <v/>
      </c>
      <c r="L321" s="230" t="str">
        <f>IF(OR($F321=1,$E321=""),"",'I. Stream &amp; Compound Data'!$BH184)</f>
        <v/>
      </c>
      <c r="M321" s="230" t="str">
        <f>IF($E321="","",'I. Stream &amp; Compound Data'!$BG237)</f>
        <v/>
      </c>
      <c r="N321" s="230" t="str">
        <f>IF($E321="","",'I. Stream &amp; Compound Data'!$BG238)</f>
        <v/>
      </c>
      <c r="O321" s="231" t="str">
        <f>IF($E321="","",'I. Stream &amp; Compound Data'!$BG240)</f>
        <v/>
      </c>
      <c r="P321" s="231" t="str">
        <f>IF($E321="","",'I. Stream &amp; Compound Data'!$BG241)</f>
        <v/>
      </c>
      <c r="Q321" s="233" t="str">
        <f>IF($E321="","",'I. Stream &amp; Compound Data'!$BG245)</f>
        <v/>
      </c>
      <c r="R321" s="213"/>
      <c r="S321" s="213"/>
      <c r="T321" s="213"/>
      <c r="U321" s="213"/>
      <c r="V321" s="213"/>
      <c r="W321" s="213"/>
      <c r="X321" s="213"/>
      <c r="Y321" s="214"/>
    </row>
    <row r="322" spans="2:25" x14ac:dyDescent="0.2">
      <c r="B322" s="387"/>
      <c r="C322" s="213"/>
      <c r="D322" s="228">
        <f t="shared" si="32"/>
        <v>19</v>
      </c>
      <c r="E322" s="230" t="str">
        <f>IF('I. Stream &amp; Compound Data'!$BK178="","",'I. Stream &amp; Compound Data'!$BK178)</f>
        <v/>
      </c>
      <c r="F322" s="230" t="str">
        <f>IF($E322="","",'I. Stream &amp; Compound Data'!$BK179)</f>
        <v/>
      </c>
      <c r="G322" s="230" t="str">
        <f>IF('I. Stream &amp; Compound Data'!$BK183="","",'I. Stream &amp; Compound Data'!$BK183)</f>
        <v/>
      </c>
      <c r="H322" s="230" t="str">
        <f>IF($E322="","",'I. Stream &amp; Compound Data'!$BJ242)</f>
        <v/>
      </c>
      <c r="I322" s="230" t="str">
        <f>IF($E322="","",'I. Stream &amp; Compound Data'!$BJ243)</f>
        <v/>
      </c>
      <c r="J322" s="230" t="str">
        <f>IF($E322="","",'I. Stream &amp; Compound Data'!$BJ239)</f>
        <v/>
      </c>
      <c r="K322" s="230" t="str">
        <f>IF(OR($F322=1,$E322=""),"",'I. Stream &amp; Compound Data'!$BK182)</f>
        <v/>
      </c>
      <c r="L322" s="230" t="str">
        <f>IF(OR($F322=1,$E322=""),"",'I. Stream &amp; Compound Data'!$BK184)</f>
        <v/>
      </c>
      <c r="M322" s="230" t="str">
        <f>IF($E322="","",'I. Stream &amp; Compound Data'!$BJ237)</f>
        <v/>
      </c>
      <c r="N322" s="230" t="str">
        <f>IF($E322="","",'I. Stream &amp; Compound Data'!$BJ238)</f>
        <v/>
      </c>
      <c r="O322" s="231" t="str">
        <f>IF($E322="","",'I. Stream &amp; Compound Data'!$BJ240)</f>
        <v/>
      </c>
      <c r="P322" s="231" t="str">
        <f>IF($E322="","",'I. Stream &amp; Compound Data'!$BJ241)</f>
        <v/>
      </c>
      <c r="Q322" s="233" t="str">
        <f>IF($E322="","",'I. Stream &amp; Compound Data'!$BJ245)</f>
        <v/>
      </c>
      <c r="R322" s="213"/>
      <c r="S322" s="213"/>
      <c r="T322" s="213"/>
      <c r="U322" s="213"/>
      <c r="V322" s="213"/>
      <c r="W322" s="213"/>
      <c r="X322" s="213"/>
      <c r="Y322" s="214"/>
    </row>
    <row r="323" spans="2:25" x14ac:dyDescent="0.2">
      <c r="B323" s="387"/>
      <c r="C323" s="213"/>
      <c r="D323" s="228">
        <f t="shared" si="32"/>
        <v>20</v>
      </c>
      <c r="E323" s="230" t="str">
        <f>IF('I. Stream &amp; Compound Data'!$BN178="","",'I. Stream &amp; Compound Data'!$BN178)</f>
        <v/>
      </c>
      <c r="F323" s="230" t="str">
        <f>IF($E323="","",'I. Stream &amp; Compound Data'!$BN179)</f>
        <v/>
      </c>
      <c r="G323" s="230" t="str">
        <f>IF('I. Stream &amp; Compound Data'!$BN183="","",'I. Stream &amp; Compound Data'!$BN183)</f>
        <v/>
      </c>
      <c r="H323" s="230" t="str">
        <f>IF($E323="","",'I. Stream &amp; Compound Data'!$BM242)</f>
        <v/>
      </c>
      <c r="I323" s="230" t="str">
        <f>IF($E323="","",'I. Stream &amp; Compound Data'!$BM243)</f>
        <v/>
      </c>
      <c r="J323" s="230" t="str">
        <f>IF($E323="","",'I. Stream &amp; Compound Data'!$BM239)</f>
        <v/>
      </c>
      <c r="K323" s="230" t="str">
        <f>IF(OR($F323=1,$E323=""),"",'I. Stream &amp; Compound Data'!$BN182)</f>
        <v/>
      </c>
      <c r="L323" s="230" t="str">
        <f>IF(OR($F323=1,$E323=""),"",'I. Stream &amp; Compound Data'!$BN184)</f>
        <v/>
      </c>
      <c r="M323" s="230" t="str">
        <f>IF($E323="","",'I. Stream &amp; Compound Data'!$BM237)</f>
        <v/>
      </c>
      <c r="N323" s="230" t="str">
        <f>IF($E323="","",'I. Stream &amp; Compound Data'!$BM238)</f>
        <v/>
      </c>
      <c r="O323" s="231" t="str">
        <f>IF($E323="","",'I. Stream &amp; Compound Data'!$BM240)</f>
        <v/>
      </c>
      <c r="P323" s="231" t="str">
        <f>IF($E323="","",'I. Stream &amp; Compound Data'!$BM241)</f>
        <v/>
      </c>
      <c r="Q323" s="233" t="str">
        <f>IF($E323="","",'I. Stream &amp; Compound Data'!$BM245)</f>
        <v/>
      </c>
      <c r="R323" s="213"/>
      <c r="S323" s="213"/>
      <c r="T323" s="213"/>
      <c r="U323" s="213"/>
      <c r="V323" s="213"/>
      <c r="W323" s="213"/>
      <c r="X323" s="213"/>
      <c r="Y323" s="214"/>
    </row>
    <row r="324" spans="2:25" x14ac:dyDescent="0.2">
      <c r="B324" s="387"/>
      <c r="C324" s="213"/>
      <c r="D324" s="228">
        <f t="shared" si="32"/>
        <v>21</v>
      </c>
      <c r="E324" s="230" t="str">
        <f>IF('I. Stream &amp; Compound Data'!$BQ178="","",'I. Stream &amp; Compound Data'!$BQ178)</f>
        <v/>
      </c>
      <c r="F324" s="230" t="str">
        <f>IF($E324="","",'I. Stream &amp; Compound Data'!$BQ179)</f>
        <v/>
      </c>
      <c r="G324" s="230" t="str">
        <f>IF('I. Stream &amp; Compound Data'!$BQ183="","",'I. Stream &amp; Compound Data'!$BQ183)</f>
        <v/>
      </c>
      <c r="H324" s="230" t="str">
        <f>IF($E324="","",'I. Stream &amp; Compound Data'!$BP242)</f>
        <v/>
      </c>
      <c r="I324" s="230" t="str">
        <f>IF($E324="","",'I. Stream &amp; Compound Data'!$BP243)</f>
        <v/>
      </c>
      <c r="J324" s="230" t="str">
        <f>IF($E324="","",'I. Stream &amp; Compound Data'!$BP239)</f>
        <v/>
      </c>
      <c r="K324" s="230" t="str">
        <f>IF(OR($F324=1,$E324=""),"",'I. Stream &amp; Compound Data'!$BQ182)</f>
        <v/>
      </c>
      <c r="L324" s="230" t="str">
        <f>IF(OR($F324=1,$E324=""),"",'I. Stream &amp; Compound Data'!$BQ184)</f>
        <v/>
      </c>
      <c r="M324" s="230" t="str">
        <f>IF($E324="","",'I. Stream &amp; Compound Data'!$BP237)</f>
        <v/>
      </c>
      <c r="N324" s="230" t="str">
        <f>IF($E324="","",'I. Stream &amp; Compound Data'!$BP238)</f>
        <v/>
      </c>
      <c r="O324" s="231" t="str">
        <f>IF($E324="","",'I. Stream &amp; Compound Data'!$BP240)</f>
        <v/>
      </c>
      <c r="P324" s="231" t="str">
        <f>IF($E324="","",'I. Stream &amp; Compound Data'!$BP241)</f>
        <v/>
      </c>
      <c r="Q324" s="233" t="str">
        <f>IF($E324="","",'I. Stream &amp; Compound Data'!$BP245)</f>
        <v/>
      </c>
      <c r="R324" s="213"/>
      <c r="S324" s="213"/>
      <c r="T324" s="213"/>
      <c r="U324" s="213"/>
      <c r="V324" s="213"/>
      <c r="W324" s="213"/>
      <c r="X324" s="213"/>
      <c r="Y324" s="214"/>
    </row>
    <row r="325" spans="2:25" x14ac:dyDescent="0.2">
      <c r="B325" s="387"/>
      <c r="C325" s="213"/>
      <c r="D325" s="228">
        <f t="shared" si="32"/>
        <v>22</v>
      </c>
      <c r="E325" s="230" t="str">
        <f>IF('I. Stream &amp; Compound Data'!$BT178="","",'I. Stream &amp; Compound Data'!$BT178)</f>
        <v/>
      </c>
      <c r="F325" s="230" t="str">
        <f>IF($E325="","",'I. Stream &amp; Compound Data'!$BT179)</f>
        <v/>
      </c>
      <c r="G325" s="230" t="str">
        <f>IF('I. Stream &amp; Compound Data'!$BT183="","",'I. Stream &amp; Compound Data'!$BT183)</f>
        <v/>
      </c>
      <c r="H325" s="230" t="str">
        <f>IF($E325="","",'I. Stream &amp; Compound Data'!$BS242)</f>
        <v/>
      </c>
      <c r="I325" s="230" t="str">
        <f>IF($E325="","",'I. Stream &amp; Compound Data'!$BS243)</f>
        <v/>
      </c>
      <c r="J325" s="230" t="str">
        <f>IF($E325="","",'I. Stream &amp; Compound Data'!$BS239)</f>
        <v/>
      </c>
      <c r="K325" s="230" t="str">
        <f>IF(OR($F325=1,$E325=""),"",'I. Stream &amp; Compound Data'!$BT182)</f>
        <v/>
      </c>
      <c r="L325" s="230" t="str">
        <f>IF(OR($F325=1,$E325=""),"",'I. Stream &amp; Compound Data'!$BT184)</f>
        <v/>
      </c>
      <c r="M325" s="230" t="str">
        <f>IF($E325="","",'I. Stream &amp; Compound Data'!$BS237)</f>
        <v/>
      </c>
      <c r="N325" s="230" t="str">
        <f>IF($E325="","",'I. Stream &amp; Compound Data'!$BS238)</f>
        <v/>
      </c>
      <c r="O325" s="231" t="str">
        <f>IF($E325="","",'I. Stream &amp; Compound Data'!$BS240)</f>
        <v/>
      </c>
      <c r="P325" s="231" t="str">
        <f>IF($E325="","",'I. Stream &amp; Compound Data'!$BS241)</f>
        <v/>
      </c>
      <c r="Q325" s="233" t="str">
        <f>IF($E325="","",'I. Stream &amp; Compound Data'!$BS245)</f>
        <v/>
      </c>
      <c r="R325" s="213"/>
      <c r="S325" s="213"/>
      <c r="T325" s="213"/>
      <c r="U325" s="213"/>
      <c r="V325" s="213"/>
      <c r="W325" s="213"/>
      <c r="X325" s="213"/>
      <c r="Y325" s="214"/>
    </row>
    <row r="326" spans="2:25" x14ac:dyDescent="0.2">
      <c r="B326" s="387"/>
      <c r="C326" s="213"/>
      <c r="D326" s="228">
        <f t="shared" si="32"/>
        <v>23</v>
      </c>
      <c r="E326" s="230" t="str">
        <f>IF('I. Stream &amp; Compound Data'!$BW178="","",'I. Stream &amp; Compound Data'!$BW178)</f>
        <v/>
      </c>
      <c r="F326" s="230" t="str">
        <f>IF($E326="","",'I. Stream &amp; Compound Data'!$BW179)</f>
        <v/>
      </c>
      <c r="G326" s="230" t="str">
        <f>IF('I. Stream &amp; Compound Data'!$BW183="","",'I. Stream &amp; Compound Data'!$BW183)</f>
        <v/>
      </c>
      <c r="H326" s="230" t="str">
        <f>IF($E326="","",'I. Stream &amp; Compound Data'!$BV242)</f>
        <v/>
      </c>
      <c r="I326" s="230" t="str">
        <f>IF($E326="","",'I. Stream &amp; Compound Data'!$BV243)</f>
        <v/>
      </c>
      <c r="J326" s="230" t="str">
        <f>IF($E326="","",'I. Stream &amp; Compound Data'!$BV239)</f>
        <v/>
      </c>
      <c r="K326" s="230" t="str">
        <f>IF(OR($F326=1,$E326=""),"",'I. Stream &amp; Compound Data'!$BW182)</f>
        <v/>
      </c>
      <c r="L326" s="230" t="str">
        <f>IF(OR($F326=1,$E326=""),"",'I. Stream &amp; Compound Data'!$BW184)</f>
        <v/>
      </c>
      <c r="M326" s="230" t="str">
        <f>IF($E326="","",'I. Stream &amp; Compound Data'!$BV237)</f>
        <v/>
      </c>
      <c r="N326" s="230" t="str">
        <f>IF($E326="","",'I. Stream &amp; Compound Data'!$BV238)</f>
        <v/>
      </c>
      <c r="O326" s="231" t="str">
        <f>IF($E326="","",'I. Stream &amp; Compound Data'!$BV240)</f>
        <v/>
      </c>
      <c r="P326" s="231" t="str">
        <f>IF($E326="","",'I. Stream &amp; Compound Data'!$BV241)</f>
        <v/>
      </c>
      <c r="Q326" s="233" t="str">
        <f>IF($E326="","",'I. Stream &amp; Compound Data'!$BV245)</f>
        <v/>
      </c>
      <c r="R326" s="213"/>
      <c r="S326" s="213"/>
      <c r="T326" s="213"/>
      <c r="U326" s="213"/>
      <c r="V326" s="213"/>
      <c r="W326" s="213"/>
      <c r="X326" s="213"/>
      <c r="Y326" s="214"/>
    </row>
    <row r="327" spans="2:25" x14ac:dyDescent="0.2">
      <c r="B327" s="387"/>
      <c r="C327" s="213"/>
      <c r="D327" s="228">
        <f t="shared" si="32"/>
        <v>24</v>
      </c>
      <c r="E327" s="230" t="str">
        <f>IF('I. Stream &amp; Compound Data'!$BZ178="","",'I. Stream &amp; Compound Data'!$BZ178)</f>
        <v/>
      </c>
      <c r="F327" s="230" t="str">
        <f>IF($E327="","",'I. Stream &amp; Compound Data'!$BZ179)</f>
        <v/>
      </c>
      <c r="G327" s="230" t="str">
        <f>IF('I. Stream &amp; Compound Data'!$BZ183="","",'I. Stream &amp; Compound Data'!$BZ183)</f>
        <v/>
      </c>
      <c r="H327" s="230" t="str">
        <f>IF($E327="","",'I. Stream &amp; Compound Data'!$BY242)</f>
        <v/>
      </c>
      <c r="I327" s="230" t="str">
        <f>IF($E327="","",'I. Stream &amp; Compound Data'!$BY243)</f>
        <v/>
      </c>
      <c r="J327" s="230" t="str">
        <f>IF($E327="","",'I. Stream &amp; Compound Data'!$BY239)</f>
        <v/>
      </c>
      <c r="K327" s="230" t="str">
        <f>IF(OR($F327=1,$E327=""),"",'I. Stream &amp; Compound Data'!$BZ182)</f>
        <v/>
      </c>
      <c r="L327" s="230" t="str">
        <f>IF(OR($F327=1,$E327=""),"",'I. Stream &amp; Compound Data'!$BZ184)</f>
        <v/>
      </c>
      <c r="M327" s="230" t="str">
        <f>IF($E327="","",'I. Stream &amp; Compound Data'!$BY237)</f>
        <v/>
      </c>
      <c r="N327" s="230" t="str">
        <f>IF($E327="","",'I. Stream &amp; Compound Data'!$BY238)</f>
        <v/>
      </c>
      <c r="O327" s="231" t="str">
        <f>IF($E327="","",'I. Stream &amp; Compound Data'!$BY240)</f>
        <v/>
      </c>
      <c r="P327" s="231" t="str">
        <f>IF($E327="","",'I. Stream &amp; Compound Data'!$BY241)</f>
        <v/>
      </c>
      <c r="Q327" s="233" t="str">
        <f>IF($E327="","",'I. Stream &amp; Compound Data'!$BY245)</f>
        <v/>
      </c>
      <c r="R327" s="213"/>
      <c r="S327" s="213"/>
      <c r="T327" s="213"/>
      <c r="U327" s="213"/>
      <c r="V327" s="213"/>
      <c r="W327" s="213"/>
      <c r="X327" s="213"/>
      <c r="Y327" s="214"/>
    </row>
    <row r="328" spans="2:25" x14ac:dyDescent="0.2">
      <c r="B328" s="387"/>
      <c r="C328" s="213"/>
      <c r="D328" s="228">
        <f t="shared" si="32"/>
        <v>25</v>
      </c>
      <c r="E328" s="230" t="str">
        <f>IF('I. Stream &amp; Compound Data'!$CC178="","",'I. Stream &amp; Compound Data'!$CC178)</f>
        <v/>
      </c>
      <c r="F328" s="230" t="str">
        <f>IF($E328="","",'I. Stream &amp; Compound Data'!$CC179)</f>
        <v/>
      </c>
      <c r="G328" s="230" t="str">
        <f>IF('I. Stream &amp; Compound Data'!$CC183="","",'I. Stream &amp; Compound Data'!$CC183)</f>
        <v/>
      </c>
      <c r="H328" s="230" t="str">
        <f>IF($E328="","",'I. Stream &amp; Compound Data'!$CB242)</f>
        <v/>
      </c>
      <c r="I328" s="230" t="str">
        <f>IF($E328="","",'I. Stream &amp; Compound Data'!$CB243)</f>
        <v/>
      </c>
      <c r="J328" s="230" t="str">
        <f>IF($E328="","",'I. Stream &amp; Compound Data'!$CB239)</f>
        <v/>
      </c>
      <c r="K328" s="230" t="str">
        <f>IF(OR($F328=1,$E328=""),"",'I. Stream &amp; Compound Data'!$CC182)</f>
        <v/>
      </c>
      <c r="L328" s="230" t="str">
        <f>IF(OR($F328=1,$E328=""),"",'I. Stream &amp; Compound Data'!$CC184)</f>
        <v/>
      </c>
      <c r="M328" s="230" t="str">
        <f>IF($E328="","",'I. Stream &amp; Compound Data'!$CB237)</f>
        <v/>
      </c>
      <c r="N328" s="230" t="str">
        <f>IF($E328="","",'I. Stream &amp; Compound Data'!$CB238)</f>
        <v/>
      </c>
      <c r="O328" s="231" t="str">
        <f>IF($E328="","",'I. Stream &amp; Compound Data'!$CB240)</f>
        <v/>
      </c>
      <c r="P328" s="231" t="str">
        <f>IF($E328="","",'I. Stream &amp; Compound Data'!$CB241)</f>
        <v/>
      </c>
      <c r="Q328" s="233" t="str">
        <f>IF($E328="","",'I. Stream &amp; Compound Data'!$CB245)</f>
        <v/>
      </c>
      <c r="R328" s="213"/>
      <c r="S328" s="213"/>
      <c r="T328" s="213"/>
      <c r="U328" s="213"/>
      <c r="V328" s="213"/>
      <c r="W328" s="213"/>
      <c r="X328" s="213"/>
      <c r="Y328" s="214"/>
    </row>
    <row r="329" spans="2:25" x14ac:dyDescent="0.2">
      <c r="B329" s="387"/>
      <c r="C329" s="213"/>
      <c r="D329" s="228">
        <f t="shared" si="32"/>
        <v>26</v>
      </c>
      <c r="E329" s="230" t="str">
        <f>IF('I. Stream &amp; Compound Data'!$CF178="","",'I. Stream &amp; Compound Data'!$CF178)</f>
        <v/>
      </c>
      <c r="F329" s="230" t="str">
        <f>IF($E329="","",'I. Stream &amp; Compound Data'!$CF179)</f>
        <v/>
      </c>
      <c r="G329" s="230" t="str">
        <f>IF('I. Stream &amp; Compound Data'!$CF183="","",'I. Stream &amp; Compound Data'!$CF183)</f>
        <v/>
      </c>
      <c r="H329" s="230" t="str">
        <f>IF($E329="","",'I. Stream &amp; Compound Data'!$CE242)</f>
        <v/>
      </c>
      <c r="I329" s="230" t="str">
        <f>IF($E329="","",'I. Stream &amp; Compound Data'!$CE243)</f>
        <v/>
      </c>
      <c r="J329" s="230" t="str">
        <f>IF($E329="","",'I. Stream &amp; Compound Data'!$CE239)</f>
        <v/>
      </c>
      <c r="K329" s="230" t="str">
        <f>IF(OR($F329=1,$E329=""),"",'I. Stream &amp; Compound Data'!$CF182)</f>
        <v/>
      </c>
      <c r="L329" s="230" t="str">
        <f>IF(OR($F329=1,$E329=""),"",'I. Stream &amp; Compound Data'!$CF184)</f>
        <v/>
      </c>
      <c r="M329" s="230" t="str">
        <f>IF($E329="","",'I. Stream &amp; Compound Data'!$CE237)</f>
        <v/>
      </c>
      <c r="N329" s="230" t="str">
        <f>IF($E329="","",'I. Stream &amp; Compound Data'!$CE238)</f>
        <v/>
      </c>
      <c r="O329" s="231" t="str">
        <f>IF($E329="","",'I. Stream &amp; Compound Data'!$CE240)</f>
        <v/>
      </c>
      <c r="P329" s="231" t="str">
        <f>IF($E329="","",'I. Stream &amp; Compound Data'!$CE241)</f>
        <v/>
      </c>
      <c r="Q329" s="233" t="str">
        <f>IF($E329="","",'I. Stream &amp; Compound Data'!$CE245)</f>
        <v/>
      </c>
      <c r="R329" s="213"/>
      <c r="S329" s="213"/>
      <c r="T329" s="213"/>
      <c r="U329" s="213"/>
      <c r="V329" s="213"/>
      <c r="W329" s="213"/>
      <c r="X329" s="213"/>
      <c r="Y329" s="214"/>
    </row>
    <row r="330" spans="2:25" x14ac:dyDescent="0.2">
      <c r="B330" s="387"/>
      <c r="C330" s="213"/>
      <c r="D330" s="228">
        <f>D329+1</f>
        <v>27</v>
      </c>
      <c r="E330" s="230" t="str">
        <f>IF('I. Stream &amp; Compound Data'!$CI178="","",'I. Stream &amp; Compound Data'!$CI178)</f>
        <v/>
      </c>
      <c r="F330" s="230" t="str">
        <f>IF($E330="","",'I. Stream &amp; Compound Data'!$CI179)</f>
        <v/>
      </c>
      <c r="G330" s="230" t="str">
        <f>IF('I. Stream &amp; Compound Data'!$CI183="","",'I. Stream &amp; Compound Data'!$CI183)</f>
        <v/>
      </c>
      <c r="H330" s="230" t="str">
        <f>IF($E330="","",'I. Stream &amp; Compound Data'!$CH242)</f>
        <v/>
      </c>
      <c r="I330" s="230" t="str">
        <f>IF($E330="","",'I. Stream &amp; Compound Data'!$CH243)</f>
        <v/>
      </c>
      <c r="J330" s="230" t="str">
        <f>IF($E330="","",'I. Stream &amp; Compound Data'!$CH239)</f>
        <v/>
      </c>
      <c r="K330" s="230" t="str">
        <f>IF(OR($F330=1,$E330=""),"",'I. Stream &amp; Compound Data'!$CI182)</f>
        <v/>
      </c>
      <c r="L330" s="230" t="str">
        <f>IF(OR($F330=1,$E330=""),"",'I. Stream &amp; Compound Data'!$CI184)</f>
        <v/>
      </c>
      <c r="M330" s="230" t="str">
        <f>IF($E330="","",'I. Stream &amp; Compound Data'!$CH237)</f>
        <v/>
      </c>
      <c r="N330" s="230" t="str">
        <f>IF($E330="","",'I. Stream &amp; Compound Data'!$CH238)</f>
        <v/>
      </c>
      <c r="O330" s="231" t="str">
        <f>IF($E330="","",'I. Stream &amp; Compound Data'!$CH240)</f>
        <v/>
      </c>
      <c r="P330" s="231" t="str">
        <f>IF($E330="","",'I. Stream &amp; Compound Data'!$CH241)</f>
        <v/>
      </c>
      <c r="Q330" s="233" t="str">
        <f>IF($E330="","",'I. Stream &amp; Compound Data'!$CH245)</f>
        <v/>
      </c>
      <c r="R330" s="213"/>
      <c r="S330" s="213"/>
      <c r="T330" s="213"/>
      <c r="U330" s="213"/>
      <c r="V330" s="213"/>
      <c r="W330" s="213"/>
      <c r="X330" s="213"/>
      <c r="Y330" s="214"/>
    </row>
    <row r="331" spans="2:25" x14ac:dyDescent="0.2">
      <c r="B331" s="387"/>
      <c r="C331" s="213"/>
      <c r="D331" s="228">
        <f t="shared" si="32"/>
        <v>28</v>
      </c>
      <c r="E331" s="230" t="str">
        <f>IF('I. Stream &amp; Compound Data'!$CL178="","",'I. Stream &amp; Compound Data'!$CL178)</f>
        <v/>
      </c>
      <c r="F331" s="230" t="str">
        <f>IF($E331="","",'I. Stream &amp; Compound Data'!$CL179)</f>
        <v/>
      </c>
      <c r="G331" s="230" t="str">
        <f>IF('I. Stream &amp; Compound Data'!$CL183="","",'I. Stream &amp; Compound Data'!$CL183)</f>
        <v/>
      </c>
      <c r="H331" s="230" t="str">
        <f>IF($E331="","",'I. Stream &amp; Compound Data'!$CK242)</f>
        <v/>
      </c>
      <c r="I331" s="230" t="str">
        <f>IF($E331="","",'I. Stream &amp; Compound Data'!$CK243)</f>
        <v/>
      </c>
      <c r="J331" s="230" t="str">
        <f>IF($E331="","",'I. Stream &amp; Compound Data'!$CK239)</f>
        <v/>
      </c>
      <c r="K331" s="230" t="str">
        <f>IF(OR($F331=1,$E331=""),"",'I. Stream &amp; Compound Data'!$CL182)</f>
        <v/>
      </c>
      <c r="L331" s="230" t="str">
        <f>IF(OR($F331=1,$E331=""),"",'I. Stream &amp; Compound Data'!$CL184)</f>
        <v/>
      </c>
      <c r="M331" s="230" t="str">
        <f>IF($E331="","",'I. Stream &amp; Compound Data'!$CK237)</f>
        <v/>
      </c>
      <c r="N331" s="230" t="str">
        <f>IF($E331="","",'I. Stream &amp; Compound Data'!$CK238)</f>
        <v/>
      </c>
      <c r="O331" s="231" t="str">
        <f>IF($E331="","",'I. Stream &amp; Compound Data'!$CK240)</f>
        <v/>
      </c>
      <c r="P331" s="231" t="str">
        <f>IF($E331="","",'I. Stream &amp; Compound Data'!$CK241)</f>
        <v/>
      </c>
      <c r="Q331" s="233" t="str">
        <f>IF($E331="","",'I. Stream &amp; Compound Data'!$CK245)</f>
        <v/>
      </c>
      <c r="R331" s="213"/>
      <c r="S331" s="213"/>
      <c r="T331" s="213"/>
      <c r="U331" s="213"/>
      <c r="V331" s="213"/>
      <c r="W331" s="213"/>
      <c r="X331" s="213"/>
      <c r="Y331" s="214"/>
    </row>
    <row r="332" spans="2:25" x14ac:dyDescent="0.2">
      <c r="B332" s="387"/>
      <c r="C332" s="213"/>
      <c r="D332" s="228">
        <f t="shared" si="32"/>
        <v>29</v>
      </c>
      <c r="E332" s="230" t="str">
        <f>IF('I. Stream &amp; Compound Data'!$CO178="","",'I. Stream &amp; Compound Data'!$CO178)</f>
        <v/>
      </c>
      <c r="F332" s="230" t="str">
        <f>IF($E332="","",'I. Stream &amp; Compound Data'!$CO179)</f>
        <v/>
      </c>
      <c r="G332" s="230" t="str">
        <f>IF('I. Stream &amp; Compound Data'!$CO183="","",'I. Stream &amp; Compound Data'!$CO183)</f>
        <v/>
      </c>
      <c r="H332" s="230" t="str">
        <f>IF($E332="","",'I. Stream &amp; Compound Data'!$CN242)</f>
        <v/>
      </c>
      <c r="I332" s="230" t="str">
        <f>IF($E332="","",'I. Stream &amp; Compound Data'!$CN243)</f>
        <v/>
      </c>
      <c r="J332" s="230" t="str">
        <f>IF($E332="","",'I. Stream &amp; Compound Data'!$CN239)</f>
        <v/>
      </c>
      <c r="K332" s="230" t="str">
        <f>IF(OR($F332=1,$E332=""),"",'I. Stream &amp; Compound Data'!$CO182)</f>
        <v/>
      </c>
      <c r="L332" s="230" t="str">
        <f>IF(OR($F332=1,$E332=""),"",'I. Stream &amp; Compound Data'!$CO184)</f>
        <v/>
      </c>
      <c r="M332" s="230" t="str">
        <f>IF($E332="","",'I. Stream &amp; Compound Data'!$CN237)</f>
        <v/>
      </c>
      <c r="N332" s="230" t="str">
        <f>IF($E332="","",'I. Stream &amp; Compound Data'!$CN238)</f>
        <v/>
      </c>
      <c r="O332" s="231" t="str">
        <f>IF($E332="","",'I. Stream &amp; Compound Data'!$CN240)</f>
        <v/>
      </c>
      <c r="P332" s="231" t="str">
        <f>IF($E332="","",'I. Stream &amp; Compound Data'!$CN241)</f>
        <v/>
      </c>
      <c r="Q332" s="233" t="str">
        <f>IF($E332="","",'I. Stream &amp; Compound Data'!$CN245)</f>
        <v/>
      </c>
      <c r="R332" s="213"/>
      <c r="S332" s="213"/>
      <c r="T332" s="213"/>
      <c r="U332" s="213"/>
      <c r="V332" s="213"/>
      <c r="W332" s="213"/>
      <c r="X332" s="213"/>
      <c r="Y332" s="214"/>
    </row>
    <row r="333" spans="2:25" x14ac:dyDescent="0.2">
      <c r="B333" s="387"/>
      <c r="C333" s="213"/>
      <c r="D333" s="228">
        <f t="shared" si="32"/>
        <v>30</v>
      </c>
      <c r="E333" s="230" t="str">
        <f>IF('I. Stream &amp; Compound Data'!$CR178="","",'I. Stream &amp; Compound Data'!$CR178)</f>
        <v/>
      </c>
      <c r="F333" s="230" t="str">
        <f>IF($E333="","",'I. Stream &amp; Compound Data'!$CR179)</f>
        <v/>
      </c>
      <c r="G333" s="230" t="str">
        <f>IF('I. Stream &amp; Compound Data'!$CR183="","",'I. Stream &amp; Compound Data'!$CR183)</f>
        <v/>
      </c>
      <c r="H333" s="230" t="str">
        <f>IF($E333="","",'I. Stream &amp; Compound Data'!$CQ242)</f>
        <v/>
      </c>
      <c r="I333" s="230" t="str">
        <f>IF($E333="","",'I. Stream &amp; Compound Data'!$CQ243)</f>
        <v/>
      </c>
      <c r="J333" s="230" t="str">
        <f>IF($E333="","",'I. Stream &amp; Compound Data'!$CQ239)</f>
        <v/>
      </c>
      <c r="K333" s="230" t="str">
        <f>IF(OR($F333=1,$E333=""),"",'I. Stream &amp; Compound Data'!$CR182)</f>
        <v/>
      </c>
      <c r="L333" s="230" t="str">
        <f>IF(OR($F333=1,$E333=""),"",'I. Stream &amp; Compound Data'!$CR184)</f>
        <v/>
      </c>
      <c r="M333" s="230" t="str">
        <f>IF($E333="","",'I. Stream &amp; Compound Data'!$CQ237)</f>
        <v/>
      </c>
      <c r="N333" s="230" t="str">
        <f>IF($E333="","",'I. Stream &amp; Compound Data'!$CQ238)</f>
        <v/>
      </c>
      <c r="O333" s="231" t="str">
        <f>IF($E333="","",'I. Stream &amp; Compound Data'!$CQ240)</f>
        <v/>
      </c>
      <c r="P333" s="231" t="str">
        <f>IF($E333="","",'I. Stream &amp; Compound Data'!$CQ241)</f>
        <v/>
      </c>
      <c r="Q333" s="233" t="str">
        <f>IF($E333="","",'I. Stream &amp; Compound Data'!$CQ245)</f>
        <v/>
      </c>
      <c r="R333" s="213"/>
      <c r="S333" s="213"/>
      <c r="T333" s="213"/>
      <c r="U333" s="213"/>
      <c r="V333" s="213"/>
      <c r="W333" s="213"/>
      <c r="X333" s="213"/>
      <c r="Y333" s="214"/>
    </row>
    <row r="334" spans="2:25" x14ac:dyDescent="0.2">
      <c r="B334" s="387"/>
      <c r="C334" s="213"/>
      <c r="D334" s="228">
        <f t="shared" si="32"/>
        <v>31</v>
      </c>
      <c r="E334" s="230" t="str">
        <f>IF('I. Stream &amp; Compound Data'!$CU178="","",'I. Stream &amp; Compound Data'!$CU178)</f>
        <v/>
      </c>
      <c r="F334" s="230" t="str">
        <f>IF($E334="","",'I. Stream &amp; Compound Data'!$CU179)</f>
        <v/>
      </c>
      <c r="G334" s="230" t="str">
        <f>IF('I. Stream &amp; Compound Data'!$CU183="","",'I. Stream &amp; Compound Data'!$CU183)</f>
        <v/>
      </c>
      <c r="H334" s="230" t="str">
        <f>IF($E334="","",'I. Stream &amp; Compound Data'!$CT242)</f>
        <v/>
      </c>
      <c r="I334" s="230" t="str">
        <f>IF($E334="","",'I. Stream &amp; Compound Data'!$CT243)</f>
        <v/>
      </c>
      <c r="J334" s="230" t="str">
        <f>IF($E334="","",'I. Stream &amp; Compound Data'!$CT239)</f>
        <v/>
      </c>
      <c r="K334" s="230" t="str">
        <f>IF(OR($F334=1,$E334=""),"",'I. Stream &amp; Compound Data'!$CU182)</f>
        <v/>
      </c>
      <c r="L334" s="230" t="str">
        <f>IF(OR($F334=1,$E334=""),"",'I. Stream &amp; Compound Data'!$CU184)</f>
        <v/>
      </c>
      <c r="M334" s="230" t="str">
        <f>IF($E334="","",'I. Stream &amp; Compound Data'!$CT237)</f>
        <v/>
      </c>
      <c r="N334" s="230" t="str">
        <f>IF($E334="","",'I. Stream &amp; Compound Data'!$CT238)</f>
        <v/>
      </c>
      <c r="O334" s="231" t="str">
        <f>IF($E334="","",'I. Stream &amp; Compound Data'!$CT240)</f>
        <v/>
      </c>
      <c r="P334" s="231" t="str">
        <f>IF($E334="","",'I. Stream &amp; Compound Data'!$CT241)</f>
        <v/>
      </c>
      <c r="Q334" s="233" t="str">
        <f>IF($E334="","",'I. Stream &amp; Compound Data'!$CT245)</f>
        <v/>
      </c>
      <c r="R334" s="213"/>
      <c r="S334" s="213"/>
      <c r="T334" s="213"/>
      <c r="U334" s="213"/>
      <c r="V334" s="213"/>
      <c r="W334" s="213"/>
      <c r="X334" s="213"/>
      <c r="Y334" s="214"/>
    </row>
    <row r="335" spans="2:25" x14ac:dyDescent="0.2">
      <c r="B335" s="387"/>
      <c r="C335" s="213"/>
      <c r="D335" s="228">
        <f>D334+1</f>
        <v>32</v>
      </c>
      <c r="E335" s="230" t="str">
        <f>IF('I. Stream &amp; Compound Data'!$CX178="","",'I. Stream &amp; Compound Data'!$CX178)</f>
        <v/>
      </c>
      <c r="F335" s="230" t="str">
        <f>IF($E335="","",'I. Stream &amp; Compound Data'!$CX179)</f>
        <v/>
      </c>
      <c r="G335" s="230" t="str">
        <f>IF('I. Stream &amp; Compound Data'!$CX183="","",'I. Stream &amp; Compound Data'!$CX183)</f>
        <v/>
      </c>
      <c r="H335" s="230" t="str">
        <f>IF($E335="","",'I. Stream &amp; Compound Data'!$CW242)</f>
        <v/>
      </c>
      <c r="I335" s="230" t="str">
        <f>IF($E335="","",'I. Stream &amp; Compound Data'!$CW243)</f>
        <v/>
      </c>
      <c r="J335" s="230" t="str">
        <f>IF($E335="","",'I. Stream &amp; Compound Data'!$CW239)</f>
        <v/>
      </c>
      <c r="K335" s="230" t="str">
        <f>IF(OR($F335=1,$E335=""),"",'I. Stream &amp; Compound Data'!$CX182)</f>
        <v/>
      </c>
      <c r="L335" s="230" t="str">
        <f>IF(OR($F335=1,$E335=""),"",'I. Stream &amp; Compound Data'!$CX184)</f>
        <v/>
      </c>
      <c r="M335" s="230" t="str">
        <f>IF($E335="","",'I. Stream &amp; Compound Data'!$CW237)</f>
        <v/>
      </c>
      <c r="N335" s="230" t="str">
        <f>IF($E335="","",'I. Stream &amp; Compound Data'!$CW238)</f>
        <v/>
      </c>
      <c r="O335" s="231" t="str">
        <f>IF($E335="","",'I. Stream &amp; Compound Data'!$CW240)</f>
        <v/>
      </c>
      <c r="P335" s="231" t="str">
        <f>IF($E335="","",'I. Stream &amp; Compound Data'!$CW241)</f>
        <v/>
      </c>
      <c r="Q335" s="233" t="str">
        <f>IF($E335="","",'I. Stream &amp; Compound Data'!$CW245)</f>
        <v/>
      </c>
      <c r="R335" s="213"/>
      <c r="S335" s="213"/>
      <c r="T335" s="213"/>
      <c r="U335" s="213"/>
      <c r="V335" s="213"/>
      <c r="W335" s="213"/>
      <c r="X335" s="213"/>
      <c r="Y335" s="214"/>
    </row>
    <row r="336" spans="2:25" x14ac:dyDescent="0.2">
      <c r="B336" s="387"/>
      <c r="C336" s="213"/>
      <c r="D336" s="228">
        <f t="shared" si="32"/>
        <v>33</v>
      </c>
      <c r="E336" s="230" t="str">
        <f>IF('I. Stream &amp; Compound Data'!$DA178="","",'I. Stream &amp; Compound Data'!$DA178)</f>
        <v/>
      </c>
      <c r="F336" s="230" t="str">
        <f>IF($E336="","",'I. Stream &amp; Compound Data'!$DA179)</f>
        <v/>
      </c>
      <c r="G336" s="230" t="str">
        <f>IF('I. Stream &amp; Compound Data'!$DA183="","",'I. Stream &amp; Compound Data'!$DA183)</f>
        <v/>
      </c>
      <c r="H336" s="230" t="str">
        <f>IF($E336="","",'I. Stream &amp; Compound Data'!$CZ242)</f>
        <v/>
      </c>
      <c r="I336" s="230" t="str">
        <f>IF($E336="","",'I. Stream &amp; Compound Data'!$CZ243)</f>
        <v/>
      </c>
      <c r="J336" s="230" t="str">
        <f>IF($E336="","",'I. Stream &amp; Compound Data'!$CZ239)</f>
        <v/>
      </c>
      <c r="K336" s="230" t="str">
        <f>IF(OR($F336=1,$E336=""),"",'I. Stream &amp; Compound Data'!$DA182)</f>
        <v/>
      </c>
      <c r="L336" s="230" t="str">
        <f>IF(OR($F336=1,$E336=""),"",'I. Stream &amp; Compound Data'!$DA184)</f>
        <v/>
      </c>
      <c r="M336" s="230" t="str">
        <f>IF($E336="","",'I. Stream &amp; Compound Data'!$CZ237)</f>
        <v/>
      </c>
      <c r="N336" s="230" t="str">
        <f>IF($E336="","",'I. Stream &amp; Compound Data'!$CZ238)</f>
        <v/>
      </c>
      <c r="O336" s="231" t="str">
        <f>IF($E336="","",'I. Stream &amp; Compound Data'!$CZ240)</f>
        <v/>
      </c>
      <c r="P336" s="231" t="str">
        <f>IF($E336="","",'I. Stream &amp; Compound Data'!$CZ241)</f>
        <v/>
      </c>
      <c r="Q336" s="233" t="str">
        <f>IF($E336="","",'I. Stream &amp; Compound Data'!$CZ245)</f>
        <v/>
      </c>
      <c r="R336" s="213"/>
      <c r="S336" s="213"/>
      <c r="T336" s="213"/>
      <c r="U336" s="213"/>
      <c r="V336" s="213"/>
      <c r="W336" s="213"/>
      <c r="X336" s="213"/>
      <c r="Y336" s="214"/>
    </row>
    <row r="337" spans="2:25" x14ac:dyDescent="0.2">
      <c r="B337" s="387"/>
      <c r="C337" s="213"/>
      <c r="D337" s="228">
        <f t="shared" si="32"/>
        <v>34</v>
      </c>
      <c r="E337" s="230" t="str">
        <f>IF('I. Stream &amp; Compound Data'!$DD178="","",'I. Stream &amp; Compound Data'!$DD178)</f>
        <v/>
      </c>
      <c r="F337" s="230" t="str">
        <f>IF($E337="","",'I. Stream &amp; Compound Data'!$DD179)</f>
        <v/>
      </c>
      <c r="G337" s="230" t="str">
        <f>IF('I. Stream &amp; Compound Data'!$DD183="","",'I. Stream &amp; Compound Data'!$DD183)</f>
        <v/>
      </c>
      <c r="H337" s="230" t="str">
        <f>IF($E337="","",'I. Stream &amp; Compound Data'!$DC242)</f>
        <v/>
      </c>
      <c r="I337" s="230" t="str">
        <f>IF($E337="","",'I. Stream &amp; Compound Data'!$DC243)</f>
        <v/>
      </c>
      <c r="J337" s="230" t="str">
        <f>IF($E337="","",'I. Stream &amp; Compound Data'!$DC239)</f>
        <v/>
      </c>
      <c r="K337" s="230" t="str">
        <f>IF(OR($F337=1,$E337=""),"",'I. Stream &amp; Compound Data'!$DD182)</f>
        <v/>
      </c>
      <c r="L337" s="230" t="str">
        <f>IF(OR($F337=1,$E337=""),"",'I. Stream &amp; Compound Data'!$DD184)</f>
        <v/>
      </c>
      <c r="M337" s="230" t="str">
        <f>IF($E337="","",'I. Stream &amp; Compound Data'!$DC237)</f>
        <v/>
      </c>
      <c r="N337" s="230" t="str">
        <f>IF($E337="","",'I. Stream &amp; Compound Data'!$DC238)</f>
        <v/>
      </c>
      <c r="O337" s="231" t="str">
        <f>IF($E337="","",'I. Stream &amp; Compound Data'!$DC240)</f>
        <v/>
      </c>
      <c r="P337" s="231" t="str">
        <f>IF($E337="","",'I. Stream &amp; Compound Data'!$DC241)</f>
        <v/>
      </c>
      <c r="Q337" s="233" t="str">
        <f>IF($E337="","",'I. Stream &amp; Compound Data'!$DC245)</f>
        <v/>
      </c>
      <c r="R337" s="213"/>
      <c r="S337" s="213"/>
      <c r="T337" s="213"/>
      <c r="U337" s="213"/>
      <c r="V337" s="213"/>
      <c r="W337" s="213"/>
      <c r="X337" s="213"/>
      <c r="Y337" s="214"/>
    </row>
    <row r="338" spans="2:25" x14ac:dyDescent="0.2">
      <c r="B338" s="387"/>
      <c r="C338" s="213"/>
      <c r="D338" s="228">
        <f t="shared" si="32"/>
        <v>35</v>
      </c>
      <c r="E338" s="230" t="str">
        <f>IF('I. Stream &amp; Compound Data'!$DG178="","",'I. Stream &amp; Compound Data'!$DG178)</f>
        <v/>
      </c>
      <c r="F338" s="230" t="str">
        <f>IF($E338="","",'I. Stream &amp; Compound Data'!$DG179)</f>
        <v/>
      </c>
      <c r="G338" s="230" t="str">
        <f>IF('I. Stream &amp; Compound Data'!$DG183="","",'I. Stream &amp; Compound Data'!$DG183)</f>
        <v/>
      </c>
      <c r="H338" s="230" t="str">
        <f>IF($E338="","",'I. Stream &amp; Compound Data'!$DF242)</f>
        <v/>
      </c>
      <c r="I338" s="230" t="str">
        <f>IF($E338="","",'I. Stream &amp; Compound Data'!$DF243)</f>
        <v/>
      </c>
      <c r="J338" s="230" t="str">
        <f>IF($E338="","",'I. Stream &amp; Compound Data'!$DF239)</f>
        <v/>
      </c>
      <c r="K338" s="230" t="str">
        <f>IF(OR($F338=1,$E338=""),"",'I. Stream &amp; Compound Data'!$DG182)</f>
        <v/>
      </c>
      <c r="L338" s="230" t="str">
        <f>IF(OR($F338=1,$E338=""),"",'I. Stream &amp; Compound Data'!$DG184)</f>
        <v/>
      </c>
      <c r="M338" s="230" t="str">
        <f>IF($E338="","",'I. Stream &amp; Compound Data'!$DF237)</f>
        <v/>
      </c>
      <c r="N338" s="230" t="str">
        <f>IF($E338="","",'I. Stream &amp; Compound Data'!$DF238)</f>
        <v/>
      </c>
      <c r="O338" s="231" t="str">
        <f>IF($E338="","",'I. Stream &amp; Compound Data'!$DF240)</f>
        <v/>
      </c>
      <c r="P338" s="231" t="str">
        <f>IF($E338="","",'I. Stream &amp; Compound Data'!$DF241)</f>
        <v/>
      </c>
      <c r="Q338" s="233" t="str">
        <f>IF($E338="","",'I. Stream &amp; Compound Data'!$DF245)</f>
        <v/>
      </c>
      <c r="R338" s="213"/>
      <c r="S338" s="213"/>
      <c r="T338" s="213"/>
      <c r="U338" s="213"/>
      <c r="V338" s="213"/>
      <c r="W338" s="213"/>
      <c r="X338" s="213"/>
      <c r="Y338" s="214"/>
    </row>
    <row r="339" spans="2:25" x14ac:dyDescent="0.2">
      <c r="B339" s="387"/>
      <c r="C339" s="213"/>
      <c r="D339" s="228">
        <f t="shared" si="32"/>
        <v>36</v>
      </c>
      <c r="E339" s="230" t="str">
        <f>IF('I. Stream &amp; Compound Data'!$DJ178="","",'I. Stream &amp; Compound Data'!$DJ178)</f>
        <v/>
      </c>
      <c r="F339" s="230" t="str">
        <f>IF($E339="","",'I. Stream &amp; Compound Data'!$DJ179)</f>
        <v/>
      </c>
      <c r="G339" s="230" t="str">
        <f>IF('I. Stream &amp; Compound Data'!$DJ183="","",'I. Stream &amp; Compound Data'!$DJ183)</f>
        <v/>
      </c>
      <c r="H339" s="230" t="str">
        <f>IF($E339="","",'I. Stream &amp; Compound Data'!$DI242)</f>
        <v/>
      </c>
      <c r="I339" s="230" t="str">
        <f>IF($E339="","",'I. Stream &amp; Compound Data'!$DI243)</f>
        <v/>
      </c>
      <c r="J339" s="230" t="str">
        <f>IF($E339="","",'I. Stream &amp; Compound Data'!$DI239)</f>
        <v/>
      </c>
      <c r="K339" s="230" t="str">
        <f>IF(OR($F339=1,$E339=""),"",'I. Stream &amp; Compound Data'!$DJ182)</f>
        <v/>
      </c>
      <c r="L339" s="230" t="str">
        <f>IF(OR($F339=1,$E339=""),"",'I. Stream &amp; Compound Data'!$DJ184)</f>
        <v/>
      </c>
      <c r="M339" s="230" t="str">
        <f>IF($E339="","",'I. Stream &amp; Compound Data'!$DI237)</f>
        <v/>
      </c>
      <c r="N339" s="230" t="str">
        <f>IF($E339="","",'I. Stream &amp; Compound Data'!$DI238)</f>
        <v/>
      </c>
      <c r="O339" s="231" t="str">
        <f>IF($E339="","",'I. Stream &amp; Compound Data'!$DI240)</f>
        <v/>
      </c>
      <c r="P339" s="231" t="str">
        <f>IF($E339="","",'I. Stream &amp; Compound Data'!$DI241)</f>
        <v/>
      </c>
      <c r="Q339" s="233" t="str">
        <f>IF($E339="","",'I. Stream &amp; Compound Data'!$DI245)</f>
        <v/>
      </c>
      <c r="R339" s="213"/>
      <c r="S339" s="213"/>
      <c r="T339" s="213"/>
      <c r="U339" s="213"/>
      <c r="V339" s="213"/>
      <c r="W339" s="213"/>
      <c r="X339" s="213"/>
      <c r="Y339" s="214"/>
    </row>
    <row r="340" spans="2:25" x14ac:dyDescent="0.2">
      <c r="B340" s="387"/>
      <c r="C340" s="213"/>
      <c r="D340" s="228">
        <f>D339+1</f>
        <v>37</v>
      </c>
      <c r="E340" s="230" t="str">
        <f>IF('I. Stream &amp; Compound Data'!$DM178="","",'I. Stream &amp; Compound Data'!$DM178)</f>
        <v/>
      </c>
      <c r="F340" s="230" t="str">
        <f>IF($E340="","",'I. Stream &amp; Compound Data'!$DM179)</f>
        <v/>
      </c>
      <c r="G340" s="230" t="str">
        <f>IF('I. Stream &amp; Compound Data'!$DM183="","",'I. Stream &amp; Compound Data'!$DM183)</f>
        <v/>
      </c>
      <c r="H340" s="230" t="str">
        <f>IF($E340="","",'I. Stream &amp; Compound Data'!$DL242)</f>
        <v/>
      </c>
      <c r="I340" s="230" t="str">
        <f>IF($E340="","",'I. Stream &amp; Compound Data'!$DL243)</f>
        <v/>
      </c>
      <c r="J340" s="230" t="str">
        <f>IF($E340="","",'I. Stream &amp; Compound Data'!$DL239)</f>
        <v/>
      </c>
      <c r="K340" s="230" t="str">
        <f>IF(OR($F340=1,$E340=""),"",'I. Stream &amp; Compound Data'!$DM182)</f>
        <v/>
      </c>
      <c r="L340" s="230" t="str">
        <f>IF(OR($F340=1,$E340=""),"",'I. Stream &amp; Compound Data'!$DM184)</f>
        <v/>
      </c>
      <c r="M340" s="230" t="str">
        <f>IF($E340="","",'I. Stream &amp; Compound Data'!$DL237)</f>
        <v/>
      </c>
      <c r="N340" s="230" t="str">
        <f>IF($E340="","",'I. Stream &amp; Compound Data'!$DL238)</f>
        <v/>
      </c>
      <c r="O340" s="231" t="str">
        <f>IF($E340="","",'I. Stream &amp; Compound Data'!$DL240)</f>
        <v/>
      </c>
      <c r="P340" s="231" t="str">
        <f>IF($E340="","",'I. Stream &amp; Compound Data'!$DL241)</f>
        <v/>
      </c>
      <c r="Q340" s="233" t="str">
        <f>IF($E340="","",'I. Stream &amp; Compound Data'!$DL245)</f>
        <v/>
      </c>
      <c r="R340" s="213"/>
      <c r="S340" s="213"/>
      <c r="T340" s="213"/>
      <c r="U340" s="213"/>
      <c r="V340" s="213"/>
      <c r="W340" s="213"/>
      <c r="X340" s="213"/>
      <c r="Y340" s="214"/>
    </row>
    <row r="341" spans="2:25" x14ac:dyDescent="0.2">
      <c r="B341" s="387"/>
      <c r="C341" s="213"/>
      <c r="D341" s="228">
        <f t="shared" si="32"/>
        <v>38</v>
      </c>
      <c r="E341" s="230" t="str">
        <f>IF('I. Stream &amp; Compound Data'!$DP178="","",'I. Stream &amp; Compound Data'!$DP178)</f>
        <v/>
      </c>
      <c r="F341" s="230" t="str">
        <f>IF($E341="","",'I. Stream &amp; Compound Data'!$DP179)</f>
        <v/>
      </c>
      <c r="G341" s="230" t="str">
        <f>IF('I. Stream &amp; Compound Data'!$DP183="","",'I. Stream &amp; Compound Data'!$DP183)</f>
        <v/>
      </c>
      <c r="H341" s="230" t="str">
        <f>IF($E341="","",'I. Stream &amp; Compound Data'!$DO242)</f>
        <v/>
      </c>
      <c r="I341" s="230" t="str">
        <f>IF($E341="","",'I. Stream &amp; Compound Data'!$DO243)</f>
        <v/>
      </c>
      <c r="J341" s="230" t="str">
        <f>IF($E341="","",'I. Stream &amp; Compound Data'!$DO239)</f>
        <v/>
      </c>
      <c r="K341" s="230" t="str">
        <f>IF(OR($F341=1,$E341=""),"",'I. Stream &amp; Compound Data'!$DP182)</f>
        <v/>
      </c>
      <c r="L341" s="230" t="str">
        <f>IF(OR($F341=1,$E341=""),"",'I. Stream &amp; Compound Data'!$DP184)</f>
        <v/>
      </c>
      <c r="M341" s="230" t="str">
        <f>IF($E341="","",'I. Stream &amp; Compound Data'!$DO237)</f>
        <v/>
      </c>
      <c r="N341" s="230" t="str">
        <f>IF($E341="","",'I. Stream &amp; Compound Data'!$DO238)</f>
        <v/>
      </c>
      <c r="O341" s="231" t="str">
        <f>IF($E341="","",'I. Stream &amp; Compound Data'!$DO240)</f>
        <v/>
      </c>
      <c r="P341" s="231" t="str">
        <f>IF($E341="","",'I. Stream &amp; Compound Data'!$DO241)</f>
        <v/>
      </c>
      <c r="Q341" s="233" t="str">
        <f>IF($E341="","",'I. Stream &amp; Compound Data'!$DO245)</f>
        <v/>
      </c>
      <c r="R341" s="213"/>
      <c r="S341" s="213"/>
      <c r="T341" s="213"/>
      <c r="U341" s="213"/>
      <c r="V341" s="213"/>
      <c r="W341" s="213"/>
      <c r="X341" s="213"/>
      <c r="Y341" s="214"/>
    </row>
    <row r="342" spans="2:25" x14ac:dyDescent="0.2">
      <c r="B342" s="387"/>
      <c r="C342" s="213"/>
      <c r="D342" s="228">
        <f t="shared" si="32"/>
        <v>39</v>
      </c>
      <c r="E342" s="230" t="str">
        <f>IF('I. Stream &amp; Compound Data'!$DS178="","",'I. Stream &amp; Compound Data'!$DS178)</f>
        <v/>
      </c>
      <c r="F342" s="230" t="str">
        <f>IF($E342="","",'I. Stream &amp; Compound Data'!$DS179)</f>
        <v/>
      </c>
      <c r="G342" s="230" t="str">
        <f>IF('I. Stream &amp; Compound Data'!$DS183="","",'I. Stream &amp; Compound Data'!$DS183)</f>
        <v/>
      </c>
      <c r="H342" s="230" t="str">
        <f>IF($E342="","",'I. Stream &amp; Compound Data'!$DR242)</f>
        <v/>
      </c>
      <c r="I342" s="230" t="str">
        <f>IF($E342="","",'I. Stream &amp; Compound Data'!$DR243)</f>
        <v/>
      </c>
      <c r="J342" s="230" t="str">
        <f>IF($E342="","",'I. Stream &amp; Compound Data'!$DR239)</f>
        <v/>
      </c>
      <c r="K342" s="230" t="str">
        <f>IF(OR($F342=1,$E342=""),"",'I. Stream &amp; Compound Data'!$DS182)</f>
        <v/>
      </c>
      <c r="L342" s="230" t="str">
        <f>IF(OR($F342=1,$E342=""),"",'I. Stream &amp; Compound Data'!$DS184)</f>
        <v/>
      </c>
      <c r="M342" s="230" t="str">
        <f>IF($E342="","",'I. Stream &amp; Compound Data'!$DR237)</f>
        <v/>
      </c>
      <c r="N342" s="230" t="str">
        <f>IF($E342="","",'I. Stream &amp; Compound Data'!$DR238)</f>
        <v/>
      </c>
      <c r="O342" s="231" t="str">
        <f>IF($E342="","",'I. Stream &amp; Compound Data'!$DR240)</f>
        <v/>
      </c>
      <c r="P342" s="231" t="str">
        <f>IF($E342="","",'I. Stream &amp; Compound Data'!$DR241)</f>
        <v/>
      </c>
      <c r="Q342" s="233" t="str">
        <f>IF($E342="","",'I. Stream &amp; Compound Data'!$DR245)</f>
        <v/>
      </c>
      <c r="R342" s="213"/>
      <c r="S342" s="213"/>
      <c r="T342" s="213"/>
      <c r="U342" s="213"/>
      <c r="V342" s="213"/>
      <c r="W342" s="213"/>
      <c r="X342" s="213"/>
      <c r="Y342" s="214"/>
    </row>
    <row r="343" spans="2:25" ht="15.75" thickBot="1" x14ac:dyDescent="0.25">
      <c r="B343" s="387"/>
      <c r="C343" s="213"/>
      <c r="D343" s="234">
        <f t="shared" si="32"/>
        <v>40</v>
      </c>
      <c r="E343" s="244" t="str">
        <f>IF('I. Stream &amp; Compound Data'!$DV178="","",'I. Stream &amp; Compound Data'!$DV178)</f>
        <v/>
      </c>
      <c r="F343" s="244" t="str">
        <f>IF($E343="","",'I. Stream &amp; Compound Data'!$DV179)</f>
        <v/>
      </c>
      <c r="G343" s="244" t="str">
        <f>IF('I. Stream &amp; Compound Data'!$DV183="","",'I. Stream &amp; Compound Data'!$DV183)</f>
        <v/>
      </c>
      <c r="H343" s="244" t="str">
        <f>IF($E343="","",'I. Stream &amp; Compound Data'!$DU242)</f>
        <v/>
      </c>
      <c r="I343" s="244" t="str">
        <f>IF($E343="","",'I. Stream &amp; Compound Data'!$DU243)</f>
        <v/>
      </c>
      <c r="J343" s="244" t="str">
        <f>IF($E343="","",'I. Stream &amp; Compound Data'!$DU239)</f>
        <v/>
      </c>
      <c r="K343" s="244" t="str">
        <f>IF(OR($F343=1,$E343=""),"",'I. Stream &amp; Compound Data'!$DV182)</f>
        <v/>
      </c>
      <c r="L343" s="244" t="str">
        <f>IF(OR($F343=1,$E343=""),"",'I. Stream &amp; Compound Data'!$DV184)</f>
        <v/>
      </c>
      <c r="M343" s="244" t="str">
        <f>IF($E343="","",'I. Stream &amp; Compound Data'!$DU237)</f>
        <v/>
      </c>
      <c r="N343" s="244" t="str">
        <f>IF($E343="","",'I. Stream &amp; Compound Data'!$DU238)</f>
        <v/>
      </c>
      <c r="O343" s="235" t="str">
        <f>IF($E343="","",'I. Stream &amp; Compound Data'!$DU240)</f>
        <v/>
      </c>
      <c r="P343" s="235" t="str">
        <f>IF($E343="","",'I. Stream &amp; Compound Data'!$DU241)</f>
        <v/>
      </c>
      <c r="Q343" s="237" t="str">
        <f>IF($E343="","",'I. Stream &amp; Compound Data'!$DU245)</f>
        <v/>
      </c>
      <c r="R343" s="213"/>
      <c r="S343" s="213"/>
      <c r="T343" s="213"/>
      <c r="U343" s="213"/>
      <c r="V343" s="213"/>
      <c r="W343" s="213"/>
      <c r="X343" s="213"/>
      <c r="Y343" s="214"/>
    </row>
    <row r="344" spans="2:25" x14ac:dyDescent="0.2">
      <c r="B344" s="387"/>
      <c r="C344" s="213"/>
      <c r="D344" s="213"/>
      <c r="E344" s="213"/>
      <c r="F344" s="213"/>
      <c r="G344" s="213"/>
      <c r="H344" s="213"/>
      <c r="I344" s="213"/>
      <c r="J344" s="213"/>
      <c r="K344" s="213"/>
      <c r="L344" s="213"/>
      <c r="M344" s="213"/>
      <c r="N344" s="213"/>
      <c r="O344" s="213"/>
      <c r="P344" s="213"/>
      <c r="Q344" s="213"/>
      <c r="R344" s="213"/>
      <c r="S344" s="213"/>
      <c r="T344" s="213"/>
      <c r="U344" s="213"/>
      <c r="V344" s="213"/>
      <c r="W344" s="213"/>
      <c r="X344" s="213"/>
      <c r="Y344" s="214"/>
    </row>
    <row r="345" spans="2:25" x14ac:dyDescent="0.2">
      <c r="B345" s="387"/>
      <c r="C345" s="213"/>
      <c r="D345" s="213"/>
      <c r="E345" s="213"/>
      <c r="F345" s="213"/>
      <c r="G345" s="213"/>
      <c r="H345" s="213"/>
      <c r="I345" s="213"/>
      <c r="J345" s="213"/>
      <c r="K345" s="213"/>
      <c r="L345" s="213"/>
      <c r="M345" s="213"/>
      <c r="N345" s="213"/>
      <c r="O345" s="213"/>
      <c r="P345" s="213"/>
      <c r="Q345" s="213"/>
      <c r="R345" s="213"/>
      <c r="S345" s="213"/>
      <c r="T345" s="213"/>
      <c r="U345" s="213"/>
      <c r="V345" s="213"/>
      <c r="W345" s="213"/>
      <c r="X345" s="213"/>
      <c r="Y345" s="214"/>
    </row>
    <row r="346" spans="2:25" x14ac:dyDescent="0.2">
      <c r="B346" s="387"/>
      <c r="C346" s="213"/>
      <c r="D346" s="213"/>
      <c r="E346" s="213"/>
      <c r="F346" s="213"/>
      <c r="G346" s="213"/>
      <c r="H346" s="213"/>
      <c r="I346" s="213"/>
      <c r="J346" s="213"/>
      <c r="K346" s="213"/>
      <c r="L346" s="213"/>
      <c r="M346" s="213"/>
      <c r="N346" s="213"/>
      <c r="O346" s="213"/>
      <c r="P346" s="213"/>
      <c r="Q346" s="213"/>
      <c r="R346" s="213"/>
      <c r="S346" s="213"/>
      <c r="T346" s="213"/>
      <c r="U346" s="213"/>
      <c r="V346" s="213"/>
      <c r="W346" s="213"/>
      <c r="X346" s="213"/>
      <c r="Y346" s="214"/>
    </row>
    <row r="347" spans="2:25" x14ac:dyDescent="0.2">
      <c r="B347" s="387"/>
      <c r="C347" s="213"/>
      <c r="D347" s="213"/>
      <c r="E347" s="213"/>
      <c r="F347" s="213"/>
      <c r="G347" s="213"/>
      <c r="H347" s="213"/>
      <c r="I347" s="213"/>
      <c r="J347" s="213"/>
      <c r="K347" s="213"/>
      <c r="L347" s="213"/>
      <c r="M347" s="213"/>
      <c r="N347" s="213"/>
      <c r="O347" s="213"/>
      <c r="P347" s="213"/>
      <c r="Q347" s="213"/>
      <c r="R347" s="213"/>
      <c r="S347" s="213"/>
      <c r="T347" s="213"/>
      <c r="U347" s="213"/>
      <c r="V347" s="213"/>
      <c r="W347" s="213"/>
      <c r="X347" s="213"/>
      <c r="Y347" s="214"/>
    </row>
    <row r="348" spans="2:25" x14ac:dyDescent="0.2">
      <c r="B348" s="387"/>
      <c r="C348" s="213"/>
      <c r="D348" s="213"/>
      <c r="E348" s="213"/>
      <c r="F348" s="213"/>
      <c r="G348" s="213"/>
      <c r="H348" s="213"/>
      <c r="I348" s="213"/>
      <c r="J348" s="213"/>
      <c r="K348" s="213"/>
      <c r="L348" s="213"/>
      <c r="M348" s="213"/>
      <c r="N348" s="213"/>
      <c r="O348" s="213"/>
      <c r="P348" s="213"/>
      <c r="Q348" s="213"/>
      <c r="R348" s="213"/>
      <c r="S348" s="213"/>
      <c r="T348" s="213"/>
      <c r="U348" s="213"/>
      <c r="V348" s="213"/>
      <c r="W348" s="213"/>
      <c r="X348" s="213"/>
      <c r="Y348" s="214"/>
    </row>
    <row r="349" spans="2:25" x14ac:dyDescent="0.2">
      <c r="B349" s="387"/>
      <c r="C349" s="213"/>
      <c r="D349" s="213"/>
      <c r="E349" s="213"/>
      <c r="F349" s="213"/>
      <c r="G349" s="213"/>
      <c r="H349" s="213"/>
      <c r="I349" s="213"/>
      <c r="J349" s="213"/>
      <c r="K349" s="213"/>
      <c r="L349" s="213"/>
      <c r="M349" s="213"/>
      <c r="N349" s="213"/>
      <c r="O349" s="213"/>
      <c r="P349" s="213"/>
      <c r="Q349" s="213"/>
      <c r="R349" s="213"/>
      <c r="S349" s="213"/>
      <c r="T349" s="213"/>
      <c r="U349" s="213"/>
      <c r="V349" s="213"/>
      <c r="W349" s="213"/>
      <c r="X349" s="213"/>
      <c r="Y349" s="214"/>
    </row>
    <row r="350" spans="2:25" x14ac:dyDescent="0.2">
      <c r="B350" s="387"/>
      <c r="C350" s="213"/>
      <c r="D350" s="213"/>
      <c r="E350" s="213"/>
      <c r="F350" s="213"/>
      <c r="G350" s="213"/>
      <c r="H350" s="213"/>
      <c r="I350" s="213"/>
      <c r="J350" s="213"/>
      <c r="K350" s="213"/>
      <c r="L350" s="213"/>
      <c r="M350" s="213"/>
      <c r="N350" s="213"/>
      <c r="O350" s="213"/>
      <c r="P350" s="213"/>
      <c r="Q350" s="213"/>
      <c r="R350" s="213"/>
      <c r="S350" s="213"/>
      <c r="T350" s="213"/>
      <c r="U350" s="213"/>
      <c r="V350" s="213"/>
      <c r="W350" s="213"/>
      <c r="X350" s="213"/>
      <c r="Y350" s="214"/>
    </row>
    <row r="351" spans="2:25" ht="23.25" x14ac:dyDescent="0.35">
      <c r="B351" s="387"/>
      <c r="C351" s="213"/>
      <c r="D351" s="248" t="s">
        <v>1308</v>
      </c>
      <c r="E351" s="213"/>
      <c r="F351" s="249"/>
      <c r="G351" s="213"/>
      <c r="H351" s="213"/>
      <c r="I351" s="213"/>
      <c r="J351" s="213"/>
      <c r="K351" s="213"/>
      <c r="L351" s="213"/>
      <c r="M351" s="213"/>
      <c r="N351" s="213"/>
      <c r="O351" s="243"/>
      <c r="P351" s="213"/>
      <c r="Q351" s="213"/>
      <c r="R351" s="213"/>
      <c r="S351" s="213"/>
      <c r="T351" s="213"/>
      <c r="U351" s="213"/>
      <c r="V351" s="213"/>
      <c r="W351" s="213"/>
      <c r="X351" s="213"/>
      <c r="Y351" s="214"/>
    </row>
    <row r="352" spans="2:25" x14ac:dyDescent="0.2">
      <c r="B352" s="387"/>
      <c r="C352" s="213"/>
      <c r="D352" s="231" t="s">
        <v>794</v>
      </c>
      <c r="E352" s="231">
        <f>'I. Stream &amp; Compound Data'!G106</f>
        <v>300</v>
      </c>
      <c r="F352" s="249"/>
      <c r="G352" s="213"/>
      <c r="H352" s="213"/>
      <c r="I352" s="213"/>
      <c r="J352" s="213"/>
      <c r="K352" s="213"/>
      <c r="L352" s="213"/>
      <c r="M352" s="213"/>
      <c r="N352" s="213"/>
      <c r="O352" s="213"/>
      <c r="P352" s="213"/>
      <c r="Q352" s="213"/>
      <c r="R352" s="213"/>
      <c r="S352" s="213"/>
      <c r="T352" s="213"/>
      <c r="U352" s="213"/>
      <c r="V352" s="213"/>
      <c r="W352" s="213"/>
      <c r="X352" s="213"/>
      <c r="Y352" s="214"/>
    </row>
    <row r="353" spans="2:25" x14ac:dyDescent="0.2">
      <c r="B353" s="387"/>
      <c r="C353" s="213"/>
      <c r="D353" s="231" t="s">
        <v>793</v>
      </c>
      <c r="E353" s="231">
        <f>'I. Stream &amp; Compound Data'!G105</f>
        <v>1</v>
      </c>
      <c r="F353" s="249"/>
      <c r="G353" s="213"/>
      <c r="H353" s="213"/>
      <c r="I353" s="213"/>
      <c r="J353" s="213"/>
      <c r="K353" s="213"/>
      <c r="L353" s="213"/>
      <c r="M353" s="213"/>
      <c r="N353" s="213"/>
      <c r="O353" s="213"/>
      <c r="P353" s="213"/>
      <c r="Q353" s="213"/>
      <c r="R353" s="213"/>
      <c r="S353" s="213"/>
      <c r="T353" s="213"/>
      <c r="U353" s="213"/>
      <c r="V353" s="213"/>
      <c r="W353" s="213"/>
      <c r="X353" s="213"/>
      <c r="Y353" s="214"/>
    </row>
    <row r="354" spans="2:25" x14ac:dyDescent="0.2">
      <c r="B354" s="387"/>
      <c r="C354" s="213"/>
      <c r="D354" s="231" t="s">
        <v>1280</v>
      </c>
      <c r="E354" s="231">
        <f>MATCH(E352,'I. Stream &amp; Compound Data'!H178:DV178,0)</f>
        <v>2</v>
      </c>
      <c r="F354" s="249"/>
      <c r="G354" s="213"/>
      <c r="H354" s="213"/>
      <c r="I354" s="213"/>
      <c r="J354" s="213"/>
      <c r="K354" s="213"/>
      <c r="L354" s="213"/>
      <c r="M354" s="213"/>
      <c r="N354" s="213"/>
      <c r="O354" s="213"/>
      <c r="P354" s="213"/>
      <c r="Q354" s="213"/>
      <c r="R354" s="213"/>
      <c r="S354" s="213"/>
      <c r="T354" s="213"/>
      <c r="U354" s="213"/>
      <c r="V354" s="213"/>
      <c r="W354" s="213"/>
      <c r="X354" s="213"/>
      <c r="Y354" s="214"/>
    </row>
    <row r="355" spans="2:25" ht="16.5" thickBot="1" x14ac:dyDescent="0.25">
      <c r="B355" s="387"/>
      <c r="C355" s="213"/>
      <c r="D355" s="250" t="s">
        <v>1265</v>
      </c>
      <c r="E355" s="251">
        <f>VLOOKUP(E353,D358:F407,3)</f>
        <v>986.04970000000003</v>
      </c>
      <c r="F355" s="252"/>
      <c r="G355" s="213"/>
      <c r="H355" s="213"/>
      <c r="I355" s="213"/>
      <c r="J355" s="213"/>
      <c r="K355" s="213"/>
      <c r="L355" s="213"/>
      <c r="M355" s="213"/>
      <c r="N355" s="213"/>
      <c r="O355" s="213"/>
      <c r="P355" s="213"/>
      <c r="Q355" s="213"/>
      <c r="R355" s="213"/>
      <c r="S355" s="213"/>
      <c r="T355" s="213"/>
      <c r="U355" s="213"/>
      <c r="V355" s="213"/>
      <c r="W355" s="213"/>
      <c r="X355" s="213"/>
      <c r="Y355" s="214"/>
    </row>
    <row r="356" spans="2:25" ht="15" customHeight="1" x14ac:dyDescent="0.2">
      <c r="B356" s="387"/>
      <c r="C356" s="213"/>
      <c r="D356" s="945" t="s">
        <v>768</v>
      </c>
      <c r="E356" s="947" t="s">
        <v>1232</v>
      </c>
      <c r="F356" s="949" t="s">
        <v>774</v>
      </c>
      <c r="G356" s="213"/>
      <c r="H356" s="213"/>
      <c r="I356" s="213"/>
      <c r="J356" s="213"/>
      <c r="K356" s="213"/>
      <c r="L356" s="213"/>
      <c r="M356" s="213"/>
      <c r="N356" s="213"/>
      <c r="O356" s="243"/>
      <c r="P356" s="213"/>
      <c r="Q356" s="213"/>
      <c r="R356" s="213"/>
      <c r="S356" s="213"/>
      <c r="T356" s="213"/>
      <c r="U356" s="213"/>
      <c r="V356" s="213"/>
      <c r="W356" s="213"/>
      <c r="X356" s="213"/>
      <c r="Y356" s="214"/>
    </row>
    <row r="357" spans="2:25" ht="15" customHeight="1" x14ac:dyDescent="0.2">
      <c r="B357" s="387"/>
      <c r="C357" s="213"/>
      <c r="D357" s="946"/>
      <c r="E357" s="948"/>
      <c r="F357" s="950"/>
      <c r="G357" s="213"/>
      <c r="H357" s="213"/>
      <c r="I357" s="213"/>
      <c r="J357" s="213"/>
      <c r="K357" s="213"/>
      <c r="L357" s="213"/>
      <c r="M357" s="213"/>
      <c r="N357" s="213"/>
      <c r="O357" s="243"/>
      <c r="P357" s="213"/>
      <c r="Q357" s="213"/>
      <c r="R357" s="213"/>
      <c r="S357" s="213"/>
      <c r="T357" s="213"/>
      <c r="U357" s="213"/>
      <c r="V357" s="213"/>
      <c r="W357" s="213"/>
      <c r="X357" s="213"/>
      <c r="Y357" s="214"/>
    </row>
    <row r="358" spans="2:25" x14ac:dyDescent="0.2">
      <c r="B358" s="387"/>
      <c r="C358" s="213"/>
      <c r="D358" s="228">
        <f>'I. Stream &amp; Compound Data'!F262</f>
        <v>1</v>
      </c>
      <c r="E358" s="253" t="str">
        <f>'I. Stream &amp; Compound Data'!G262</f>
        <v>FAME (Methyl oleate)</v>
      </c>
      <c r="F358" s="254">
        <f>IF(E358="","",INDEX('I. Stream &amp; Compound Data'!H186:DV186,,$E$354-1))</f>
        <v>986.04970000000003</v>
      </c>
      <c r="G358" s="213"/>
      <c r="H358" s="213"/>
      <c r="I358" s="213"/>
      <c r="J358" s="213"/>
      <c r="K358" s="213"/>
      <c r="L358" s="213"/>
      <c r="M358" s="213"/>
      <c r="N358" s="213"/>
      <c r="O358" s="243"/>
      <c r="P358" s="213"/>
      <c r="Q358" s="213"/>
      <c r="R358" s="213"/>
      <c r="S358" s="213"/>
      <c r="T358" s="213"/>
      <c r="U358" s="213"/>
      <c r="V358" s="213"/>
      <c r="W358" s="213"/>
      <c r="X358" s="213"/>
      <c r="Y358" s="214"/>
    </row>
    <row r="359" spans="2:25" x14ac:dyDescent="0.2">
      <c r="B359" s="387"/>
      <c r="C359" s="213"/>
      <c r="D359" s="228">
        <f>'I. Stream &amp; Compound Data'!F263</f>
        <v>2</v>
      </c>
      <c r="E359" s="253" t="str">
        <f>'I. Stream &amp; Compound Data'!G263</f>
        <v>Glycerol</v>
      </c>
      <c r="F359" s="254">
        <f>IF(E359="","",INDEX('I. Stream &amp; Compound Data'!H187:DV187,,$E$354-1))</f>
        <v>0</v>
      </c>
      <c r="G359" s="213"/>
      <c r="H359" s="213"/>
      <c r="I359" s="213"/>
      <c r="J359" s="213"/>
      <c r="K359" s="213"/>
      <c r="L359" s="213"/>
      <c r="M359" s="213"/>
      <c r="N359" s="213"/>
      <c r="O359" s="243"/>
      <c r="P359" s="213"/>
      <c r="Q359" s="213"/>
      <c r="R359" s="213"/>
      <c r="S359" s="213"/>
      <c r="T359" s="213"/>
      <c r="U359" s="213"/>
      <c r="V359" s="213"/>
      <c r="W359" s="213"/>
      <c r="X359" s="213"/>
      <c r="Y359" s="214"/>
    </row>
    <row r="360" spans="2:25" x14ac:dyDescent="0.2">
      <c r="B360" s="387"/>
      <c r="C360" s="213"/>
      <c r="D360" s="228">
        <f>'I. Stream &amp; Compound Data'!F264</f>
        <v>3</v>
      </c>
      <c r="E360" s="253" t="str">
        <f>'I. Stream &amp; Compound Data'!G264</f>
        <v>Methanol</v>
      </c>
      <c r="F360" s="254">
        <f>IF(E360="","",INDEX('I. Stream &amp; Compound Data'!H188:DV188,,$E$354-1))</f>
        <v>3.6400000000000002E-2</v>
      </c>
      <c r="G360" s="213"/>
      <c r="H360" s="213"/>
      <c r="I360" s="213"/>
      <c r="J360" s="213"/>
      <c r="K360" s="213"/>
      <c r="L360" s="213"/>
      <c r="M360" s="213"/>
      <c r="N360" s="213"/>
      <c r="O360" s="243"/>
      <c r="P360" s="213"/>
      <c r="Q360" s="213"/>
      <c r="R360" s="213"/>
      <c r="S360" s="213"/>
      <c r="T360" s="213"/>
      <c r="U360" s="213"/>
      <c r="V360" s="213"/>
      <c r="W360" s="213"/>
      <c r="X360" s="213"/>
      <c r="Y360" s="214"/>
    </row>
    <row r="361" spans="2:25" x14ac:dyDescent="0.2">
      <c r="B361" s="387"/>
      <c r="C361" s="213"/>
      <c r="D361" s="228">
        <f>'I. Stream &amp; Compound Data'!F265</f>
        <v>4</v>
      </c>
      <c r="E361" s="253" t="str">
        <f>'I. Stream &amp; Compound Data'!G265</f>
        <v>Phosphoric Acid</v>
      </c>
      <c r="F361" s="254">
        <f>IF(E361="","",INDEX('I. Stream &amp; Compound Data'!H189:DV189,,$E$354-1))</f>
        <v>0</v>
      </c>
      <c r="G361" s="213"/>
      <c r="H361" s="213"/>
      <c r="I361" s="213"/>
      <c r="J361" s="213"/>
      <c r="K361" s="213"/>
      <c r="L361" s="213"/>
      <c r="M361" s="213"/>
      <c r="N361" s="213"/>
      <c r="O361" s="243"/>
      <c r="P361" s="213"/>
      <c r="Q361" s="213"/>
      <c r="R361" s="213"/>
      <c r="S361" s="213"/>
      <c r="T361" s="213"/>
      <c r="U361" s="213"/>
      <c r="V361" s="213"/>
      <c r="W361" s="213"/>
      <c r="X361" s="213"/>
      <c r="Y361" s="214"/>
    </row>
    <row r="362" spans="2:25" x14ac:dyDescent="0.2">
      <c r="B362" s="387"/>
      <c r="C362" s="213"/>
      <c r="D362" s="228">
        <f>'I. Stream &amp; Compound Data'!F266</f>
        <v>5</v>
      </c>
      <c r="E362" s="253" t="str">
        <f>'I. Stream &amp; Compound Data'!G266</f>
        <v>Trisodium Phosphate</v>
      </c>
      <c r="F362" s="254">
        <f>IF(E362="","",INDEX('I. Stream &amp; Compound Data'!H190:DV190,,$E$354-1))</f>
        <v>0</v>
      </c>
      <c r="G362" s="213"/>
      <c r="H362" s="213"/>
      <c r="I362" s="213"/>
      <c r="J362" s="213"/>
      <c r="K362" s="213"/>
      <c r="L362" s="213"/>
      <c r="M362" s="213"/>
      <c r="N362" s="213"/>
      <c r="O362" s="243"/>
      <c r="P362" s="213"/>
      <c r="Q362" s="213"/>
      <c r="R362" s="213"/>
      <c r="S362" s="213"/>
      <c r="T362" s="213"/>
      <c r="U362" s="213"/>
      <c r="V362" s="213"/>
      <c r="W362" s="213"/>
      <c r="X362" s="213"/>
      <c r="Y362" s="214"/>
    </row>
    <row r="363" spans="2:25" x14ac:dyDescent="0.2">
      <c r="B363" s="387"/>
      <c r="C363" s="213"/>
      <c r="D363" s="228">
        <f>'I. Stream &amp; Compound Data'!F267</f>
        <v>6</v>
      </c>
      <c r="E363" s="253" t="str">
        <f>'I. Stream &amp; Compound Data'!G267</f>
        <v>OIL (Triolein)</v>
      </c>
      <c r="F363" s="254">
        <f>IF(E363="","",INDEX('I. Stream &amp; Compound Data'!H191:DV191,,$E$354-1))</f>
        <v>3.8858000000000001</v>
      </c>
      <c r="G363" s="213"/>
      <c r="H363" s="213"/>
      <c r="I363" s="213"/>
      <c r="J363" s="213"/>
      <c r="K363" s="213"/>
      <c r="L363" s="213"/>
      <c r="M363" s="213"/>
      <c r="N363" s="213"/>
      <c r="O363" s="243"/>
      <c r="P363" s="213"/>
      <c r="Q363" s="213"/>
      <c r="R363" s="213"/>
      <c r="S363" s="213"/>
      <c r="T363" s="213"/>
      <c r="U363" s="213"/>
      <c r="V363" s="213"/>
      <c r="W363" s="213"/>
      <c r="X363" s="213"/>
      <c r="Y363" s="214"/>
    </row>
    <row r="364" spans="2:25" x14ac:dyDescent="0.2">
      <c r="B364" s="387"/>
      <c r="C364" s="213"/>
      <c r="D364" s="228">
        <f>'I. Stream &amp; Compound Data'!F268</f>
        <v>7</v>
      </c>
      <c r="E364" s="253" t="str">
        <f>'I. Stream &amp; Compound Data'!G268</f>
        <v>Water</v>
      </c>
      <c r="F364" s="254">
        <f>IF(E364="","",INDEX('I. Stream &amp; Compound Data'!H192:DV192,,$E$354-1))</f>
        <v>2.8299999999999999E-2</v>
      </c>
      <c r="G364" s="213"/>
      <c r="H364" s="213"/>
      <c r="I364" s="213"/>
      <c r="J364" s="213"/>
      <c r="K364" s="213"/>
      <c r="L364" s="213"/>
      <c r="M364" s="213"/>
      <c r="N364" s="213"/>
      <c r="O364" s="243"/>
      <c r="P364" s="213"/>
      <c r="Q364" s="213"/>
      <c r="R364" s="213"/>
      <c r="S364" s="213"/>
      <c r="T364" s="213"/>
      <c r="U364" s="213"/>
      <c r="V364" s="213"/>
      <c r="W364" s="213"/>
      <c r="X364" s="213"/>
      <c r="Y364" s="214"/>
    </row>
    <row r="365" spans="2:25" x14ac:dyDescent="0.2">
      <c r="B365" s="387"/>
      <c r="C365" s="213"/>
      <c r="D365" s="228">
        <f>'I. Stream &amp; Compound Data'!F269</f>
        <v>8</v>
      </c>
      <c r="E365" s="253" t="str">
        <f>'I. Stream &amp; Compound Data'!G269</f>
        <v>Sodium Hydroxide</v>
      </c>
      <c r="F365" s="254">
        <f>IF(E365="","",INDEX('I. Stream &amp; Compound Data'!H193:DV193,,$E$354-1))</f>
        <v>0</v>
      </c>
      <c r="G365" s="213"/>
      <c r="H365" s="213"/>
      <c r="I365" s="213"/>
      <c r="J365" s="213"/>
      <c r="K365" s="213"/>
      <c r="L365" s="213"/>
      <c r="M365" s="213"/>
      <c r="N365" s="213"/>
      <c r="O365" s="213"/>
      <c r="P365" s="213"/>
      <c r="Q365" s="213"/>
      <c r="R365" s="213"/>
      <c r="S365" s="213"/>
      <c r="T365" s="213"/>
      <c r="U365" s="213"/>
      <c r="V365" s="213"/>
      <c r="W365" s="213"/>
      <c r="X365" s="213"/>
      <c r="Y365" s="214"/>
    </row>
    <row r="366" spans="2:25" x14ac:dyDescent="0.2">
      <c r="B366" s="387"/>
      <c r="C366" s="213"/>
      <c r="D366" s="228">
        <f>'I. Stream &amp; Compound Data'!F270</f>
        <v>9</v>
      </c>
      <c r="E366" s="253" t="str">
        <f>'I. Stream &amp; Compound Data'!G270</f>
        <v>Sulfuric Acid</v>
      </c>
      <c r="F366" s="254">
        <f>IF(E366="","",INDEX('I. Stream &amp; Compound Data'!H194:DV194,,$E$354-1))</f>
        <v>0</v>
      </c>
      <c r="G366" s="213"/>
      <c r="H366" s="213"/>
      <c r="I366" s="213"/>
      <c r="J366" s="213"/>
      <c r="K366" s="213"/>
      <c r="L366" s="213"/>
      <c r="M366" s="213"/>
      <c r="N366" s="213"/>
      <c r="O366" s="243"/>
      <c r="P366" s="213"/>
      <c r="Q366" s="213"/>
      <c r="R366" s="213"/>
      <c r="S366" s="213"/>
      <c r="T366" s="213"/>
      <c r="U366" s="213"/>
      <c r="V366" s="213"/>
      <c r="W366" s="213"/>
      <c r="X366" s="213"/>
      <c r="Y366" s="214"/>
    </row>
    <row r="367" spans="2:25" x14ac:dyDescent="0.2">
      <c r="B367" s="387"/>
      <c r="C367" s="213"/>
      <c r="D367" s="228">
        <f>'I. Stream &amp; Compound Data'!F271</f>
        <v>10</v>
      </c>
      <c r="E367" s="253" t="str">
        <f>'I. Stream &amp; Compound Data'!G271</f>
        <v>Oleic Acid</v>
      </c>
      <c r="F367" s="254">
        <f>IF(E367="","",INDEX('I. Stream &amp; Compound Data'!H195:DV195,,$E$354-1))</f>
        <v>0</v>
      </c>
      <c r="G367" s="213"/>
      <c r="H367" s="213"/>
      <c r="I367" s="213"/>
      <c r="J367" s="213"/>
      <c r="K367" s="213"/>
      <c r="L367" s="213"/>
      <c r="M367" s="213"/>
      <c r="N367" s="213"/>
      <c r="O367" s="243"/>
      <c r="P367" s="213"/>
      <c r="Q367" s="213"/>
      <c r="R367" s="213"/>
      <c r="S367" s="213"/>
      <c r="T367" s="213"/>
      <c r="U367" s="213"/>
      <c r="V367" s="213"/>
      <c r="W367" s="213"/>
      <c r="X367" s="213"/>
      <c r="Y367" s="214"/>
    </row>
    <row r="368" spans="2:25" x14ac:dyDescent="0.2">
      <c r="B368" s="387"/>
      <c r="C368" s="213"/>
      <c r="D368" s="228">
        <f>'I. Stream &amp; Compound Data'!F272</f>
        <v>11</v>
      </c>
      <c r="E368" s="253" t="str">
        <f>'I. Stream &amp; Compound Data'!G272</f>
        <v>Sodium Sulphate</v>
      </c>
      <c r="F368" s="254">
        <f>IF(E368="","",INDEX('I. Stream &amp; Compound Data'!H196:DV196,,$E$354-1))</f>
        <v>0</v>
      </c>
      <c r="G368" s="213"/>
      <c r="H368" s="213"/>
      <c r="I368" s="213"/>
      <c r="J368" s="213"/>
      <c r="K368" s="213"/>
      <c r="L368" s="213"/>
      <c r="M368" s="213"/>
      <c r="N368" s="213"/>
      <c r="O368" s="243"/>
      <c r="P368" s="213"/>
      <c r="Q368" s="213"/>
      <c r="R368" s="213"/>
      <c r="S368" s="213"/>
      <c r="T368" s="213"/>
      <c r="U368" s="213"/>
      <c r="V368" s="213"/>
      <c r="W368" s="213"/>
      <c r="X368" s="213"/>
      <c r="Y368" s="214"/>
    </row>
    <row r="369" spans="2:25" x14ac:dyDescent="0.2">
      <c r="B369" s="387"/>
      <c r="C369" s="213"/>
      <c r="D369" s="228">
        <f>'I. Stream &amp; Compound Data'!F273</f>
        <v>12</v>
      </c>
      <c r="E369" s="253" t="str">
        <f>'I. Stream &amp; Compound Data'!G273</f>
        <v/>
      </c>
      <c r="F369" s="254" t="str">
        <f>IF(E369="","",INDEX('I. Stream &amp; Compound Data'!H197:DV197,,$E$354-1))</f>
        <v/>
      </c>
      <c r="G369" s="213"/>
      <c r="H369" s="213"/>
      <c r="I369" s="213"/>
      <c r="J369" s="213"/>
      <c r="K369" s="213"/>
      <c r="L369" s="213"/>
      <c r="M369" s="213"/>
      <c r="N369" s="213"/>
      <c r="O369" s="243"/>
      <c r="P369" s="213"/>
      <c r="Q369" s="213"/>
      <c r="R369" s="213"/>
      <c r="S369" s="213"/>
      <c r="T369" s="213"/>
      <c r="U369" s="213"/>
      <c r="V369" s="213"/>
      <c r="W369" s="213"/>
      <c r="X369" s="213"/>
      <c r="Y369" s="214"/>
    </row>
    <row r="370" spans="2:25" x14ac:dyDescent="0.2">
      <c r="B370" s="387"/>
      <c r="C370" s="213"/>
      <c r="D370" s="228">
        <f>'I. Stream &amp; Compound Data'!F274</f>
        <v>13</v>
      </c>
      <c r="E370" s="253" t="str">
        <f>'I. Stream &amp; Compound Data'!G274</f>
        <v/>
      </c>
      <c r="F370" s="254" t="str">
        <f>IF(E370="","",INDEX('I. Stream &amp; Compound Data'!H198:DV198,,$E$354-1))</f>
        <v/>
      </c>
      <c r="G370" s="213"/>
      <c r="H370" s="213"/>
      <c r="I370" s="213"/>
      <c r="J370" s="213"/>
      <c r="K370" s="213"/>
      <c r="L370" s="213"/>
      <c r="M370" s="213"/>
      <c r="N370" s="213"/>
      <c r="O370" s="243"/>
      <c r="P370" s="213"/>
      <c r="Q370" s="213"/>
      <c r="R370" s="213"/>
      <c r="S370" s="213"/>
      <c r="T370" s="213"/>
      <c r="U370" s="213"/>
      <c r="V370" s="213"/>
      <c r="W370" s="213"/>
      <c r="X370" s="213"/>
      <c r="Y370" s="214"/>
    </row>
    <row r="371" spans="2:25" x14ac:dyDescent="0.2">
      <c r="B371" s="387"/>
      <c r="C371" s="213"/>
      <c r="D371" s="228">
        <f>'I. Stream &amp; Compound Data'!F275</f>
        <v>14</v>
      </c>
      <c r="E371" s="253" t="str">
        <f>'I. Stream &amp; Compound Data'!G275</f>
        <v/>
      </c>
      <c r="F371" s="254" t="str">
        <f>IF(E371="","",INDEX('I. Stream &amp; Compound Data'!H199:DV199,,$E$354-1))</f>
        <v/>
      </c>
      <c r="G371" s="213"/>
      <c r="H371" s="213"/>
      <c r="I371" s="213"/>
      <c r="J371" s="213"/>
      <c r="K371" s="213"/>
      <c r="L371" s="213"/>
      <c r="M371" s="213"/>
      <c r="N371" s="213"/>
      <c r="O371" s="243"/>
      <c r="P371" s="213"/>
      <c r="Q371" s="213"/>
      <c r="R371" s="213"/>
      <c r="S371" s="213"/>
      <c r="T371" s="213"/>
      <c r="U371" s="213"/>
      <c r="V371" s="213"/>
      <c r="W371" s="213"/>
      <c r="X371" s="213"/>
      <c r="Y371" s="214"/>
    </row>
    <row r="372" spans="2:25" x14ac:dyDescent="0.2">
      <c r="B372" s="387"/>
      <c r="C372" s="213"/>
      <c r="D372" s="228">
        <f>'I. Stream &amp; Compound Data'!F276</f>
        <v>15</v>
      </c>
      <c r="E372" s="253" t="str">
        <f>'I. Stream &amp; Compound Data'!G276</f>
        <v/>
      </c>
      <c r="F372" s="254" t="str">
        <f>IF(E372="","",INDEX('I. Stream &amp; Compound Data'!H200:DV200,,$E$354-1))</f>
        <v/>
      </c>
      <c r="G372" s="213"/>
      <c r="H372" s="213"/>
      <c r="I372" s="213"/>
      <c r="J372" s="213"/>
      <c r="K372" s="213"/>
      <c r="L372" s="213"/>
      <c r="M372" s="213"/>
      <c r="N372" s="213"/>
      <c r="O372" s="243"/>
      <c r="P372" s="213"/>
      <c r="Q372" s="213"/>
      <c r="R372" s="213"/>
      <c r="S372" s="213"/>
      <c r="T372" s="213"/>
      <c r="U372" s="213"/>
      <c r="V372" s="213"/>
      <c r="W372" s="213"/>
      <c r="X372" s="213"/>
      <c r="Y372" s="214"/>
    </row>
    <row r="373" spans="2:25" x14ac:dyDescent="0.2">
      <c r="B373" s="387"/>
      <c r="C373" s="213"/>
      <c r="D373" s="228">
        <f>'I. Stream &amp; Compound Data'!F277</f>
        <v>16</v>
      </c>
      <c r="E373" s="253" t="str">
        <f>'I. Stream &amp; Compound Data'!G277</f>
        <v/>
      </c>
      <c r="F373" s="254" t="str">
        <f>IF(E373="","",INDEX('I. Stream &amp; Compound Data'!H201:DV201,,$E$354-1))</f>
        <v/>
      </c>
      <c r="G373" s="213"/>
      <c r="H373" s="213"/>
      <c r="I373" s="213"/>
      <c r="J373" s="213"/>
      <c r="K373" s="213"/>
      <c r="L373" s="213"/>
      <c r="M373" s="213"/>
      <c r="N373" s="213"/>
      <c r="O373" s="243"/>
      <c r="P373" s="213"/>
      <c r="Q373" s="213"/>
      <c r="R373" s="213"/>
      <c r="S373" s="213"/>
      <c r="T373" s="213"/>
      <c r="U373" s="213"/>
      <c r="V373" s="213"/>
      <c r="W373" s="213"/>
      <c r="X373" s="213"/>
      <c r="Y373" s="214"/>
    </row>
    <row r="374" spans="2:25" x14ac:dyDescent="0.2">
      <c r="B374" s="387"/>
      <c r="C374" s="213"/>
      <c r="D374" s="228">
        <f>'I. Stream &amp; Compound Data'!F278</f>
        <v>17</v>
      </c>
      <c r="E374" s="253" t="str">
        <f>'I. Stream &amp; Compound Data'!G278</f>
        <v/>
      </c>
      <c r="F374" s="254" t="str">
        <f>IF(E374="","",INDEX('I. Stream &amp; Compound Data'!H202:DV202,,$E$354-1))</f>
        <v/>
      </c>
      <c r="G374" s="213"/>
      <c r="H374" s="213"/>
      <c r="I374" s="213"/>
      <c r="J374" s="213"/>
      <c r="K374" s="213"/>
      <c r="L374" s="213"/>
      <c r="M374" s="213"/>
      <c r="N374" s="213"/>
      <c r="O374" s="243"/>
      <c r="P374" s="213"/>
      <c r="Q374" s="213"/>
      <c r="R374" s="213"/>
      <c r="S374" s="213"/>
      <c r="T374" s="213"/>
      <c r="U374" s="213"/>
      <c r="V374" s="213"/>
      <c r="W374" s="213"/>
      <c r="X374" s="213"/>
      <c r="Y374" s="214"/>
    </row>
    <row r="375" spans="2:25" x14ac:dyDescent="0.2">
      <c r="B375" s="387"/>
      <c r="C375" s="213"/>
      <c r="D375" s="228">
        <f>'I. Stream &amp; Compound Data'!F279</f>
        <v>18</v>
      </c>
      <c r="E375" s="253" t="str">
        <f>'I. Stream &amp; Compound Data'!G279</f>
        <v/>
      </c>
      <c r="F375" s="254" t="str">
        <f>IF(E375="","",INDEX('I. Stream &amp; Compound Data'!H203:DV203,,$E$354-1))</f>
        <v/>
      </c>
      <c r="G375" s="213"/>
      <c r="H375" s="213"/>
      <c r="I375" s="213"/>
      <c r="J375" s="213"/>
      <c r="K375" s="213"/>
      <c r="L375" s="213"/>
      <c r="M375" s="213"/>
      <c r="N375" s="213"/>
      <c r="O375" s="243"/>
      <c r="P375" s="213"/>
      <c r="Q375" s="213"/>
      <c r="R375" s="213"/>
      <c r="S375" s="213"/>
      <c r="T375" s="213"/>
      <c r="U375" s="213"/>
      <c r="V375" s="213"/>
      <c r="W375" s="213"/>
      <c r="X375" s="213"/>
      <c r="Y375" s="214"/>
    </row>
    <row r="376" spans="2:25" x14ac:dyDescent="0.2">
      <c r="B376" s="387"/>
      <c r="C376" s="213"/>
      <c r="D376" s="228">
        <f>'I. Stream &amp; Compound Data'!F280</f>
        <v>19</v>
      </c>
      <c r="E376" s="253" t="str">
        <f>'I. Stream &amp; Compound Data'!G280</f>
        <v/>
      </c>
      <c r="F376" s="254" t="str">
        <f>IF(E376="","",INDEX('I. Stream &amp; Compound Data'!H204:DV204,,$E$354-1))</f>
        <v/>
      </c>
      <c r="G376" s="213"/>
      <c r="H376" s="213"/>
      <c r="I376" s="213"/>
      <c r="J376" s="213"/>
      <c r="K376" s="213"/>
      <c r="L376" s="213"/>
      <c r="M376" s="213"/>
      <c r="N376" s="213"/>
      <c r="O376" s="243"/>
      <c r="P376" s="213"/>
      <c r="Q376" s="213"/>
      <c r="R376" s="213"/>
      <c r="S376" s="213"/>
      <c r="T376" s="213"/>
      <c r="U376" s="213"/>
      <c r="V376" s="213"/>
      <c r="W376" s="213"/>
      <c r="X376" s="213"/>
      <c r="Y376" s="214"/>
    </row>
    <row r="377" spans="2:25" x14ac:dyDescent="0.2">
      <c r="B377" s="387"/>
      <c r="C377" s="213"/>
      <c r="D377" s="228">
        <f>'I. Stream &amp; Compound Data'!F281</f>
        <v>20</v>
      </c>
      <c r="E377" s="253" t="str">
        <f>'I. Stream &amp; Compound Data'!G281</f>
        <v/>
      </c>
      <c r="F377" s="254" t="str">
        <f>IF(E377="","",INDEX('I. Stream &amp; Compound Data'!H205:DV205,,$E$354-1))</f>
        <v/>
      </c>
      <c r="G377" s="213"/>
      <c r="H377" s="213"/>
      <c r="I377" s="213"/>
      <c r="J377" s="213"/>
      <c r="K377" s="213"/>
      <c r="L377" s="213"/>
      <c r="M377" s="213"/>
      <c r="N377" s="213"/>
      <c r="O377" s="243"/>
      <c r="P377" s="213"/>
      <c r="Q377" s="213"/>
      <c r="R377" s="213"/>
      <c r="S377" s="213"/>
      <c r="T377" s="213"/>
      <c r="U377" s="213"/>
      <c r="V377" s="213"/>
      <c r="W377" s="213"/>
      <c r="X377" s="213"/>
      <c r="Y377" s="214"/>
    </row>
    <row r="378" spans="2:25" x14ac:dyDescent="0.2">
      <c r="B378" s="387"/>
      <c r="C378" s="213"/>
      <c r="D378" s="228">
        <f>'I. Stream &amp; Compound Data'!F282</f>
        <v>21</v>
      </c>
      <c r="E378" s="253" t="str">
        <f>'I. Stream &amp; Compound Data'!G282</f>
        <v/>
      </c>
      <c r="F378" s="254" t="str">
        <f>IF(E378="","",INDEX('I. Stream &amp; Compound Data'!H206:DV206,,$E$354-1))</f>
        <v/>
      </c>
      <c r="G378" s="213"/>
      <c r="H378" s="213"/>
      <c r="I378" s="213"/>
      <c r="J378" s="213"/>
      <c r="K378" s="213"/>
      <c r="L378" s="213"/>
      <c r="M378" s="213"/>
      <c r="N378" s="213"/>
      <c r="O378" s="243"/>
      <c r="P378" s="213"/>
      <c r="Q378" s="213"/>
      <c r="R378" s="213"/>
      <c r="S378" s="213"/>
      <c r="T378" s="213"/>
      <c r="U378" s="213"/>
      <c r="V378" s="213"/>
      <c r="W378" s="213"/>
      <c r="X378" s="213"/>
      <c r="Y378" s="214"/>
    </row>
    <row r="379" spans="2:25" x14ac:dyDescent="0.2">
      <c r="B379" s="387"/>
      <c r="C379" s="213"/>
      <c r="D379" s="228">
        <f>'I. Stream &amp; Compound Data'!F283</f>
        <v>22</v>
      </c>
      <c r="E379" s="253" t="str">
        <f>'I. Stream &amp; Compound Data'!G283</f>
        <v/>
      </c>
      <c r="F379" s="254" t="str">
        <f>IF(E379="","",INDEX('I. Stream &amp; Compound Data'!H207:DV207,,$E$354-1))</f>
        <v/>
      </c>
      <c r="G379" s="213"/>
      <c r="H379" s="213"/>
      <c r="I379" s="213"/>
      <c r="J379" s="213"/>
      <c r="K379" s="213"/>
      <c r="L379" s="213"/>
      <c r="M379" s="213"/>
      <c r="N379" s="213"/>
      <c r="O379" s="243"/>
      <c r="P379" s="213"/>
      <c r="Q379" s="213"/>
      <c r="R379" s="213"/>
      <c r="S379" s="213"/>
      <c r="T379" s="213"/>
      <c r="U379" s="213"/>
      <c r="V379" s="213"/>
      <c r="W379" s="213"/>
      <c r="X379" s="213"/>
      <c r="Y379" s="214"/>
    </row>
    <row r="380" spans="2:25" x14ac:dyDescent="0.2">
      <c r="B380" s="387"/>
      <c r="C380" s="213"/>
      <c r="D380" s="228">
        <f>'I. Stream &amp; Compound Data'!F284</f>
        <v>23</v>
      </c>
      <c r="E380" s="253" t="str">
        <f>'I. Stream &amp; Compound Data'!G284</f>
        <v/>
      </c>
      <c r="F380" s="254" t="str">
        <f>IF(E380="","",INDEX('I. Stream &amp; Compound Data'!H208:DV208,,$E$354-1))</f>
        <v/>
      </c>
      <c r="G380" s="213"/>
      <c r="H380" s="213"/>
      <c r="I380" s="213"/>
      <c r="J380" s="213"/>
      <c r="K380" s="213"/>
      <c r="L380" s="213"/>
      <c r="M380" s="213"/>
      <c r="N380" s="213"/>
      <c r="O380" s="243"/>
      <c r="P380" s="213"/>
      <c r="Q380" s="213"/>
      <c r="R380" s="213"/>
      <c r="S380" s="213"/>
      <c r="T380" s="213"/>
      <c r="U380" s="213"/>
      <c r="V380" s="213"/>
      <c r="W380" s="213"/>
      <c r="X380" s="213"/>
      <c r="Y380" s="214"/>
    </row>
    <row r="381" spans="2:25" x14ac:dyDescent="0.2">
      <c r="B381" s="387"/>
      <c r="C381" s="213"/>
      <c r="D381" s="228">
        <f>'I. Stream &amp; Compound Data'!F285</f>
        <v>24</v>
      </c>
      <c r="E381" s="253" t="str">
        <f>'I. Stream &amp; Compound Data'!G285</f>
        <v/>
      </c>
      <c r="F381" s="254" t="str">
        <f>IF(E381="","",INDEX('I. Stream &amp; Compound Data'!H209:DV209,,$E$354-1))</f>
        <v/>
      </c>
      <c r="G381" s="213"/>
      <c r="H381" s="213"/>
      <c r="I381" s="213"/>
      <c r="J381" s="213"/>
      <c r="K381" s="213"/>
      <c r="L381" s="213"/>
      <c r="M381" s="213"/>
      <c r="N381" s="213"/>
      <c r="O381" s="213"/>
      <c r="P381" s="213"/>
      <c r="Q381" s="213"/>
      <c r="R381" s="213"/>
      <c r="S381" s="213"/>
      <c r="T381" s="213"/>
      <c r="U381" s="213"/>
      <c r="V381" s="213"/>
      <c r="W381" s="213"/>
      <c r="X381" s="213"/>
      <c r="Y381" s="214"/>
    </row>
    <row r="382" spans="2:25" x14ac:dyDescent="0.2">
      <c r="B382" s="387"/>
      <c r="C382" s="213"/>
      <c r="D382" s="228">
        <f>'I. Stream &amp; Compound Data'!F286</f>
        <v>25</v>
      </c>
      <c r="E382" s="253" t="str">
        <f>'I. Stream &amp; Compound Data'!G286</f>
        <v/>
      </c>
      <c r="F382" s="254" t="str">
        <f>IF(E382="","",INDEX('I. Stream &amp; Compound Data'!H210:DV210,,$E$354-1))</f>
        <v/>
      </c>
      <c r="G382" s="213"/>
      <c r="H382" s="213"/>
      <c r="I382" s="213"/>
      <c r="J382" s="213"/>
      <c r="K382" s="213"/>
      <c r="L382" s="213"/>
      <c r="M382" s="213"/>
      <c r="N382" s="213"/>
      <c r="O382" s="213"/>
      <c r="P382" s="213"/>
      <c r="Q382" s="213"/>
      <c r="R382" s="213"/>
      <c r="S382" s="213"/>
      <c r="T382" s="213"/>
      <c r="U382" s="213"/>
      <c r="V382" s="213"/>
      <c r="W382" s="213"/>
      <c r="X382" s="213"/>
      <c r="Y382" s="214"/>
    </row>
    <row r="383" spans="2:25" x14ac:dyDescent="0.2">
      <c r="B383" s="387"/>
      <c r="C383" s="213"/>
      <c r="D383" s="228">
        <f>'I. Stream &amp; Compound Data'!F287</f>
        <v>26</v>
      </c>
      <c r="E383" s="253" t="str">
        <f>'I. Stream &amp; Compound Data'!G287</f>
        <v/>
      </c>
      <c r="F383" s="254" t="str">
        <f>IF(E383="","",INDEX('I. Stream &amp; Compound Data'!H211:DV211,,$E$354-1))</f>
        <v/>
      </c>
      <c r="G383" s="213"/>
      <c r="H383" s="213"/>
      <c r="I383" s="213"/>
      <c r="J383" s="213"/>
      <c r="K383" s="213"/>
      <c r="L383" s="213"/>
      <c r="M383" s="213"/>
      <c r="N383" s="213"/>
      <c r="O383" s="213"/>
      <c r="P383" s="213"/>
      <c r="Q383" s="213"/>
      <c r="R383" s="213"/>
      <c r="S383" s="213"/>
      <c r="T383" s="213"/>
      <c r="U383" s="213"/>
      <c r="V383" s="213"/>
      <c r="W383" s="213"/>
      <c r="X383" s="213"/>
      <c r="Y383" s="214"/>
    </row>
    <row r="384" spans="2:25" x14ac:dyDescent="0.2">
      <c r="B384" s="387"/>
      <c r="C384" s="213"/>
      <c r="D384" s="228">
        <f>'I. Stream &amp; Compound Data'!F288</f>
        <v>27</v>
      </c>
      <c r="E384" s="253" t="str">
        <f>'I. Stream &amp; Compound Data'!G288</f>
        <v/>
      </c>
      <c r="F384" s="254" t="str">
        <f>IF(E384="","",INDEX('I. Stream &amp; Compound Data'!H212:DV212,,$E$354-1))</f>
        <v/>
      </c>
      <c r="G384" s="213"/>
      <c r="H384" s="213"/>
      <c r="I384" s="213"/>
      <c r="J384" s="213"/>
      <c r="K384" s="213"/>
      <c r="L384" s="213"/>
      <c r="M384" s="213"/>
      <c r="N384" s="213"/>
      <c r="O384" s="213"/>
      <c r="P384" s="213"/>
      <c r="Q384" s="213"/>
      <c r="R384" s="213"/>
      <c r="S384" s="213"/>
      <c r="T384" s="213"/>
      <c r="U384" s="213"/>
      <c r="V384" s="213"/>
      <c r="W384" s="213"/>
      <c r="X384" s="213"/>
      <c r="Y384" s="214"/>
    </row>
    <row r="385" spans="2:25" x14ac:dyDescent="0.2">
      <c r="B385" s="387"/>
      <c r="C385" s="213"/>
      <c r="D385" s="228">
        <f>'I. Stream &amp; Compound Data'!F289</f>
        <v>28</v>
      </c>
      <c r="E385" s="253" t="str">
        <f>'I. Stream &amp; Compound Data'!G289</f>
        <v/>
      </c>
      <c r="F385" s="254" t="str">
        <f>IF(E385="","",INDEX('I. Stream &amp; Compound Data'!H213:DV213,,$E$354-1))</f>
        <v/>
      </c>
      <c r="G385" s="213"/>
      <c r="H385" s="213"/>
      <c r="I385" s="213"/>
      <c r="J385" s="213"/>
      <c r="K385" s="213"/>
      <c r="L385" s="213"/>
      <c r="M385" s="213"/>
      <c r="N385" s="213"/>
      <c r="O385" s="213"/>
      <c r="P385" s="213"/>
      <c r="Q385" s="213"/>
      <c r="R385" s="213"/>
      <c r="S385" s="213"/>
      <c r="T385" s="213"/>
      <c r="U385" s="213"/>
      <c r="V385" s="213"/>
      <c r="W385" s="213"/>
      <c r="X385" s="213"/>
      <c r="Y385" s="214"/>
    </row>
    <row r="386" spans="2:25" x14ac:dyDescent="0.2">
      <c r="B386" s="387"/>
      <c r="C386" s="213"/>
      <c r="D386" s="228">
        <f>'I. Stream &amp; Compound Data'!F290</f>
        <v>29</v>
      </c>
      <c r="E386" s="253" t="str">
        <f>'I. Stream &amp; Compound Data'!G290</f>
        <v/>
      </c>
      <c r="F386" s="254" t="str">
        <f>IF(E386="","",INDEX('I. Stream &amp; Compound Data'!H214:DV214,,$E$354-1))</f>
        <v/>
      </c>
      <c r="G386" s="213"/>
      <c r="H386" s="213"/>
      <c r="I386" s="213"/>
      <c r="J386" s="213"/>
      <c r="K386" s="213"/>
      <c r="L386" s="213"/>
      <c r="M386" s="213"/>
      <c r="N386" s="213"/>
      <c r="O386" s="213"/>
      <c r="P386" s="213"/>
      <c r="Q386" s="213"/>
      <c r="R386" s="213"/>
      <c r="S386" s="213"/>
      <c r="T386" s="213"/>
      <c r="U386" s="213"/>
      <c r="V386" s="213"/>
      <c r="W386" s="213"/>
      <c r="X386" s="213"/>
      <c r="Y386" s="214"/>
    </row>
    <row r="387" spans="2:25" x14ac:dyDescent="0.2">
      <c r="B387" s="387"/>
      <c r="C387" s="213"/>
      <c r="D387" s="228">
        <f>'I. Stream &amp; Compound Data'!F291</f>
        <v>30</v>
      </c>
      <c r="E387" s="253" t="str">
        <f>'I. Stream &amp; Compound Data'!G291</f>
        <v/>
      </c>
      <c r="F387" s="254" t="str">
        <f>IF(E387="","",INDEX('I. Stream &amp; Compound Data'!H215:DV215,,$E$354-1))</f>
        <v/>
      </c>
      <c r="G387" s="213"/>
      <c r="H387" s="213"/>
      <c r="I387" s="213"/>
      <c r="J387" s="213"/>
      <c r="K387" s="213"/>
      <c r="L387" s="213"/>
      <c r="M387" s="213"/>
      <c r="N387" s="213"/>
      <c r="O387" s="213"/>
      <c r="P387" s="213"/>
      <c r="Q387" s="213"/>
      <c r="R387" s="213"/>
      <c r="S387" s="213"/>
      <c r="T387" s="213"/>
      <c r="U387" s="213"/>
      <c r="V387" s="213"/>
      <c r="W387" s="213"/>
      <c r="X387" s="213"/>
      <c r="Y387" s="214"/>
    </row>
    <row r="388" spans="2:25" x14ac:dyDescent="0.2">
      <c r="B388" s="387"/>
      <c r="C388" s="213"/>
      <c r="D388" s="228">
        <f>'I. Stream &amp; Compound Data'!F292</f>
        <v>31</v>
      </c>
      <c r="E388" s="253" t="str">
        <f>'I. Stream &amp; Compound Data'!G292</f>
        <v/>
      </c>
      <c r="F388" s="254" t="str">
        <f>IF(E388="","",INDEX('I. Stream &amp; Compound Data'!H216:DV216,,$E$354-1))</f>
        <v/>
      </c>
      <c r="G388" s="213"/>
      <c r="H388" s="213"/>
      <c r="I388" s="213"/>
      <c r="J388" s="213"/>
      <c r="K388" s="213"/>
      <c r="L388" s="213"/>
      <c r="M388" s="213"/>
      <c r="N388" s="213"/>
      <c r="O388" s="213"/>
      <c r="P388" s="213"/>
      <c r="Q388" s="213"/>
      <c r="R388" s="213"/>
      <c r="S388" s="213"/>
      <c r="T388" s="213"/>
      <c r="U388" s="213"/>
      <c r="V388" s="213"/>
      <c r="W388" s="213"/>
      <c r="X388" s="213"/>
      <c r="Y388" s="214"/>
    </row>
    <row r="389" spans="2:25" x14ac:dyDescent="0.2">
      <c r="B389" s="387"/>
      <c r="C389" s="213"/>
      <c r="D389" s="228">
        <f>'I. Stream &amp; Compound Data'!F293</f>
        <v>32</v>
      </c>
      <c r="E389" s="253" t="str">
        <f>'I. Stream &amp; Compound Data'!G293</f>
        <v/>
      </c>
      <c r="F389" s="254" t="str">
        <f>IF(E389="","",INDEX('I. Stream &amp; Compound Data'!H217:DV217,,$E$354-1))</f>
        <v/>
      </c>
      <c r="G389" s="213"/>
      <c r="H389" s="213"/>
      <c r="I389" s="213"/>
      <c r="J389" s="213"/>
      <c r="K389" s="213"/>
      <c r="L389" s="213"/>
      <c r="M389" s="213"/>
      <c r="N389" s="213"/>
      <c r="O389" s="213"/>
      <c r="P389" s="213"/>
      <c r="Q389" s="213"/>
      <c r="R389" s="213"/>
      <c r="S389" s="213"/>
      <c r="T389" s="213"/>
      <c r="U389" s="213"/>
      <c r="V389" s="213"/>
      <c r="W389" s="213"/>
      <c r="X389" s="213"/>
      <c r="Y389" s="214"/>
    </row>
    <row r="390" spans="2:25" x14ac:dyDescent="0.2">
      <c r="B390" s="387"/>
      <c r="C390" s="213"/>
      <c r="D390" s="228">
        <f>'I. Stream &amp; Compound Data'!F294</f>
        <v>33</v>
      </c>
      <c r="E390" s="253" t="str">
        <f>'I. Stream &amp; Compound Data'!G294</f>
        <v/>
      </c>
      <c r="F390" s="254" t="str">
        <f>IF(E390="","",INDEX('I. Stream &amp; Compound Data'!H218:DV218,,$E$354-1))</f>
        <v/>
      </c>
      <c r="G390" s="213"/>
      <c r="H390" s="213"/>
      <c r="I390" s="213"/>
      <c r="J390" s="213"/>
      <c r="K390" s="213"/>
      <c r="L390" s="213"/>
      <c r="M390" s="213"/>
      <c r="N390" s="213"/>
      <c r="O390" s="213"/>
      <c r="P390" s="213"/>
      <c r="Q390" s="213"/>
      <c r="R390" s="213"/>
      <c r="S390" s="213"/>
      <c r="T390" s="213"/>
      <c r="U390" s="213"/>
      <c r="V390" s="213"/>
      <c r="W390" s="213"/>
      <c r="X390" s="213"/>
      <c r="Y390" s="214"/>
    </row>
    <row r="391" spans="2:25" x14ac:dyDescent="0.2">
      <c r="B391" s="387"/>
      <c r="C391" s="213"/>
      <c r="D391" s="228">
        <f>'I. Stream &amp; Compound Data'!F295</f>
        <v>34</v>
      </c>
      <c r="E391" s="253" t="str">
        <f>'I. Stream &amp; Compound Data'!G295</f>
        <v/>
      </c>
      <c r="F391" s="254" t="str">
        <f>IF(E391="","",INDEX('I. Stream &amp; Compound Data'!H219:DV219,,$E$354-1))</f>
        <v/>
      </c>
      <c r="G391" s="213"/>
      <c r="H391" s="213"/>
      <c r="I391" s="213"/>
      <c r="J391" s="213"/>
      <c r="K391" s="213"/>
      <c r="L391" s="213"/>
      <c r="M391" s="213"/>
      <c r="N391" s="213"/>
      <c r="O391" s="213"/>
      <c r="P391" s="213"/>
      <c r="Q391" s="213"/>
      <c r="R391" s="213"/>
      <c r="S391" s="213"/>
      <c r="T391" s="213"/>
      <c r="U391" s="213"/>
      <c r="V391" s="213"/>
      <c r="W391" s="213"/>
      <c r="X391" s="213"/>
      <c r="Y391" s="214"/>
    </row>
    <row r="392" spans="2:25" x14ac:dyDescent="0.2">
      <c r="B392" s="387"/>
      <c r="C392" s="213"/>
      <c r="D392" s="228">
        <f>'I. Stream &amp; Compound Data'!F296</f>
        <v>35</v>
      </c>
      <c r="E392" s="253" t="str">
        <f>'I. Stream &amp; Compound Data'!G296</f>
        <v/>
      </c>
      <c r="F392" s="254" t="str">
        <f>IF(E392="","",INDEX('I. Stream &amp; Compound Data'!H220:DV220,,$E$354-1))</f>
        <v/>
      </c>
      <c r="G392" s="213"/>
      <c r="H392" s="213"/>
      <c r="I392" s="213"/>
      <c r="J392" s="213"/>
      <c r="K392" s="213"/>
      <c r="L392" s="213"/>
      <c r="M392" s="213"/>
      <c r="N392" s="213"/>
      <c r="O392" s="213"/>
      <c r="P392" s="213"/>
      <c r="Q392" s="213"/>
      <c r="R392" s="213"/>
      <c r="S392" s="213"/>
      <c r="T392" s="213"/>
      <c r="U392" s="213"/>
      <c r="V392" s="213"/>
      <c r="W392" s="213"/>
      <c r="X392" s="213"/>
      <c r="Y392" s="214"/>
    </row>
    <row r="393" spans="2:25" x14ac:dyDescent="0.2">
      <c r="B393" s="387"/>
      <c r="C393" s="213"/>
      <c r="D393" s="228">
        <f>'I. Stream &amp; Compound Data'!F297</f>
        <v>36</v>
      </c>
      <c r="E393" s="253" t="str">
        <f>'I. Stream &amp; Compound Data'!G297</f>
        <v/>
      </c>
      <c r="F393" s="254" t="str">
        <f>IF(E393="","",INDEX('I. Stream &amp; Compound Data'!H221:DV221,,$E$354-1))</f>
        <v/>
      </c>
      <c r="G393" s="213"/>
      <c r="H393" s="213"/>
      <c r="I393" s="213"/>
      <c r="J393" s="213"/>
      <c r="K393" s="213"/>
      <c r="L393" s="213"/>
      <c r="M393" s="213"/>
      <c r="N393" s="213"/>
      <c r="O393" s="213"/>
      <c r="P393" s="213"/>
      <c r="Q393" s="213"/>
      <c r="R393" s="213"/>
      <c r="S393" s="213"/>
      <c r="T393" s="213"/>
      <c r="U393" s="213"/>
      <c r="V393" s="213"/>
      <c r="W393" s="213"/>
      <c r="X393" s="213"/>
      <c r="Y393" s="214"/>
    </row>
    <row r="394" spans="2:25" x14ac:dyDescent="0.2">
      <c r="B394" s="387"/>
      <c r="C394" s="213"/>
      <c r="D394" s="228">
        <f>'I. Stream &amp; Compound Data'!F298</f>
        <v>37</v>
      </c>
      <c r="E394" s="253" t="str">
        <f>'I. Stream &amp; Compound Data'!G298</f>
        <v/>
      </c>
      <c r="F394" s="254" t="str">
        <f>IF(E394="","",INDEX('I. Stream &amp; Compound Data'!H222:DV222,,$E$354-1))</f>
        <v/>
      </c>
      <c r="G394" s="213"/>
      <c r="H394" s="213"/>
      <c r="I394" s="213"/>
      <c r="J394" s="213"/>
      <c r="K394" s="213"/>
      <c r="L394" s="213"/>
      <c r="M394" s="213"/>
      <c r="N394" s="213"/>
      <c r="O394" s="213"/>
      <c r="P394" s="213"/>
      <c r="Q394" s="213"/>
      <c r="R394" s="213"/>
      <c r="S394" s="213"/>
      <c r="T394" s="213"/>
      <c r="U394" s="213"/>
      <c r="V394" s="213"/>
      <c r="W394" s="213"/>
      <c r="X394" s="213"/>
      <c r="Y394" s="214"/>
    </row>
    <row r="395" spans="2:25" x14ac:dyDescent="0.2">
      <c r="B395" s="387"/>
      <c r="C395" s="213"/>
      <c r="D395" s="228">
        <f>'I. Stream &amp; Compound Data'!F299</f>
        <v>38</v>
      </c>
      <c r="E395" s="253" t="str">
        <f>'I. Stream &amp; Compound Data'!G299</f>
        <v/>
      </c>
      <c r="F395" s="254" t="str">
        <f>IF(E395="","",INDEX('I. Stream &amp; Compound Data'!H223:DV223,,$E$354-1))</f>
        <v/>
      </c>
      <c r="G395" s="213"/>
      <c r="H395" s="213"/>
      <c r="I395" s="213"/>
      <c r="J395" s="213"/>
      <c r="K395" s="213"/>
      <c r="L395" s="213"/>
      <c r="M395" s="213"/>
      <c r="N395" s="213"/>
      <c r="O395" s="213"/>
      <c r="P395" s="213"/>
      <c r="Q395" s="213"/>
      <c r="R395" s="213"/>
      <c r="S395" s="213"/>
      <c r="T395" s="213"/>
      <c r="U395" s="213"/>
      <c r="V395" s="213"/>
      <c r="W395" s="213"/>
      <c r="X395" s="213"/>
      <c r="Y395" s="214"/>
    </row>
    <row r="396" spans="2:25" x14ac:dyDescent="0.2">
      <c r="B396" s="387"/>
      <c r="C396" s="213"/>
      <c r="D396" s="228">
        <f>'I. Stream &amp; Compound Data'!F300</f>
        <v>39</v>
      </c>
      <c r="E396" s="253" t="str">
        <f>'I. Stream &amp; Compound Data'!G300</f>
        <v/>
      </c>
      <c r="F396" s="254" t="str">
        <f>IF(E396="","",INDEX('I. Stream &amp; Compound Data'!H224:DV224,,$E$354-1))</f>
        <v/>
      </c>
      <c r="G396" s="213"/>
      <c r="H396" s="213"/>
      <c r="I396" s="213"/>
      <c r="J396" s="213"/>
      <c r="K396" s="213"/>
      <c r="L396" s="213"/>
      <c r="M396" s="213"/>
      <c r="N396" s="213"/>
      <c r="O396" s="213"/>
      <c r="P396" s="213"/>
      <c r="Q396" s="213"/>
      <c r="R396" s="213"/>
      <c r="S396" s="213"/>
      <c r="T396" s="213"/>
      <c r="U396" s="213"/>
      <c r="V396" s="213"/>
      <c r="W396" s="213"/>
      <c r="X396" s="213"/>
      <c r="Y396" s="214"/>
    </row>
    <row r="397" spans="2:25" x14ac:dyDescent="0.2">
      <c r="B397" s="387"/>
      <c r="C397" s="213"/>
      <c r="D397" s="228">
        <f>'I. Stream &amp; Compound Data'!F301</f>
        <v>40</v>
      </c>
      <c r="E397" s="253" t="str">
        <f>'I. Stream &amp; Compound Data'!G301</f>
        <v/>
      </c>
      <c r="F397" s="254" t="str">
        <f>IF(E397="","",INDEX('I. Stream &amp; Compound Data'!H225:DV225,,$E$354-1))</f>
        <v/>
      </c>
      <c r="G397" s="213"/>
      <c r="H397" s="213"/>
      <c r="I397" s="213"/>
      <c r="J397" s="213"/>
      <c r="K397" s="213"/>
      <c r="L397" s="213"/>
      <c r="M397" s="213"/>
      <c r="N397" s="213"/>
      <c r="O397" s="213"/>
      <c r="P397" s="213"/>
      <c r="Q397" s="213"/>
      <c r="R397" s="213"/>
      <c r="S397" s="213"/>
      <c r="T397" s="213"/>
      <c r="U397" s="213"/>
      <c r="V397" s="213"/>
      <c r="W397" s="213"/>
      <c r="X397" s="213"/>
      <c r="Y397" s="214"/>
    </row>
    <row r="398" spans="2:25" x14ac:dyDescent="0.2">
      <c r="B398" s="387"/>
      <c r="C398" s="213"/>
      <c r="D398" s="228">
        <f>'I. Stream &amp; Compound Data'!F302</f>
        <v>41</v>
      </c>
      <c r="E398" s="253" t="str">
        <f>'I. Stream &amp; Compound Data'!G302</f>
        <v/>
      </c>
      <c r="F398" s="254" t="str">
        <f>IF(E398="","",INDEX('I. Stream &amp; Compound Data'!H226:DV226,,$E$354-1))</f>
        <v/>
      </c>
      <c r="G398" s="213"/>
      <c r="H398" s="213"/>
      <c r="I398" s="213"/>
      <c r="J398" s="213"/>
      <c r="K398" s="213"/>
      <c r="L398" s="213"/>
      <c r="M398" s="213"/>
      <c r="N398" s="213"/>
      <c r="O398" s="213"/>
      <c r="P398" s="213"/>
      <c r="Q398" s="213"/>
      <c r="R398" s="213"/>
      <c r="S398" s="213"/>
      <c r="T398" s="213"/>
      <c r="U398" s="213"/>
      <c r="V398" s="213"/>
      <c r="W398" s="213"/>
      <c r="X398" s="213"/>
      <c r="Y398" s="214"/>
    </row>
    <row r="399" spans="2:25" x14ac:dyDescent="0.2">
      <c r="B399" s="387"/>
      <c r="C399" s="213"/>
      <c r="D399" s="228">
        <f>'I. Stream &amp; Compound Data'!F303</f>
        <v>42</v>
      </c>
      <c r="E399" s="253" t="str">
        <f>'I. Stream &amp; Compound Data'!G303</f>
        <v/>
      </c>
      <c r="F399" s="254" t="str">
        <f>IF(E399="","",INDEX('I. Stream &amp; Compound Data'!H227:DV227,,$E$354-1))</f>
        <v/>
      </c>
      <c r="G399" s="213"/>
      <c r="H399" s="213"/>
      <c r="I399" s="213"/>
      <c r="J399" s="213"/>
      <c r="K399" s="213"/>
      <c r="L399" s="213"/>
      <c r="M399" s="213"/>
      <c r="N399" s="213"/>
      <c r="O399" s="213"/>
      <c r="P399" s="213"/>
      <c r="Q399" s="213"/>
      <c r="R399" s="213"/>
      <c r="S399" s="213"/>
      <c r="T399" s="213"/>
      <c r="U399" s="213"/>
      <c r="V399" s="213"/>
      <c r="W399" s="213"/>
      <c r="X399" s="213"/>
      <c r="Y399" s="214"/>
    </row>
    <row r="400" spans="2:25" x14ac:dyDescent="0.2">
      <c r="B400" s="387"/>
      <c r="C400" s="213"/>
      <c r="D400" s="228">
        <f>'I. Stream &amp; Compound Data'!F304</f>
        <v>43</v>
      </c>
      <c r="E400" s="253" t="str">
        <f>'I. Stream &amp; Compound Data'!G304</f>
        <v/>
      </c>
      <c r="F400" s="254" t="str">
        <f>IF(E400="","",INDEX('I. Stream &amp; Compound Data'!H228:DV228,,$E$354-1))</f>
        <v/>
      </c>
      <c r="G400" s="213"/>
      <c r="H400" s="213"/>
      <c r="I400" s="213"/>
      <c r="J400" s="213"/>
      <c r="K400" s="213"/>
      <c r="L400" s="213"/>
      <c r="M400" s="213"/>
      <c r="N400" s="213"/>
      <c r="O400" s="213"/>
      <c r="P400" s="213"/>
      <c r="Q400" s="213"/>
      <c r="R400" s="213"/>
      <c r="S400" s="213"/>
      <c r="T400" s="213"/>
      <c r="U400" s="213"/>
      <c r="V400" s="213"/>
      <c r="W400" s="213"/>
      <c r="X400" s="213"/>
      <c r="Y400" s="214"/>
    </row>
    <row r="401" spans="2:25" x14ac:dyDescent="0.2">
      <c r="B401" s="387"/>
      <c r="C401" s="213"/>
      <c r="D401" s="228">
        <f>'I. Stream &amp; Compound Data'!F305</f>
        <v>44</v>
      </c>
      <c r="E401" s="253" t="str">
        <f>'I. Stream &amp; Compound Data'!G305</f>
        <v/>
      </c>
      <c r="F401" s="254" t="str">
        <f>IF(E401="","",INDEX('I. Stream &amp; Compound Data'!H229:DV229,,$E$354-1))</f>
        <v/>
      </c>
      <c r="G401" s="213"/>
      <c r="H401" s="213"/>
      <c r="I401" s="213"/>
      <c r="J401" s="213"/>
      <c r="K401" s="213"/>
      <c r="L401" s="213"/>
      <c r="M401" s="213"/>
      <c r="N401" s="213"/>
      <c r="O401" s="213"/>
      <c r="P401" s="213"/>
      <c r="Q401" s="213"/>
      <c r="R401" s="213"/>
      <c r="S401" s="213"/>
      <c r="T401" s="213"/>
      <c r="U401" s="213"/>
      <c r="V401" s="213"/>
      <c r="W401" s="213"/>
      <c r="X401" s="213"/>
      <c r="Y401" s="214"/>
    </row>
    <row r="402" spans="2:25" x14ac:dyDescent="0.2">
      <c r="B402" s="387"/>
      <c r="C402" s="213"/>
      <c r="D402" s="228">
        <f>'I. Stream &amp; Compound Data'!F306</f>
        <v>45</v>
      </c>
      <c r="E402" s="253" t="str">
        <f>'I. Stream &amp; Compound Data'!G306</f>
        <v/>
      </c>
      <c r="F402" s="254" t="str">
        <f>IF(E402="","",INDEX('I. Stream &amp; Compound Data'!H230:DV230,,$E$354-1))</f>
        <v/>
      </c>
      <c r="G402" s="213"/>
      <c r="H402" s="213"/>
      <c r="I402" s="213"/>
      <c r="J402" s="213"/>
      <c r="K402" s="213"/>
      <c r="L402" s="213"/>
      <c r="M402" s="213"/>
      <c r="N402" s="213"/>
      <c r="O402" s="213"/>
      <c r="P402" s="213"/>
      <c r="Q402" s="213"/>
      <c r="R402" s="213"/>
      <c r="S402" s="213"/>
      <c r="T402" s="213"/>
      <c r="U402" s="213"/>
      <c r="V402" s="213"/>
      <c r="W402" s="213"/>
      <c r="X402" s="213"/>
      <c r="Y402" s="214"/>
    </row>
    <row r="403" spans="2:25" x14ac:dyDescent="0.2">
      <c r="B403" s="387"/>
      <c r="C403" s="213"/>
      <c r="D403" s="228">
        <f>'I. Stream &amp; Compound Data'!F307</f>
        <v>46</v>
      </c>
      <c r="E403" s="253" t="str">
        <f>'I. Stream &amp; Compound Data'!G307</f>
        <v/>
      </c>
      <c r="F403" s="254" t="str">
        <f>IF(E403="","",INDEX('I. Stream &amp; Compound Data'!H231:DV231,,$E$354-1))</f>
        <v/>
      </c>
      <c r="G403" s="213"/>
      <c r="H403" s="213"/>
      <c r="I403" s="213"/>
      <c r="J403" s="213"/>
      <c r="K403" s="213"/>
      <c r="L403" s="213"/>
      <c r="M403" s="213"/>
      <c r="N403" s="213"/>
      <c r="O403" s="213"/>
      <c r="P403" s="213"/>
      <c r="Q403" s="213"/>
      <c r="R403" s="213"/>
      <c r="S403" s="213"/>
      <c r="T403" s="213"/>
      <c r="U403" s="213"/>
      <c r="V403" s="213"/>
      <c r="W403" s="213"/>
      <c r="X403" s="213"/>
      <c r="Y403" s="214"/>
    </row>
    <row r="404" spans="2:25" x14ac:dyDescent="0.2">
      <c r="B404" s="387"/>
      <c r="C404" s="213"/>
      <c r="D404" s="228">
        <f>'I. Stream &amp; Compound Data'!F308</f>
        <v>47</v>
      </c>
      <c r="E404" s="253" t="str">
        <f>'I. Stream &amp; Compound Data'!G308</f>
        <v/>
      </c>
      <c r="F404" s="254" t="str">
        <f>IF(E404="","",INDEX('I. Stream &amp; Compound Data'!H232:DV232,,$E$354-1))</f>
        <v/>
      </c>
      <c r="G404" s="213"/>
      <c r="H404" s="213"/>
      <c r="I404" s="213"/>
      <c r="J404" s="213"/>
      <c r="K404" s="213"/>
      <c r="L404" s="213"/>
      <c r="M404" s="213"/>
      <c r="N404" s="213"/>
      <c r="O404" s="213"/>
      <c r="P404" s="213"/>
      <c r="Q404" s="213"/>
      <c r="R404" s="213"/>
      <c r="S404" s="213"/>
      <c r="T404" s="213"/>
      <c r="U404" s="213"/>
      <c r="V404" s="213"/>
      <c r="W404" s="213"/>
      <c r="X404" s="213"/>
      <c r="Y404" s="214"/>
    </row>
    <row r="405" spans="2:25" x14ac:dyDescent="0.2">
      <c r="B405" s="387"/>
      <c r="C405" s="213"/>
      <c r="D405" s="228">
        <f>'I. Stream &amp; Compound Data'!F309</f>
        <v>48</v>
      </c>
      <c r="E405" s="253" t="str">
        <f>'I. Stream &amp; Compound Data'!G309</f>
        <v/>
      </c>
      <c r="F405" s="254" t="str">
        <f>IF(E405="","",INDEX('I. Stream &amp; Compound Data'!H233:DV233,,$E$354-1))</f>
        <v/>
      </c>
      <c r="G405" s="213"/>
      <c r="H405" s="213"/>
      <c r="I405" s="213"/>
      <c r="J405" s="213"/>
      <c r="K405" s="213"/>
      <c r="L405" s="213"/>
      <c r="M405" s="213"/>
      <c r="N405" s="213"/>
      <c r="O405" s="213"/>
      <c r="P405" s="213"/>
      <c r="Q405" s="213"/>
      <c r="R405" s="213"/>
      <c r="S405" s="213"/>
      <c r="T405" s="213"/>
      <c r="U405" s="213"/>
      <c r="V405" s="213"/>
      <c r="W405" s="213"/>
      <c r="X405" s="213"/>
      <c r="Y405" s="214"/>
    </row>
    <row r="406" spans="2:25" x14ac:dyDescent="0.2">
      <c r="B406" s="387"/>
      <c r="C406" s="213"/>
      <c r="D406" s="228">
        <f>'I. Stream &amp; Compound Data'!F310</f>
        <v>49</v>
      </c>
      <c r="E406" s="253" t="str">
        <f>'I. Stream &amp; Compound Data'!G310</f>
        <v/>
      </c>
      <c r="F406" s="254" t="str">
        <f>IF(E406="","",INDEX('I. Stream &amp; Compound Data'!H234:DV234,,$E$354-1))</f>
        <v/>
      </c>
      <c r="G406" s="213"/>
      <c r="H406" s="213"/>
      <c r="I406" s="213"/>
      <c r="J406" s="213"/>
      <c r="K406" s="213"/>
      <c r="L406" s="213"/>
      <c r="M406" s="213"/>
      <c r="N406" s="213"/>
      <c r="O406" s="213"/>
      <c r="P406" s="213"/>
      <c r="Q406" s="213"/>
      <c r="R406" s="213"/>
      <c r="S406" s="213"/>
      <c r="T406" s="213"/>
      <c r="U406" s="213"/>
      <c r="V406" s="213"/>
      <c r="W406" s="213"/>
      <c r="X406" s="213"/>
      <c r="Y406" s="214"/>
    </row>
    <row r="407" spans="2:25" ht="15.75" thickBot="1" x14ac:dyDescent="0.25">
      <c r="B407" s="387"/>
      <c r="C407" s="213"/>
      <c r="D407" s="234">
        <f>'I. Stream &amp; Compound Data'!F311</f>
        <v>50</v>
      </c>
      <c r="E407" s="255" t="str">
        <f>'I. Stream &amp; Compound Data'!G311</f>
        <v/>
      </c>
      <c r="F407" s="256" t="str">
        <f>IF(E407="","",INDEX('I. Stream &amp; Compound Data'!H235:DV235,,$E$354-1))</f>
        <v/>
      </c>
      <c r="G407" s="213"/>
      <c r="H407" s="213"/>
      <c r="I407" s="213"/>
      <c r="J407" s="213"/>
      <c r="K407" s="213"/>
      <c r="L407" s="213"/>
      <c r="M407" s="213"/>
      <c r="N407" s="213"/>
      <c r="O407" s="213"/>
      <c r="P407" s="213"/>
      <c r="Q407" s="213"/>
      <c r="R407" s="213"/>
      <c r="S407" s="213"/>
      <c r="T407" s="213"/>
      <c r="U407" s="213"/>
      <c r="V407" s="213"/>
      <c r="W407" s="213"/>
      <c r="X407" s="213"/>
      <c r="Y407" s="214"/>
    </row>
    <row r="408" spans="2:25" ht="15.75" thickBot="1" x14ac:dyDescent="0.25">
      <c r="B408" s="388"/>
      <c r="C408" s="389"/>
      <c r="D408" s="389"/>
      <c r="E408" s="389"/>
      <c r="F408" s="389"/>
      <c r="G408" s="389"/>
      <c r="H408" s="389"/>
      <c r="I408" s="389"/>
      <c r="J408" s="389"/>
      <c r="K408" s="389"/>
      <c r="L408" s="389"/>
      <c r="M408" s="389"/>
      <c r="N408" s="389"/>
      <c r="O408" s="389"/>
      <c r="P408" s="389"/>
      <c r="Q408" s="389"/>
      <c r="R408" s="389"/>
      <c r="S408" s="389"/>
      <c r="T408" s="389"/>
      <c r="U408" s="389"/>
      <c r="V408" s="389"/>
      <c r="W408" s="389"/>
      <c r="X408" s="389"/>
      <c r="Y408" s="390"/>
    </row>
    <row r="421" spans="3:15" x14ac:dyDescent="0.2">
      <c r="C421" s="25"/>
    </row>
    <row r="422" spans="3:15" x14ac:dyDescent="0.2">
      <c r="C422" s="25"/>
    </row>
    <row r="423" spans="3:15" x14ac:dyDescent="0.2">
      <c r="C423" s="25"/>
    </row>
    <row r="424" spans="3:15" x14ac:dyDescent="0.2">
      <c r="C424" s="25"/>
    </row>
    <row r="425" spans="3:15" x14ac:dyDescent="0.2">
      <c r="C425" s="25"/>
    </row>
    <row r="426" spans="3:15" x14ac:dyDescent="0.2">
      <c r="C426" s="25"/>
    </row>
    <row r="428" spans="3:15" x14ac:dyDescent="0.2">
      <c r="C428" s="25"/>
    </row>
    <row r="429" spans="3:15" x14ac:dyDescent="0.2">
      <c r="C429" s="25"/>
    </row>
    <row r="430" spans="3:15" x14ac:dyDescent="0.2">
      <c r="C430" s="25"/>
    </row>
    <row r="431" spans="3:15" x14ac:dyDescent="0.2">
      <c r="C431" s="25"/>
      <c r="O431" s="25"/>
    </row>
    <row r="432" spans="3:15" x14ac:dyDescent="0.2">
      <c r="C432" s="25"/>
      <c r="O432" s="25"/>
    </row>
    <row r="433" spans="3:15" x14ac:dyDescent="0.2">
      <c r="C433" s="25"/>
      <c r="O433" s="25"/>
    </row>
    <row r="434" spans="3:15" x14ac:dyDescent="0.2">
      <c r="O434" s="25"/>
    </row>
    <row r="435" spans="3:15" x14ac:dyDescent="0.2">
      <c r="O435" s="25"/>
    </row>
    <row r="436" spans="3:15" x14ac:dyDescent="0.2">
      <c r="O436" s="25"/>
    </row>
    <row r="437" spans="3:15" x14ac:dyDescent="0.2">
      <c r="O437" s="25"/>
    </row>
    <row r="438" spans="3:15" x14ac:dyDescent="0.2">
      <c r="O438" s="25"/>
    </row>
    <row r="439" spans="3:15" x14ac:dyDescent="0.2">
      <c r="O439" s="25"/>
    </row>
    <row r="440" spans="3:15" x14ac:dyDescent="0.2">
      <c r="O440" s="25"/>
    </row>
    <row r="441" spans="3:15" x14ac:dyDescent="0.2">
      <c r="O441" s="25"/>
    </row>
    <row r="442" spans="3:15" x14ac:dyDescent="0.2">
      <c r="O442" s="25"/>
    </row>
    <row r="443" spans="3:15" x14ac:dyDescent="0.2">
      <c r="O443" s="25"/>
    </row>
    <row r="444" spans="3:15" x14ac:dyDescent="0.2">
      <c r="C444" s="25"/>
      <c r="O444" s="25"/>
    </row>
    <row r="445" spans="3:15" x14ac:dyDescent="0.2">
      <c r="C445" s="25"/>
      <c r="O445" s="25"/>
    </row>
    <row r="446" spans="3:15" x14ac:dyDescent="0.2">
      <c r="C446" s="25"/>
      <c r="O446" s="25"/>
    </row>
    <row r="447" spans="3:15" x14ac:dyDescent="0.2">
      <c r="C447" s="25"/>
      <c r="O447" s="25"/>
    </row>
    <row r="448" spans="3:15" x14ac:dyDescent="0.2">
      <c r="C448" s="25"/>
      <c r="O448" s="25"/>
    </row>
    <row r="450" spans="3:15" x14ac:dyDescent="0.2">
      <c r="C450" s="25"/>
      <c r="O450" s="25"/>
    </row>
    <row r="451" spans="3:15" x14ac:dyDescent="0.2">
      <c r="C451" s="25"/>
      <c r="O451" s="25"/>
    </row>
    <row r="452" spans="3:15" x14ac:dyDescent="0.2">
      <c r="C452" s="25"/>
      <c r="O452" s="25"/>
    </row>
    <row r="453" spans="3:15" x14ac:dyDescent="0.2">
      <c r="C453" s="25"/>
      <c r="O453" s="25"/>
    </row>
    <row r="454" spans="3:15" x14ac:dyDescent="0.2">
      <c r="C454" s="25"/>
      <c r="O454" s="25"/>
    </row>
    <row r="455" spans="3:15" x14ac:dyDescent="0.2">
      <c r="C455" s="25"/>
      <c r="O455" s="25"/>
    </row>
    <row r="456" spans="3:15" x14ac:dyDescent="0.2">
      <c r="C456" s="25"/>
      <c r="O456" s="25"/>
    </row>
    <row r="457" spans="3:15" x14ac:dyDescent="0.2">
      <c r="C457" s="25"/>
    </row>
    <row r="458" spans="3:15" x14ac:dyDescent="0.2">
      <c r="C458" s="25"/>
    </row>
    <row r="507" spans="15:15" x14ac:dyDescent="0.2">
      <c r="O507" s="49"/>
    </row>
    <row r="508" spans="15:15" x14ac:dyDescent="0.2">
      <c r="O508" s="49"/>
    </row>
    <row r="509" spans="15:15" x14ac:dyDescent="0.2">
      <c r="O509" s="49"/>
    </row>
    <row r="510" spans="15:15" x14ac:dyDescent="0.2">
      <c r="O510" s="49"/>
    </row>
    <row r="511" spans="15:15" x14ac:dyDescent="0.2">
      <c r="O511" s="49"/>
    </row>
    <row r="514" spans="3:15" x14ac:dyDescent="0.2">
      <c r="O514" s="49"/>
    </row>
    <row r="515" spans="3:15" x14ac:dyDescent="0.2">
      <c r="O515" s="49"/>
    </row>
    <row r="516" spans="3:15" x14ac:dyDescent="0.2">
      <c r="O516" s="49"/>
    </row>
    <row r="517" spans="3:15" x14ac:dyDescent="0.2">
      <c r="O517" s="49"/>
    </row>
    <row r="518" spans="3:15" x14ac:dyDescent="0.2">
      <c r="O518" s="49"/>
    </row>
    <row r="522" spans="3:15" x14ac:dyDescent="0.2">
      <c r="O522" s="49"/>
    </row>
    <row r="523" spans="3:15" x14ac:dyDescent="0.2">
      <c r="O523" s="49"/>
    </row>
    <row r="524" spans="3:15" x14ac:dyDescent="0.2">
      <c r="O524" s="49"/>
    </row>
    <row r="525" spans="3:15" x14ac:dyDescent="0.2">
      <c r="O525" s="49"/>
    </row>
    <row r="526" spans="3:15" x14ac:dyDescent="0.2">
      <c r="C526" s="25"/>
      <c r="O526" s="49"/>
    </row>
    <row r="527" spans="3:15" x14ac:dyDescent="0.2">
      <c r="C527" s="25"/>
      <c r="O527" s="49"/>
    </row>
    <row r="528" spans="3:15" x14ac:dyDescent="0.2">
      <c r="C528" s="25"/>
      <c r="O528" s="49"/>
    </row>
    <row r="529" spans="3:15" x14ac:dyDescent="0.2">
      <c r="C529" s="25"/>
      <c r="O529" s="49"/>
    </row>
    <row r="530" spans="3:15" x14ac:dyDescent="0.2">
      <c r="C530" s="25"/>
      <c r="O530" s="49"/>
    </row>
    <row r="531" spans="3:15" x14ac:dyDescent="0.2">
      <c r="C531" s="25"/>
      <c r="O531" s="49"/>
    </row>
    <row r="532" spans="3:15" x14ac:dyDescent="0.2">
      <c r="C532" s="25"/>
    </row>
    <row r="533" spans="3:15" x14ac:dyDescent="0.2">
      <c r="C533" s="25"/>
    </row>
    <row r="534" spans="3:15" x14ac:dyDescent="0.2">
      <c r="C534" s="25"/>
    </row>
    <row r="535" spans="3:15" x14ac:dyDescent="0.2">
      <c r="C535" s="25"/>
    </row>
    <row r="536" spans="3:15" x14ac:dyDescent="0.2">
      <c r="C536" s="25"/>
    </row>
  </sheetData>
  <protectedRanges>
    <protectedRange sqref="E176" name="Range1_1_1"/>
    <protectedRange sqref="E178" name="Range1_1_1_1"/>
    <protectedRange sqref="E179" name="Range1_2_1"/>
    <protectedRange sqref="E180:E181" name="Range1_3_1"/>
  </protectedRanges>
  <scenarios current="0" show="0">
    <scenario name="gdgfgf" locked="1" count="1" user="ctsuser" comment="Created by ctsuser on 12/3/2012">
      <inputCells r="E13" val="1, 2, 3"/>
    </scenario>
  </scenarios>
  <dataConsolidate/>
  <mergeCells count="22">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 ref="D158:F158"/>
    <mergeCell ref="D192:E192"/>
    <mergeCell ref="D165:F165"/>
    <mergeCell ref="D166:F166"/>
    <mergeCell ref="D169:F169"/>
    <mergeCell ref="B188:H188"/>
  </mergeCells>
  <dataValidations count="3">
    <dataValidation type="list" allowBlank="1" showInputMessage="1" showErrorMessage="1" sqref="G89:X89 G104:X104 H43:X43 G59:X59 I28:X28 F74:X74 I13:X13 E120:X120">
      <formula1>"1,2,3, ""N/A"""</formula1>
    </dataValidation>
    <dataValidation type="list" allowBlank="1" showInputMessage="1" showErrorMessage="1" promptTitle="Subprocess Equipment" prompt="1: Equipment for Waste Treatment_x000a_2: Equipment for Solvent Recovery_x000a_3: Equipment for Recycling" sqref="E104:F104 E89:F89 E59:F59 E74 E43:G43 F13:H13 E28:H28">
      <formula1>"1,2,3, ""N/A"""</formula1>
    </dataValidation>
    <dataValidation type="list" allowBlank="1" showInputMessage="1" showErrorMessage="1" promptTitle="Subprocess Equipment" prompt="1: Equipment for Waste Treatment_x000a_2: Equipment for Solvent Recovery_x000a_3: Equipment for Recycling" sqref="E13">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3:Q140"/>
  <sheetViews>
    <sheetView topLeftCell="B53" zoomScale="60" zoomScaleNormal="60" workbookViewId="0">
      <selection activeCell="F88" sqref="F88"/>
    </sheetView>
  </sheetViews>
  <sheetFormatPr defaultRowHeight="12.75" x14ac:dyDescent="0.2"/>
  <cols>
    <col min="1" max="1" width="9.140625" style="49"/>
    <col min="2" max="3" width="12.5703125" style="49" customWidth="1"/>
    <col min="4" max="4" width="9.140625" style="49"/>
    <col min="5" max="5" width="37.85546875" style="49" customWidth="1"/>
    <col min="6" max="6" width="19.5703125" style="49" customWidth="1"/>
    <col min="7" max="7" width="22.42578125" style="49" customWidth="1"/>
    <col min="8" max="8" width="23.7109375" style="49" customWidth="1"/>
    <col min="9" max="9" width="31.85546875" style="49" customWidth="1"/>
    <col min="10" max="10" width="33.5703125" style="49" customWidth="1"/>
    <col min="11" max="12" width="22.85546875" style="49" customWidth="1"/>
    <col min="13" max="13" width="22.7109375" style="49" customWidth="1"/>
    <col min="14" max="14" width="20.140625" style="49" customWidth="1"/>
    <col min="15" max="16384" width="9.140625" style="49"/>
  </cols>
  <sheetData>
    <row r="3" spans="1:15" ht="45" x14ac:dyDescent="0.2">
      <c r="D3" s="850" t="s">
        <v>886</v>
      </c>
      <c r="E3" s="850"/>
      <c r="F3" s="850"/>
      <c r="G3" s="850"/>
      <c r="H3" s="850"/>
      <c r="I3" s="850"/>
      <c r="J3" s="850"/>
    </row>
    <row r="4" spans="1:15" ht="21.75" customHeight="1" x14ac:dyDescent="0.2"/>
    <row r="5" spans="1:15" ht="21.75" customHeight="1" x14ac:dyDescent="0.2">
      <c r="E5" s="5"/>
      <c r="J5" s="5"/>
      <c r="K5" s="5"/>
      <c r="L5" s="5"/>
      <c r="M5" s="5"/>
    </row>
    <row r="6" spans="1:15" ht="27.75" customHeight="1" x14ac:dyDescent="0.4">
      <c r="A6" s="141"/>
      <c r="E6" s="48" t="s">
        <v>1258</v>
      </c>
      <c r="F6" s="969" t="s">
        <v>1260</v>
      </c>
      <c r="G6" s="969"/>
      <c r="H6" s="969"/>
      <c r="I6" s="354"/>
      <c r="L6" s="5"/>
      <c r="M6" s="5"/>
    </row>
    <row r="7" spans="1:15" ht="27.75" customHeight="1" thickBot="1" x14ac:dyDescent="0.45">
      <c r="E7" s="48"/>
      <c r="F7" s="317"/>
      <c r="G7" s="317"/>
      <c r="H7" s="317"/>
      <c r="I7" s="354"/>
      <c r="L7" s="5"/>
      <c r="M7" s="5"/>
    </row>
    <row r="8" spans="1:15" ht="38.25" thickBot="1" x14ac:dyDescent="0.4">
      <c r="A8" s="355"/>
      <c r="B8" s="983" t="s">
        <v>1313</v>
      </c>
      <c r="C8" s="984"/>
      <c r="D8" s="175"/>
      <c r="E8" s="204"/>
      <c r="F8" s="175"/>
      <c r="G8" s="175"/>
      <c r="H8" s="175"/>
      <c r="I8" s="175"/>
      <c r="J8" s="155"/>
      <c r="K8" s="155"/>
      <c r="L8" s="155"/>
      <c r="M8" s="155"/>
      <c r="N8" s="175"/>
      <c r="O8" s="356"/>
    </row>
    <row r="9" spans="1:15" s="357" customFormat="1" ht="64.5" customHeight="1" x14ac:dyDescent="0.2">
      <c r="B9" s="358"/>
      <c r="C9" s="359"/>
      <c r="D9" s="359"/>
      <c r="E9" s="987" t="s">
        <v>735</v>
      </c>
      <c r="F9" s="988"/>
      <c r="G9" s="44" t="s">
        <v>739</v>
      </c>
      <c r="H9" s="44" t="s">
        <v>737</v>
      </c>
      <c r="I9" s="45" t="s">
        <v>932</v>
      </c>
      <c r="J9" s="210" t="s">
        <v>933</v>
      </c>
      <c r="K9" s="210" t="s">
        <v>805</v>
      </c>
      <c r="L9" s="258" t="s">
        <v>736</v>
      </c>
      <c r="M9" s="258" t="s">
        <v>742</v>
      </c>
      <c r="N9" s="46" t="s">
        <v>1252</v>
      </c>
      <c r="O9" s="360"/>
    </row>
    <row r="10" spans="1:15" ht="18" customHeight="1" x14ac:dyDescent="0.2">
      <c r="B10" s="340"/>
      <c r="C10" s="323"/>
      <c r="D10" s="323"/>
      <c r="E10" s="972" t="s">
        <v>806</v>
      </c>
      <c r="F10" s="973"/>
      <c r="G10" s="257">
        <v>2.9589999999999998E-2</v>
      </c>
      <c r="H10" s="257">
        <v>14.83</v>
      </c>
      <c r="I10" s="304"/>
      <c r="J10" s="257">
        <f>IF(I10&lt;&gt;"",I10,J44)</f>
        <v>1332.0008612315614</v>
      </c>
      <c r="K10" s="189">
        <f>J10*8766</f>
        <v>11676319.549555868</v>
      </c>
      <c r="L10" s="189">
        <f>G10*J10</f>
        <v>39.413905483841901</v>
      </c>
      <c r="M10" s="207">
        <f t="shared" ref="M10:M24" si="0">L10*8766</f>
        <v>345502.29547135811</v>
      </c>
      <c r="N10" s="191"/>
      <c r="O10" s="324"/>
    </row>
    <row r="11" spans="1:15" ht="34.5" customHeight="1" x14ac:dyDescent="0.2">
      <c r="B11" s="340"/>
      <c r="C11" s="323"/>
      <c r="D11" s="323"/>
      <c r="E11" s="972" t="s">
        <v>807</v>
      </c>
      <c r="F11" s="973"/>
      <c r="G11" s="257">
        <v>1.85E-4</v>
      </c>
      <c r="H11" s="257">
        <v>4.43</v>
      </c>
      <c r="I11" s="304"/>
      <c r="J11" s="257">
        <f>IF(I11&lt;&gt;"",I11,J45)</f>
        <v>37477.693393751564</v>
      </c>
      <c r="K11" s="189">
        <f t="shared" ref="K11:K24" si="1">J11*8766</f>
        <v>328529460.28962624</v>
      </c>
      <c r="L11" s="189">
        <f t="shared" ref="L11:L24" si="2">G11*J11</f>
        <v>6.9333732778440389</v>
      </c>
      <c r="M11" s="207">
        <f t="shared" si="0"/>
        <v>60777.950153580845</v>
      </c>
      <c r="N11" s="361" t="s">
        <v>725</v>
      </c>
      <c r="O11" s="324"/>
    </row>
    <row r="12" spans="1:15" ht="30" customHeight="1" x14ac:dyDescent="0.2">
      <c r="B12" s="340"/>
      <c r="C12" s="323"/>
      <c r="D12" s="323"/>
      <c r="E12" s="972" t="s">
        <v>808</v>
      </c>
      <c r="F12" s="973"/>
      <c r="G12" s="257">
        <v>6.7000000000000002E-5</v>
      </c>
      <c r="H12" s="189"/>
      <c r="I12" s="304"/>
      <c r="J12" s="189">
        <f>I12</f>
        <v>0</v>
      </c>
      <c r="K12" s="189">
        <f t="shared" si="1"/>
        <v>0</v>
      </c>
      <c r="L12" s="189">
        <f t="shared" si="2"/>
        <v>0</v>
      </c>
      <c r="M12" s="207">
        <f t="shared" si="0"/>
        <v>0</v>
      </c>
      <c r="N12" s="361" t="s">
        <v>725</v>
      </c>
      <c r="O12" s="324"/>
    </row>
    <row r="13" spans="1:15" ht="18" customHeight="1" x14ac:dyDescent="0.2">
      <c r="B13" s="340"/>
      <c r="C13" s="323"/>
      <c r="D13" s="323"/>
      <c r="E13" s="972" t="s">
        <v>809</v>
      </c>
      <c r="F13" s="973"/>
      <c r="G13" s="257">
        <v>2.4499999999999999E-3</v>
      </c>
      <c r="H13" s="189"/>
      <c r="I13" s="304"/>
      <c r="J13" s="189">
        <f>I13</f>
        <v>0</v>
      </c>
      <c r="K13" s="189">
        <f t="shared" si="1"/>
        <v>0</v>
      </c>
      <c r="L13" s="189">
        <f t="shared" si="2"/>
        <v>0</v>
      </c>
      <c r="M13" s="207">
        <f t="shared" si="0"/>
        <v>0</v>
      </c>
      <c r="N13" s="361" t="s">
        <v>725</v>
      </c>
      <c r="O13" s="324"/>
    </row>
    <row r="14" spans="1:15" ht="18" customHeight="1" x14ac:dyDescent="0.2">
      <c r="B14" s="340"/>
      <c r="C14" s="323"/>
      <c r="D14" s="323"/>
      <c r="E14" s="972" t="s">
        <v>810</v>
      </c>
      <c r="F14" s="973"/>
      <c r="G14" s="257">
        <v>2.5999999999999998E-4</v>
      </c>
      <c r="H14" s="189"/>
      <c r="I14" s="304"/>
      <c r="J14" s="189">
        <f>I14</f>
        <v>0</v>
      </c>
      <c r="K14" s="189">
        <f>J14*8766</f>
        <v>0</v>
      </c>
      <c r="L14" s="189">
        <f t="shared" si="2"/>
        <v>0</v>
      </c>
      <c r="M14" s="207">
        <f t="shared" si="0"/>
        <v>0</v>
      </c>
      <c r="N14" s="361" t="s">
        <v>725</v>
      </c>
      <c r="O14" s="324"/>
    </row>
    <row r="15" spans="1:15" ht="18" customHeight="1" x14ac:dyDescent="0.2">
      <c r="B15" s="340"/>
      <c r="C15" s="323"/>
      <c r="D15" s="323"/>
      <c r="E15" s="972" t="s">
        <v>811</v>
      </c>
      <c r="F15" s="973"/>
      <c r="G15" s="257">
        <v>1E-3</v>
      </c>
      <c r="H15" s="189"/>
      <c r="I15" s="304"/>
      <c r="J15" s="189">
        <f>I15</f>
        <v>0</v>
      </c>
      <c r="K15" s="189">
        <f t="shared" si="1"/>
        <v>0</v>
      </c>
      <c r="L15" s="189">
        <f t="shared" si="2"/>
        <v>0</v>
      </c>
      <c r="M15" s="207">
        <f t="shared" si="0"/>
        <v>0</v>
      </c>
      <c r="N15" s="361" t="s">
        <v>725</v>
      </c>
      <c r="O15" s="324"/>
    </row>
    <row r="16" spans="1:15" ht="18" customHeight="1" x14ac:dyDescent="0.2">
      <c r="B16" s="340"/>
      <c r="C16" s="323"/>
      <c r="D16" s="323"/>
      <c r="E16" s="989" t="s">
        <v>738</v>
      </c>
      <c r="F16" s="990"/>
      <c r="G16" s="257">
        <v>0.06</v>
      </c>
      <c r="H16" s="189">
        <v>16.8</v>
      </c>
      <c r="I16" s="304"/>
      <c r="J16" s="189">
        <f>IF(I16&lt;&gt;"",I16,J46)</f>
        <v>0.74744444444444436</v>
      </c>
      <c r="K16" s="189">
        <f t="shared" si="1"/>
        <v>6552.097999999999</v>
      </c>
      <c r="L16" s="189">
        <f>G16*J16</f>
        <v>4.484666666666666E-2</v>
      </c>
      <c r="M16" s="207">
        <f t="shared" si="0"/>
        <v>393.12587999999994</v>
      </c>
      <c r="N16" s="191"/>
      <c r="O16" s="324"/>
    </row>
    <row r="17" spans="2:15" ht="18" customHeight="1" x14ac:dyDescent="0.2">
      <c r="B17" s="340"/>
      <c r="C17" s="323"/>
      <c r="D17" s="323"/>
      <c r="E17" s="972" t="s">
        <v>812</v>
      </c>
      <c r="F17" s="973"/>
      <c r="G17" s="257">
        <v>3.5999999999999997E-2</v>
      </c>
      <c r="H17" s="189"/>
      <c r="I17" s="304"/>
      <c r="J17" s="189">
        <f>IF(I17&lt;&gt;"",I17,'Solid Estimation'!Q55-J19)</f>
        <v>193.00210000000001</v>
      </c>
      <c r="K17" s="189">
        <f t="shared" si="1"/>
        <v>1691856.4086000002</v>
      </c>
      <c r="L17" s="189">
        <f t="shared" si="2"/>
        <v>6.9480756000000001</v>
      </c>
      <c r="M17" s="207">
        <f t="shared" si="0"/>
        <v>60906.830709599999</v>
      </c>
      <c r="N17" s="191"/>
      <c r="O17" s="324"/>
    </row>
    <row r="18" spans="2:15" ht="18" customHeight="1" x14ac:dyDescent="0.2">
      <c r="B18" s="340"/>
      <c r="C18" s="323"/>
      <c r="D18" s="323"/>
      <c r="E18" s="972" t="s">
        <v>813</v>
      </c>
      <c r="F18" s="973"/>
      <c r="G18" s="257">
        <v>3.5999999999999997E-2</v>
      </c>
      <c r="H18" s="189"/>
      <c r="I18" s="304"/>
      <c r="J18" s="189">
        <f>I18</f>
        <v>0</v>
      </c>
      <c r="K18" s="189">
        <f t="shared" si="1"/>
        <v>0</v>
      </c>
      <c r="L18" s="189">
        <f t="shared" si="2"/>
        <v>0</v>
      </c>
      <c r="M18" s="207">
        <f t="shared" si="0"/>
        <v>0</v>
      </c>
      <c r="N18" s="191"/>
      <c r="O18" s="324"/>
    </row>
    <row r="19" spans="2:15" ht="18" customHeight="1" x14ac:dyDescent="0.2">
      <c r="B19" s="340"/>
      <c r="C19" s="323"/>
      <c r="D19" s="323"/>
      <c r="E19" s="972" t="s">
        <v>814</v>
      </c>
      <c r="F19" s="973"/>
      <c r="G19" s="257">
        <v>1.1000000000000001</v>
      </c>
      <c r="H19" s="189"/>
      <c r="I19" s="304"/>
      <c r="J19" s="189">
        <f>IF(I19&lt;&gt;"",I19,'Solid Estimation'!P113)</f>
        <v>4.9287999999999998</v>
      </c>
      <c r="K19" s="189">
        <f t="shared" si="1"/>
        <v>43205.860800000002</v>
      </c>
      <c r="L19" s="189">
        <f t="shared" si="2"/>
        <v>5.4216800000000003</v>
      </c>
      <c r="M19" s="207">
        <f t="shared" si="0"/>
        <v>47526.446880000003</v>
      </c>
      <c r="N19" s="191"/>
      <c r="O19" s="324"/>
    </row>
    <row r="20" spans="2:15" ht="18" customHeight="1" x14ac:dyDescent="0.2">
      <c r="B20" s="340"/>
      <c r="C20" s="323"/>
      <c r="D20" s="323"/>
      <c r="E20" s="972" t="s">
        <v>815</v>
      </c>
      <c r="F20" s="973"/>
      <c r="G20" s="257">
        <v>1.1000000000000001</v>
      </c>
      <c r="H20" s="189"/>
      <c r="I20" s="304"/>
      <c r="J20" s="189">
        <f>IF(I20&lt;&gt;"",I20,'Solid Estimation'!G185)</f>
        <v>7.0537999999999998</v>
      </c>
      <c r="K20" s="189">
        <f t="shared" si="1"/>
        <v>61833.610800000002</v>
      </c>
      <c r="L20" s="189">
        <f t="shared" si="2"/>
        <v>7.7591800000000006</v>
      </c>
      <c r="M20" s="207">
        <f t="shared" si="0"/>
        <v>68016.971880000012</v>
      </c>
      <c r="N20" s="191"/>
      <c r="O20" s="324"/>
    </row>
    <row r="21" spans="2:15" ht="18" customHeight="1" x14ac:dyDescent="0.2">
      <c r="B21" s="340"/>
      <c r="C21" s="323"/>
      <c r="D21" s="323"/>
      <c r="E21" s="976" t="s">
        <v>816</v>
      </c>
      <c r="F21" s="977"/>
      <c r="G21" s="257">
        <v>4.1E-5</v>
      </c>
      <c r="H21" s="189"/>
      <c r="I21" s="304"/>
      <c r="J21" s="189">
        <f>IF(I21&lt;&gt;"",I21,'Solid Estimation'!$G$184/3)</f>
        <v>19.835133333333335</v>
      </c>
      <c r="K21" s="189">
        <f t="shared" si="1"/>
        <v>173874.77880000003</v>
      </c>
      <c r="L21" s="189">
        <f>G21*J21</f>
        <v>8.1324046666666669E-4</v>
      </c>
      <c r="M21" s="207">
        <f t="shared" si="0"/>
        <v>7.1288659308</v>
      </c>
      <c r="N21" s="191"/>
      <c r="O21" s="324"/>
    </row>
    <row r="22" spans="2:15" ht="18" customHeight="1" x14ac:dyDescent="0.2">
      <c r="B22" s="340"/>
      <c r="C22" s="323"/>
      <c r="D22" s="323"/>
      <c r="E22" s="976" t="s">
        <v>817</v>
      </c>
      <c r="F22" s="977"/>
      <c r="G22" s="257">
        <v>4.2999999999999995E-5</v>
      </c>
      <c r="H22" s="189"/>
      <c r="I22" s="304"/>
      <c r="J22" s="189">
        <f>IF(I22&lt;&gt;"",I22,'Solid Estimation'!$G$184/3)</f>
        <v>19.835133333333335</v>
      </c>
      <c r="K22" s="189">
        <f t="shared" si="1"/>
        <v>173874.77880000003</v>
      </c>
      <c r="L22" s="189">
        <f t="shared" si="2"/>
        <v>8.5291073333333331E-4</v>
      </c>
      <c r="M22" s="207">
        <f t="shared" si="0"/>
        <v>7.4766154884000002</v>
      </c>
      <c r="N22" s="191"/>
      <c r="O22" s="324"/>
    </row>
    <row r="23" spans="2:15" ht="18" customHeight="1" x14ac:dyDescent="0.2">
      <c r="B23" s="340"/>
      <c r="C23" s="323"/>
      <c r="D23" s="323"/>
      <c r="E23" s="976" t="s">
        <v>818</v>
      </c>
      <c r="F23" s="977"/>
      <c r="G23" s="257">
        <v>5.5999999999999999E-5</v>
      </c>
      <c r="H23" s="189"/>
      <c r="I23" s="304"/>
      <c r="J23" s="189">
        <f>IF(I23&lt;&gt;"",I23,'Solid Estimation'!$G$184/3)</f>
        <v>19.835133333333335</v>
      </c>
      <c r="K23" s="189">
        <f t="shared" si="1"/>
        <v>173874.77880000003</v>
      </c>
      <c r="L23" s="189">
        <f t="shared" si="2"/>
        <v>1.1107674666666668E-3</v>
      </c>
      <c r="M23" s="207">
        <f t="shared" si="0"/>
        <v>9.7369876128000019</v>
      </c>
      <c r="N23" s="191"/>
      <c r="O23" s="324"/>
    </row>
    <row r="24" spans="2:15" ht="18" customHeight="1" x14ac:dyDescent="0.2">
      <c r="B24" s="340"/>
      <c r="C24" s="323"/>
      <c r="D24" s="323"/>
      <c r="E24" s="974" t="s">
        <v>819</v>
      </c>
      <c r="F24" s="975"/>
      <c r="G24" s="257">
        <v>5.6000000000000001E-2</v>
      </c>
      <c r="H24" s="209"/>
      <c r="I24" s="304"/>
      <c r="J24" s="189">
        <f>IF(I24&lt;&gt;"",I24,'Solid Estimation'!G187)</f>
        <v>126.813</v>
      </c>
      <c r="K24" s="189">
        <f t="shared" si="1"/>
        <v>1111642.7579999999</v>
      </c>
      <c r="L24" s="189">
        <f t="shared" si="2"/>
        <v>7.1015280000000001</v>
      </c>
      <c r="M24" s="207">
        <f t="shared" si="0"/>
        <v>62251.994447999998</v>
      </c>
      <c r="N24" s="191"/>
      <c r="O24" s="324"/>
    </row>
    <row r="25" spans="2:15" ht="18" customHeight="1" thickBot="1" x14ac:dyDescent="0.25">
      <c r="B25" s="340"/>
      <c r="C25" s="323"/>
      <c r="D25" s="323"/>
      <c r="E25" s="991" t="s">
        <v>1316</v>
      </c>
      <c r="F25" s="992"/>
      <c r="G25" s="362"/>
      <c r="H25" s="353">
        <v>1.72</v>
      </c>
      <c r="I25" s="306"/>
      <c r="J25" s="193">
        <f>I25</f>
        <v>0</v>
      </c>
      <c r="K25" s="193">
        <f>J25*8766</f>
        <v>0</v>
      </c>
      <c r="L25" s="193">
        <f>G25*J25</f>
        <v>0</v>
      </c>
      <c r="M25" s="208">
        <f>L25*8766</f>
        <v>0</v>
      </c>
      <c r="N25" s="194"/>
      <c r="O25" s="324"/>
    </row>
    <row r="26" spans="2:15" ht="13.5" thickBot="1" x14ac:dyDescent="0.25">
      <c r="B26" s="341"/>
      <c r="C26" s="179"/>
      <c r="D26" s="179"/>
      <c r="E26" s="179"/>
      <c r="F26" s="179"/>
      <c r="G26" s="179"/>
      <c r="H26" s="179"/>
      <c r="I26" s="179"/>
      <c r="J26" s="179"/>
      <c r="K26" s="179"/>
      <c r="L26" s="179"/>
      <c r="M26" s="179"/>
      <c r="N26" s="179"/>
      <c r="O26" s="342"/>
    </row>
    <row r="30" spans="2:15" ht="13.5" thickBot="1" x14ac:dyDescent="0.25"/>
    <row r="31" spans="2:15" ht="33" customHeight="1" thickBot="1" x14ac:dyDescent="0.45">
      <c r="B31" s="352" t="s">
        <v>1314</v>
      </c>
      <c r="C31" s="175"/>
      <c r="D31" s="175"/>
      <c r="E31" s="970" t="s">
        <v>938</v>
      </c>
      <c r="F31" s="970"/>
      <c r="G31" s="175"/>
      <c r="H31" s="175"/>
      <c r="I31" s="356"/>
    </row>
    <row r="32" spans="2:15" ht="13.5" thickBot="1" x14ac:dyDescent="0.25">
      <c r="B32" s="363"/>
      <c r="C32" s="323"/>
      <c r="D32" s="323"/>
      <c r="E32" s="323"/>
      <c r="F32" s="323"/>
      <c r="G32" s="323"/>
      <c r="H32" s="323"/>
      <c r="I32" s="324"/>
    </row>
    <row r="33" spans="2:15" ht="30.75" customHeight="1" x14ac:dyDescent="0.2">
      <c r="B33" s="340"/>
      <c r="C33" s="323"/>
      <c r="D33" s="323"/>
      <c r="E33" s="259"/>
      <c r="F33" s="260" t="s">
        <v>939</v>
      </c>
      <c r="G33" s="260" t="s">
        <v>940</v>
      </c>
      <c r="H33" s="261" t="s">
        <v>941</v>
      </c>
      <c r="I33" s="324"/>
    </row>
    <row r="34" spans="2:15" ht="30.75" thickBot="1" x14ac:dyDescent="0.25">
      <c r="B34" s="340"/>
      <c r="C34" s="323"/>
      <c r="D34" s="323"/>
      <c r="E34" s="47" t="s">
        <v>718</v>
      </c>
      <c r="F34" s="364">
        <v>0</v>
      </c>
      <c r="G34" s="364">
        <v>0</v>
      </c>
      <c r="H34" s="365">
        <v>0</v>
      </c>
      <c r="I34" s="324"/>
    </row>
    <row r="35" spans="2:15" ht="15.75" thickBot="1" x14ac:dyDescent="0.25">
      <c r="B35" s="341"/>
      <c r="C35" s="179"/>
      <c r="D35" s="179"/>
      <c r="E35" s="366"/>
      <c r="F35" s="367"/>
      <c r="G35" s="367"/>
      <c r="H35" s="367"/>
      <c r="I35" s="342"/>
    </row>
    <row r="36" spans="2:15" ht="15" x14ac:dyDescent="0.2">
      <c r="E36" s="68"/>
      <c r="F36" s="368"/>
      <c r="G36" s="368"/>
      <c r="H36" s="368"/>
    </row>
    <row r="37" spans="2:15" ht="22.5" customHeight="1" x14ac:dyDescent="0.2">
      <c r="E37" s="68"/>
      <c r="F37" s="368"/>
      <c r="G37" s="368"/>
      <c r="H37" s="368"/>
    </row>
    <row r="38" spans="2:15" ht="22.5" customHeight="1" x14ac:dyDescent="0.2">
      <c r="E38" s="68"/>
      <c r="F38" s="368"/>
      <c r="G38" s="368"/>
      <c r="H38" s="368"/>
    </row>
    <row r="39" spans="2:15" ht="22.5" customHeight="1" x14ac:dyDescent="0.2">
      <c r="E39" s="68"/>
      <c r="F39" s="368"/>
      <c r="G39" s="368"/>
      <c r="H39" s="368"/>
    </row>
    <row r="40" spans="2:15" ht="22.5" customHeight="1" thickBot="1" x14ac:dyDescent="0.25">
      <c r="E40" s="68"/>
      <c r="F40" s="368"/>
      <c r="G40" s="368"/>
      <c r="H40" s="368"/>
    </row>
    <row r="41" spans="2:15" ht="26.25" x14ac:dyDescent="0.4">
      <c r="B41" s="943" t="s">
        <v>1315</v>
      </c>
      <c r="C41" s="944"/>
      <c r="D41" s="944"/>
      <c r="E41" s="944"/>
      <c r="F41" s="944"/>
      <c r="G41" s="944"/>
      <c r="H41" s="944"/>
      <c r="I41" s="944"/>
      <c r="J41" s="262"/>
      <c r="K41" s="327"/>
      <c r="L41" s="327"/>
      <c r="M41" s="327"/>
      <c r="N41" s="327"/>
      <c r="O41" s="337"/>
    </row>
    <row r="42" spans="2:15" ht="26.25" x14ac:dyDescent="0.4">
      <c r="B42" s="302"/>
      <c r="C42" s="303"/>
      <c r="D42" s="303"/>
      <c r="E42" s="303"/>
      <c r="F42" s="303"/>
      <c r="G42" s="303"/>
      <c r="H42" s="303"/>
      <c r="I42" s="303"/>
      <c r="J42" s="303"/>
      <c r="K42" s="243"/>
      <c r="L42" s="243"/>
      <c r="M42" s="243"/>
      <c r="N42" s="243"/>
      <c r="O42" s="338"/>
    </row>
    <row r="43" spans="2:15" ht="24.75" customHeight="1" x14ac:dyDescent="0.2">
      <c r="B43" s="328"/>
      <c r="C43" s="243"/>
      <c r="D43" s="243"/>
      <c r="E43" s="978" t="s">
        <v>821</v>
      </c>
      <c r="F43" s="978"/>
      <c r="G43" s="979" t="s">
        <v>781</v>
      </c>
      <c r="H43" s="980"/>
      <c r="I43" s="263" t="s">
        <v>871</v>
      </c>
      <c r="J43" s="264" t="s">
        <v>825</v>
      </c>
      <c r="K43" s="243"/>
      <c r="L43" s="243"/>
      <c r="M43" s="243"/>
      <c r="N43" s="243"/>
      <c r="O43" s="338"/>
    </row>
    <row r="44" spans="2:15" ht="32.25" customHeight="1" x14ac:dyDescent="0.2">
      <c r="B44" s="328"/>
      <c r="C44" s="243"/>
      <c r="D44" s="243"/>
      <c r="E44" s="231" t="s">
        <v>779</v>
      </c>
      <c r="F44" s="231">
        <f>'II. Equipment &amp; Cost Data'!E133</f>
        <v>2660.1922000000004</v>
      </c>
      <c r="G44" s="265" t="s">
        <v>864</v>
      </c>
      <c r="H44" s="266"/>
      <c r="I44" s="334">
        <f>IF(G44="High pressure steam",F65,IF(G44="Medium pressure steam",G65,H65))</f>
        <v>1.9971399999999999</v>
      </c>
      <c r="J44" s="230">
        <f>F44/I44+I10</f>
        <v>1332.0008612315614</v>
      </c>
      <c r="K44" s="243"/>
      <c r="L44" s="243"/>
      <c r="M44" s="243"/>
      <c r="N44" s="243"/>
      <c r="O44" s="338"/>
    </row>
    <row r="45" spans="2:15" ht="36" customHeight="1" x14ac:dyDescent="0.2">
      <c r="B45" s="328"/>
      <c r="C45" s="243"/>
      <c r="D45" s="243"/>
      <c r="E45" s="320" t="s">
        <v>780</v>
      </c>
      <c r="F45" s="231">
        <f>'II. Equipment &amp; Cost Data'!E134</f>
        <v>-1572.058065941</v>
      </c>
      <c r="G45" s="981" t="s">
        <v>788</v>
      </c>
      <c r="H45" s="982"/>
      <c r="I45" s="267">
        <f>F82</f>
        <v>4.1946499999999998E-2</v>
      </c>
      <c r="J45" s="230">
        <f>ABS(F45/I45)+I11</f>
        <v>37477.693393751564</v>
      </c>
      <c r="K45" s="243"/>
      <c r="L45" s="243"/>
      <c r="M45" s="243"/>
      <c r="N45" s="243"/>
      <c r="O45" s="338"/>
    </row>
    <row r="46" spans="2:15" ht="19.5" customHeight="1" x14ac:dyDescent="0.2">
      <c r="B46" s="328"/>
      <c r="C46" s="243"/>
      <c r="D46" s="243"/>
      <c r="E46" s="264" t="s">
        <v>704</v>
      </c>
      <c r="F46" s="264">
        <f>'II. Equipment &amp; Cost Data'!E135</f>
        <v>2.6907999999999999</v>
      </c>
      <c r="G46" s="985" t="s">
        <v>782</v>
      </c>
      <c r="H46" s="986"/>
      <c r="I46" s="334">
        <f>F97</f>
        <v>3.6</v>
      </c>
      <c r="J46" s="230">
        <f>F46/I46+I16</f>
        <v>0.74744444444444436</v>
      </c>
      <c r="K46" s="243"/>
      <c r="L46" s="243"/>
      <c r="M46" s="243"/>
      <c r="N46" s="243"/>
      <c r="O46" s="338"/>
    </row>
    <row r="47" spans="2:15" s="325" customFormat="1" ht="15" x14ac:dyDescent="0.2">
      <c r="B47" s="328"/>
      <c r="C47" s="243"/>
      <c r="D47" s="243"/>
      <c r="E47" s="216"/>
      <c r="F47" s="369"/>
      <c r="G47" s="369"/>
      <c r="H47" s="369"/>
      <c r="I47" s="243"/>
      <c r="J47" s="243"/>
      <c r="K47" s="243"/>
      <c r="L47" s="243"/>
      <c r="M47" s="243"/>
      <c r="N47" s="243"/>
      <c r="O47" s="338"/>
    </row>
    <row r="48" spans="2:15" s="325" customFormat="1" ht="15" x14ac:dyDescent="0.2">
      <c r="B48" s="328"/>
      <c r="C48" s="243"/>
      <c r="D48" s="243"/>
      <c r="E48" s="216"/>
      <c r="F48" s="369"/>
      <c r="G48" s="369"/>
      <c r="H48" s="369"/>
      <c r="I48" s="243"/>
      <c r="J48" s="243"/>
      <c r="K48" s="243"/>
      <c r="L48" s="243"/>
      <c r="M48" s="243"/>
      <c r="N48" s="243"/>
      <c r="O48" s="338"/>
    </row>
    <row r="49" spans="2:15" s="325" customFormat="1" ht="15" x14ac:dyDescent="0.2">
      <c r="B49" s="328"/>
      <c r="C49" s="243"/>
      <c r="D49" s="243"/>
      <c r="E49" s="216"/>
      <c r="F49" s="369"/>
      <c r="G49" s="369"/>
      <c r="H49" s="369"/>
      <c r="I49" s="243"/>
      <c r="J49" s="243"/>
      <c r="K49" s="243"/>
      <c r="L49" s="243"/>
      <c r="M49" s="243"/>
      <c r="N49" s="243"/>
      <c r="O49" s="338"/>
    </row>
    <row r="50" spans="2:15" x14ac:dyDescent="0.2">
      <c r="B50" s="328"/>
      <c r="C50" s="243"/>
      <c r="D50" s="243"/>
      <c r="E50" s="243"/>
      <c r="F50" s="243"/>
      <c r="G50" s="243"/>
      <c r="H50" s="243"/>
      <c r="I50" s="243"/>
      <c r="J50" s="243"/>
      <c r="K50" s="243"/>
      <c r="L50" s="243"/>
      <c r="M50" s="243"/>
      <c r="N50" s="243"/>
      <c r="O50" s="338"/>
    </row>
    <row r="51" spans="2:15" ht="20.25" x14ac:dyDescent="0.3">
      <c r="B51" s="328"/>
      <c r="C51" s="243"/>
      <c r="D51" s="243"/>
      <c r="E51" s="967" t="s">
        <v>936</v>
      </c>
      <c r="F51" s="967"/>
      <c r="G51" s="243"/>
      <c r="H51" s="243"/>
      <c r="I51" s="243"/>
      <c r="J51" s="243"/>
      <c r="K51" s="243"/>
      <c r="L51" s="243"/>
      <c r="M51" s="243"/>
      <c r="N51" s="243"/>
      <c r="O51" s="338"/>
    </row>
    <row r="52" spans="2:15" x14ac:dyDescent="0.2">
      <c r="B52" s="328"/>
      <c r="C52" s="243"/>
      <c r="D52" s="243"/>
      <c r="E52" s="243"/>
      <c r="F52" s="243"/>
      <c r="G52" s="243"/>
      <c r="H52" s="243"/>
      <c r="I52" s="243"/>
      <c r="J52" s="243"/>
      <c r="K52" s="243"/>
      <c r="L52" s="243"/>
      <c r="M52" s="243"/>
      <c r="N52" s="243"/>
      <c r="O52" s="338"/>
    </row>
    <row r="53" spans="2:15" ht="18" x14ac:dyDescent="0.2">
      <c r="B53" s="328"/>
      <c r="C53" s="243"/>
      <c r="D53" s="243"/>
      <c r="E53" s="971" t="s">
        <v>860</v>
      </c>
      <c r="F53" s="971"/>
      <c r="G53" s="971"/>
      <c r="H53" s="971"/>
      <c r="I53" s="243"/>
      <c r="J53" s="243"/>
      <c r="K53" s="243"/>
      <c r="L53" s="243"/>
      <c r="M53" s="243"/>
      <c r="N53" s="243"/>
      <c r="O53" s="338"/>
    </row>
    <row r="54" spans="2:15" ht="15" x14ac:dyDescent="0.2">
      <c r="B54" s="328"/>
      <c r="C54" s="243"/>
      <c r="D54" s="243"/>
      <c r="E54" s="219" t="s">
        <v>858</v>
      </c>
      <c r="F54" s="268">
        <v>1.7</v>
      </c>
      <c r="G54" s="243"/>
      <c r="H54" s="243"/>
      <c r="I54" s="243"/>
      <c r="J54" s="243"/>
      <c r="K54" s="243"/>
      <c r="L54" s="243"/>
      <c r="M54" s="243"/>
      <c r="N54" s="243"/>
      <c r="O54" s="338"/>
    </row>
    <row r="55" spans="2:15" ht="15" x14ac:dyDescent="0.2">
      <c r="B55" s="328"/>
      <c r="C55" s="243"/>
      <c r="D55" s="243"/>
      <c r="E55" s="219" t="s">
        <v>770</v>
      </c>
      <c r="F55" s="268">
        <v>115</v>
      </c>
      <c r="G55" s="243"/>
      <c r="H55" s="243"/>
      <c r="I55" s="243"/>
      <c r="J55" s="243"/>
      <c r="K55" s="243"/>
      <c r="L55" s="243"/>
      <c r="M55" s="243"/>
      <c r="N55" s="243"/>
      <c r="O55" s="338"/>
    </row>
    <row r="56" spans="2:15" ht="19.5" x14ac:dyDescent="0.2">
      <c r="B56" s="328"/>
      <c r="C56" s="243"/>
      <c r="D56" s="243"/>
      <c r="E56" s="219" t="s">
        <v>862</v>
      </c>
      <c r="F56" s="268">
        <v>483</v>
      </c>
      <c r="G56" s="243"/>
      <c r="H56" s="243"/>
      <c r="I56" s="243"/>
      <c r="J56" s="243"/>
      <c r="K56" s="243"/>
      <c r="L56" s="243"/>
      <c r="M56" s="243"/>
      <c r="N56" s="243"/>
      <c r="O56" s="338"/>
    </row>
    <row r="57" spans="2:15" ht="15" x14ac:dyDescent="0.2">
      <c r="B57" s="328"/>
      <c r="C57" s="243"/>
      <c r="D57" s="243"/>
      <c r="E57" s="219" t="s">
        <v>859</v>
      </c>
      <c r="F57" s="268">
        <v>0.9</v>
      </c>
      <c r="G57" s="243"/>
      <c r="H57" s="243"/>
      <c r="I57" s="243"/>
      <c r="J57" s="243"/>
      <c r="K57" s="243"/>
      <c r="L57" s="243"/>
      <c r="M57" s="243"/>
      <c r="N57" s="243"/>
      <c r="O57" s="338"/>
    </row>
    <row r="58" spans="2:15" ht="21" customHeight="1" x14ac:dyDescent="0.2">
      <c r="B58" s="328"/>
      <c r="C58" s="243"/>
      <c r="D58" s="243"/>
      <c r="E58" s="269" t="s">
        <v>697</v>
      </c>
      <c r="F58" s="231">
        <v>38.299999999999997</v>
      </c>
      <c r="G58" s="243"/>
      <c r="H58" s="243"/>
      <c r="I58" s="243"/>
      <c r="J58" s="243"/>
      <c r="K58" s="243"/>
      <c r="L58" s="243"/>
      <c r="M58" s="243"/>
      <c r="N58" s="243"/>
      <c r="O58" s="338"/>
    </row>
    <row r="59" spans="2:15" ht="33" x14ac:dyDescent="0.2">
      <c r="B59" s="328"/>
      <c r="C59" s="243"/>
      <c r="D59" s="243"/>
      <c r="E59" s="335" t="s">
        <v>934</v>
      </c>
      <c r="F59" s="270">
        <v>1710000</v>
      </c>
      <c r="G59" s="243"/>
      <c r="H59" s="243"/>
      <c r="I59" s="243"/>
      <c r="J59" s="243"/>
      <c r="K59" s="243"/>
      <c r="L59" s="243"/>
      <c r="M59" s="243"/>
      <c r="N59" s="243"/>
      <c r="O59" s="338"/>
    </row>
    <row r="60" spans="2:15" ht="24.75" customHeight="1" x14ac:dyDescent="0.2">
      <c r="B60" s="328"/>
      <c r="C60" s="243"/>
      <c r="D60" s="243"/>
      <c r="E60" s="370"/>
      <c r="F60" s="371"/>
      <c r="G60" s="243"/>
      <c r="H60" s="243"/>
      <c r="I60" s="243"/>
      <c r="J60" s="243"/>
      <c r="K60" s="243"/>
      <c r="L60" s="243"/>
      <c r="M60" s="243"/>
      <c r="N60" s="243"/>
      <c r="O60" s="338"/>
    </row>
    <row r="61" spans="2:15" ht="28.5" x14ac:dyDescent="0.2">
      <c r="B61" s="328"/>
      <c r="C61" s="243"/>
      <c r="D61" s="243"/>
      <c r="E61" s="243"/>
      <c r="F61" s="271" t="s">
        <v>863</v>
      </c>
      <c r="G61" s="271" t="s">
        <v>864</v>
      </c>
      <c r="H61" s="272" t="s">
        <v>865</v>
      </c>
      <c r="I61" s="243"/>
      <c r="J61" s="243"/>
      <c r="K61" s="243"/>
      <c r="L61" s="243"/>
      <c r="M61" s="243"/>
      <c r="N61" s="243"/>
      <c r="O61" s="338"/>
    </row>
    <row r="62" spans="2:15" ht="15" x14ac:dyDescent="0.2">
      <c r="B62" s="328"/>
      <c r="C62" s="243"/>
      <c r="D62" s="243"/>
      <c r="E62" s="219" t="s">
        <v>858</v>
      </c>
      <c r="F62" s="268">
        <v>42</v>
      </c>
      <c r="G62" s="231">
        <v>11</v>
      </c>
      <c r="H62" s="268">
        <v>6</v>
      </c>
      <c r="I62" s="243"/>
      <c r="J62" s="243"/>
      <c r="K62" s="243"/>
      <c r="L62" s="243"/>
      <c r="M62" s="243"/>
      <c r="N62" s="243"/>
      <c r="O62" s="338"/>
    </row>
    <row r="63" spans="2:15" ht="15" x14ac:dyDescent="0.2">
      <c r="B63" s="328"/>
      <c r="C63" s="243"/>
      <c r="D63" s="243"/>
      <c r="E63" s="219" t="s">
        <v>770</v>
      </c>
      <c r="F63" s="268">
        <v>254</v>
      </c>
      <c r="G63" s="231">
        <v>184</v>
      </c>
      <c r="H63" s="268">
        <v>160</v>
      </c>
      <c r="I63" s="243"/>
      <c r="J63" s="243"/>
      <c r="K63" s="243"/>
      <c r="L63" s="243"/>
      <c r="M63" s="243"/>
      <c r="N63" s="243"/>
      <c r="O63" s="338"/>
    </row>
    <row r="64" spans="2:15" ht="19.5" x14ac:dyDescent="0.2">
      <c r="B64" s="328"/>
      <c r="C64" s="243"/>
      <c r="D64" s="243"/>
      <c r="E64" s="219" t="s">
        <v>861</v>
      </c>
      <c r="F64" s="268">
        <v>2797.6</v>
      </c>
      <c r="G64" s="268">
        <v>2779.1</v>
      </c>
      <c r="H64" s="268">
        <v>2757.1</v>
      </c>
      <c r="I64" s="243"/>
      <c r="J64" s="243"/>
      <c r="K64" s="243"/>
      <c r="L64" s="243"/>
      <c r="M64" s="243"/>
      <c r="N64" s="243"/>
      <c r="O64" s="338"/>
    </row>
    <row r="65" spans="2:17" ht="19.5" x14ac:dyDescent="0.2">
      <c r="B65" s="328"/>
      <c r="C65" s="243"/>
      <c r="D65" s="243"/>
      <c r="E65" s="219" t="s">
        <v>870</v>
      </c>
      <c r="F65" s="268">
        <v>1.6943999999999999</v>
      </c>
      <c r="G65" s="268">
        <v>1.9971399999999999</v>
      </c>
      <c r="H65" s="268">
        <v>2.0806</v>
      </c>
      <c r="I65" s="243"/>
      <c r="J65" s="243"/>
      <c r="K65" s="243"/>
      <c r="L65" s="243"/>
      <c r="M65" s="243"/>
      <c r="N65" s="243"/>
      <c r="O65" s="338"/>
    </row>
    <row r="66" spans="2:17" ht="29.25" customHeight="1" x14ac:dyDescent="0.2">
      <c r="B66" s="328"/>
      <c r="C66" s="243"/>
      <c r="D66" s="243"/>
      <c r="E66" s="269" t="s">
        <v>696</v>
      </c>
      <c r="F66" s="273">
        <f>(F64-$F$56)/$F$57/1000</f>
        <v>2.5717777777777777</v>
      </c>
      <c r="G66" s="273">
        <f>(G64-$F$56)/$F$57/1000</f>
        <v>2.5512222222222221</v>
      </c>
      <c r="H66" s="273">
        <f>(H64-$F$56)/$F$57/1000</f>
        <v>2.5267777777777778</v>
      </c>
      <c r="I66" s="243"/>
      <c r="J66" s="243"/>
      <c r="K66" s="243"/>
      <c r="L66" s="243"/>
      <c r="M66" s="243"/>
      <c r="N66" s="243"/>
      <c r="O66" s="338"/>
    </row>
    <row r="67" spans="2:17" ht="30.75" customHeight="1" x14ac:dyDescent="0.2">
      <c r="B67" s="328"/>
      <c r="C67" s="243"/>
      <c r="D67" s="243"/>
      <c r="E67" s="269" t="s">
        <v>718</v>
      </c>
      <c r="F67" s="274">
        <f>F34</f>
        <v>0</v>
      </c>
      <c r="G67" s="274">
        <f>F34</f>
        <v>0</v>
      </c>
      <c r="H67" s="274">
        <f>F34</f>
        <v>0</v>
      </c>
      <c r="I67" s="243"/>
      <c r="J67" s="243"/>
      <c r="K67" s="243"/>
      <c r="L67" s="243"/>
      <c r="M67" s="243"/>
      <c r="N67" s="243"/>
      <c r="O67" s="338"/>
    </row>
    <row r="68" spans="2:17" ht="16.5" customHeight="1" x14ac:dyDescent="0.2">
      <c r="B68" s="328"/>
      <c r="C68" s="243"/>
      <c r="D68" s="243"/>
      <c r="E68" s="269" t="s">
        <v>721</v>
      </c>
      <c r="F68" s="275">
        <f>9.5/18</f>
        <v>0.52777777777777779</v>
      </c>
      <c r="G68" s="275">
        <f>9.5/18</f>
        <v>0.52777777777777779</v>
      </c>
      <c r="H68" s="275">
        <f>9.5/18</f>
        <v>0.52777777777777779</v>
      </c>
      <c r="I68" s="372"/>
      <c r="J68" s="373"/>
      <c r="K68" s="243"/>
      <c r="L68" s="243"/>
      <c r="M68" s="243"/>
      <c r="N68" s="243"/>
      <c r="O68" s="338"/>
    </row>
    <row r="69" spans="2:17" ht="16.5" customHeight="1" x14ac:dyDescent="0.2">
      <c r="B69" s="328"/>
      <c r="C69" s="243"/>
      <c r="D69" s="243"/>
      <c r="E69" s="269" t="s">
        <v>724</v>
      </c>
      <c r="F69" s="276">
        <f>F64/1000</f>
        <v>2.7976000000000001</v>
      </c>
      <c r="G69" s="276">
        <f>G64/1000</f>
        <v>2.7791000000000001</v>
      </c>
      <c r="H69" s="276">
        <f>H64/1000</f>
        <v>2.7570999999999999</v>
      </c>
      <c r="I69" s="372"/>
      <c r="J69" s="373"/>
      <c r="K69" s="243"/>
      <c r="L69" s="243"/>
      <c r="M69" s="243"/>
      <c r="N69" s="243"/>
      <c r="O69" s="338"/>
    </row>
    <row r="70" spans="2:17" ht="16.5" customHeight="1" x14ac:dyDescent="0.2">
      <c r="B70" s="328"/>
      <c r="C70" s="243"/>
      <c r="D70" s="243"/>
      <c r="E70" s="269" t="s">
        <v>723</v>
      </c>
      <c r="F70" s="277">
        <f>6.04532/1000</f>
        <v>6.0453199999999999E-3</v>
      </c>
      <c r="G70" s="277">
        <v>6.167514420940959E-3</v>
      </c>
      <c r="H70" s="277">
        <f>6.74814/1000</f>
        <v>6.7481400000000006E-3</v>
      </c>
      <c r="I70" s="305"/>
      <c r="J70" s="243"/>
      <c r="K70" s="243"/>
      <c r="L70" s="243"/>
      <c r="M70" s="243"/>
      <c r="N70" s="243"/>
      <c r="O70" s="338"/>
    </row>
    <row r="71" spans="2:17" ht="15" x14ac:dyDescent="0.2">
      <c r="B71" s="328"/>
      <c r="C71" s="243"/>
      <c r="D71" s="243"/>
      <c r="E71" s="269" t="s">
        <v>722</v>
      </c>
      <c r="F71" s="275">
        <f>F69-('I. Stream &amp; Compound Data'!$F$20+273.15)*F70</f>
        <v>0.99518784200000021</v>
      </c>
      <c r="G71" s="275">
        <f>G69-('I. Stream &amp; Compound Data'!$F$20+273.15)*G70</f>
        <v>0.94025557539645344</v>
      </c>
      <c r="H71" s="275">
        <f>H69-('I. Stream &amp; Compound Data'!$F$20+273.15)*H70</f>
        <v>0.74514205899999997</v>
      </c>
      <c r="I71" s="372"/>
      <c r="J71" s="373"/>
      <c r="K71" s="243"/>
      <c r="L71" s="243"/>
      <c r="M71" s="243"/>
      <c r="N71" s="243"/>
      <c r="O71" s="338"/>
    </row>
    <row r="72" spans="2:17" x14ac:dyDescent="0.2">
      <c r="B72" s="328"/>
      <c r="C72" s="243"/>
      <c r="D72" s="243"/>
      <c r="E72" s="243"/>
      <c r="F72" s="243"/>
      <c r="G72" s="243"/>
      <c r="H72" s="372"/>
      <c r="I72" s="372"/>
      <c r="J72" s="373"/>
      <c r="K72" s="243"/>
      <c r="L72" s="243"/>
      <c r="M72" s="243"/>
      <c r="N72" s="243"/>
      <c r="O72" s="338"/>
    </row>
    <row r="73" spans="2:17" ht="13.5" customHeight="1" x14ac:dyDescent="0.2">
      <c r="B73" s="328"/>
      <c r="C73" s="243"/>
      <c r="D73" s="243"/>
      <c r="E73" s="243"/>
      <c r="F73" s="243"/>
      <c r="G73" s="243"/>
      <c r="H73" s="373"/>
      <c r="I73" s="243"/>
      <c r="J73" s="243"/>
      <c r="K73" s="243"/>
      <c r="L73" s="243"/>
      <c r="M73" s="243"/>
      <c r="N73" s="243"/>
      <c r="O73" s="338"/>
    </row>
    <row r="74" spans="2:17" x14ac:dyDescent="0.2">
      <c r="B74" s="328"/>
      <c r="C74" s="243"/>
      <c r="D74" s="243"/>
      <c r="E74" s="243"/>
      <c r="F74" s="243"/>
      <c r="G74" s="243"/>
      <c r="H74" s="243"/>
      <c r="I74" s="243"/>
      <c r="J74" s="243"/>
      <c r="K74" s="243"/>
      <c r="L74" s="243"/>
      <c r="M74" s="243"/>
      <c r="N74" s="243"/>
      <c r="O74" s="338"/>
    </row>
    <row r="75" spans="2:17" ht="20.25" x14ac:dyDescent="0.3">
      <c r="B75" s="328"/>
      <c r="C75" s="243"/>
      <c r="D75" s="243"/>
      <c r="E75" s="967" t="s">
        <v>935</v>
      </c>
      <c r="F75" s="967"/>
      <c r="G75" s="243"/>
      <c r="H75" s="243"/>
      <c r="I75" s="243"/>
      <c r="J75" s="243"/>
      <c r="K75" s="243"/>
      <c r="L75" s="243"/>
      <c r="M75" s="243"/>
      <c r="N75" s="243"/>
      <c r="O75" s="338"/>
    </row>
    <row r="76" spans="2:17" x14ac:dyDescent="0.2">
      <c r="B76" s="328"/>
      <c r="C76" s="243"/>
      <c r="D76" s="243"/>
      <c r="E76" s="243"/>
      <c r="F76" s="243"/>
      <c r="G76" s="243"/>
      <c r="H76" s="243"/>
      <c r="I76" s="243"/>
      <c r="J76" s="243"/>
      <c r="K76" s="243"/>
      <c r="L76" s="243"/>
      <c r="M76" s="243"/>
      <c r="N76" s="243"/>
      <c r="O76" s="338"/>
    </row>
    <row r="77" spans="2:17" ht="18" x14ac:dyDescent="0.2">
      <c r="B77" s="328"/>
      <c r="C77" s="243"/>
      <c r="D77" s="243"/>
      <c r="E77" s="968" t="s">
        <v>701</v>
      </c>
      <c r="F77" s="968"/>
      <c r="G77" s="968"/>
      <c r="H77" s="968"/>
      <c r="I77" s="968"/>
      <c r="J77" s="968"/>
      <c r="K77" s="316"/>
      <c r="L77" s="316"/>
      <c r="M77" s="316"/>
      <c r="N77" s="316"/>
      <c r="O77" s="374"/>
      <c r="P77" s="375"/>
      <c r="Q77" s="375"/>
    </row>
    <row r="78" spans="2:17" ht="18" x14ac:dyDescent="0.2">
      <c r="B78" s="328"/>
      <c r="C78" s="243"/>
      <c r="D78" s="243"/>
      <c r="E78" s="968" t="s">
        <v>830</v>
      </c>
      <c r="F78" s="968"/>
      <c r="G78" s="968"/>
      <c r="H78" s="968"/>
      <c r="I78" s="968"/>
      <c r="J78" s="968"/>
      <c r="K78" s="316"/>
      <c r="L78" s="316"/>
      <c r="M78" s="316"/>
      <c r="N78" s="316"/>
      <c r="O78" s="374"/>
      <c r="P78" s="375"/>
      <c r="Q78" s="375"/>
    </row>
    <row r="79" spans="2:17" ht="13.5" thickBot="1" x14ac:dyDescent="0.25">
      <c r="B79" s="328"/>
      <c r="C79" s="243"/>
      <c r="D79" s="243"/>
      <c r="E79" s="243"/>
      <c r="F79" s="243"/>
      <c r="G79" s="243"/>
      <c r="H79" s="243"/>
      <c r="I79" s="243"/>
      <c r="J79" s="243"/>
      <c r="K79" s="243"/>
      <c r="L79" s="243"/>
      <c r="M79" s="243"/>
      <c r="N79" s="243"/>
      <c r="O79" s="338"/>
    </row>
    <row r="80" spans="2:17" ht="37.5" customHeight="1" x14ac:dyDescent="0.2">
      <c r="B80" s="328"/>
      <c r="C80" s="243"/>
      <c r="D80" s="243"/>
      <c r="E80" s="278" t="s">
        <v>823</v>
      </c>
      <c r="F80" s="279">
        <v>5</v>
      </c>
      <c r="G80" s="243"/>
      <c r="H80" s="243"/>
      <c r="I80" s="243"/>
      <c r="J80" s="243"/>
      <c r="K80" s="243"/>
      <c r="L80" s="243"/>
      <c r="M80" s="243"/>
      <c r="N80" s="243"/>
      <c r="O80" s="338"/>
    </row>
    <row r="81" spans="2:15" ht="37.5" customHeight="1" x14ac:dyDescent="0.2">
      <c r="B81" s="328"/>
      <c r="C81" s="243"/>
      <c r="D81" s="243"/>
      <c r="E81" s="331" t="s">
        <v>824</v>
      </c>
      <c r="F81" s="233">
        <v>15</v>
      </c>
      <c r="G81" s="243"/>
      <c r="H81" s="243"/>
      <c r="I81" s="243"/>
      <c r="J81" s="243"/>
      <c r="K81" s="243"/>
      <c r="L81" s="243"/>
      <c r="M81" s="243"/>
      <c r="N81" s="243"/>
      <c r="O81" s="338"/>
    </row>
    <row r="82" spans="2:15" ht="37.5" customHeight="1" x14ac:dyDescent="0.2">
      <c r="B82" s="328"/>
      <c r="C82" s="243"/>
      <c r="D82" s="243"/>
      <c r="E82" s="331" t="s">
        <v>866</v>
      </c>
      <c r="F82" s="280">
        <f>(61.9385-19.992)/1000</f>
        <v>4.1946499999999998E-2</v>
      </c>
      <c r="G82" s="243"/>
      <c r="H82" s="243"/>
      <c r="I82" s="243"/>
      <c r="J82" s="243"/>
      <c r="K82" s="243"/>
      <c r="L82" s="243"/>
      <c r="M82" s="243"/>
      <c r="N82" s="243"/>
      <c r="O82" s="338"/>
    </row>
    <row r="83" spans="2:15" ht="37.5" customHeight="1" x14ac:dyDescent="0.2">
      <c r="B83" s="328"/>
      <c r="C83" s="243"/>
      <c r="D83" s="243"/>
      <c r="E83" s="281" t="s">
        <v>702</v>
      </c>
      <c r="F83" s="233">
        <v>71.42</v>
      </c>
      <c r="G83" s="243"/>
      <c r="H83" s="243"/>
      <c r="I83" s="243"/>
      <c r="J83" s="243"/>
      <c r="K83" s="243"/>
      <c r="L83" s="243"/>
      <c r="M83" s="243"/>
      <c r="N83" s="243"/>
      <c r="O83" s="338"/>
    </row>
    <row r="84" spans="2:15" ht="37.5" customHeight="1" x14ac:dyDescent="0.2">
      <c r="B84" s="328"/>
      <c r="C84" s="243"/>
      <c r="D84" s="243"/>
      <c r="E84" s="281" t="s">
        <v>718</v>
      </c>
      <c r="F84" s="282">
        <f>G34</f>
        <v>0</v>
      </c>
      <c r="G84" s="243"/>
      <c r="H84" s="243"/>
      <c r="I84" s="243"/>
      <c r="J84" s="243"/>
      <c r="K84" s="243"/>
      <c r="L84" s="243"/>
      <c r="M84" s="243"/>
      <c r="N84" s="243"/>
      <c r="O84" s="338"/>
    </row>
    <row r="85" spans="2:15" ht="37.5" customHeight="1" x14ac:dyDescent="0.2">
      <c r="B85" s="328"/>
      <c r="C85" s="243"/>
      <c r="D85" s="243"/>
      <c r="E85" s="281" t="s">
        <v>826</v>
      </c>
      <c r="F85" s="283">
        <v>5.0500000000000002E-4</v>
      </c>
      <c r="G85" s="243"/>
      <c r="H85" s="243"/>
      <c r="I85" s="243"/>
      <c r="J85" s="243"/>
      <c r="K85" s="243"/>
      <c r="L85" s="243"/>
      <c r="M85" s="243"/>
      <c r="N85" s="243"/>
      <c r="O85" s="338"/>
    </row>
    <row r="86" spans="2:15" ht="37.5" customHeight="1" x14ac:dyDescent="0.2">
      <c r="B86" s="328"/>
      <c r="C86" s="243"/>
      <c r="D86" s="243"/>
      <c r="E86" s="281" t="s">
        <v>827</v>
      </c>
      <c r="F86" s="283">
        <v>-8.3811999999999998E-2</v>
      </c>
      <c r="G86" s="243"/>
      <c r="H86" s="243"/>
      <c r="I86" s="243"/>
      <c r="J86" s="243"/>
      <c r="K86" s="243"/>
      <c r="L86" s="243"/>
      <c r="M86" s="243"/>
      <c r="N86" s="243"/>
      <c r="O86" s="338"/>
    </row>
    <row r="87" spans="2:15" ht="37.5" customHeight="1" x14ac:dyDescent="0.2">
      <c r="B87" s="328"/>
      <c r="C87" s="243"/>
      <c r="D87" s="243"/>
      <c r="E87" s="281" t="s">
        <v>828</v>
      </c>
      <c r="F87" s="283">
        <v>-2.9399999999999999E-4</v>
      </c>
      <c r="G87" s="243"/>
      <c r="H87" s="243"/>
      <c r="I87" s="243"/>
      <c r="J87" s="243"/>
      <c r="K87" s="243"/>
      <c r="L87" s="243"/>
      <c r="M87" s="243"/>
      <c r="N87" s="243"/>
      <c r="O87" s="338"/>
    </row>
    <row r="88" spans="2:15" ht="37.5" customHeight="1" x14ac:dyDescent="0.2">
      <c r="B88" s="328"/>
      <c r="C88" s="243"/>
      <c r="D88" s="243"/>
      <c r="E88" s="281" t="s">
        <v>829</v>
      </c>
      <c r="F88" s="283">
        <f>F86-('I. Stream &amp; Compound Data'!$F$20+273.15)*F87</f>
        <v>3.8440999999999892E-3</v>
      </c>
      <c r="G88" s="243"/>
      <c r="H88" s="243"/>
      <c r="I88" s="243"/>
      <c r="J88" s="243"/>
      <c r="K88" s="243"/>
      <c r="L88" s="243"/>
      <c r="M88" s="243"/>
      <c r="N88" s="243"/>
      <c r="O88" s="338"/>
    </row>
    <row r="89" spans="2:15" ht="37.5" customHeight="1" thickBot="1" x14ac:dyDescent="0.25">
      <c r="B89" s="328"/>
      <c r="C89" s="243"/>
      <c r="D89" s="243"/>
      <c r="E89" s="284" t="s">
        <v>758</v>
      </c>
      <c r="F89" s="285">
        <v>69000</v>
      </c>
      <c r="G89" s="243"/>
      <c r="H89" s="243"/>
      <c r="I89" s="243"/>
      <c r="J89" s="243"/>
      <c r="K89" s="243"/>
      <c r="L89" s="243"/>
      <c r="M89" s="243"/>
      <c r="N89" s="243"/>
      <c r="O89" s="338"/>
    </row>
    <row r="90" spans="2:15" x14ac:dyDescent="0.2">
      <c r="B90" s="328"/>
      <c r="C90" s="243"/>
      <c r="D90" s="243"/>
      <c r="E90" s="243"/>
      <c r="F90" s="243"/>
      <c r="G90" s="243"/>
      <c r="H90" s="243"/>
      <c r="I90" s="243"/>
      <c r="J90" s="243"/>
      <c r="K90" s="243"/>
      <c r="L90" s="243"/>
      <c r="M90" s="243"/>
      <c r="N90" s="243"/>
      <c r="O90" s="338"/>
    </row>
    <row r="91" spans="2:15" x14ac:dyDescent="0.2">
      <c r="B91" s="328"/>
      <c r="C91" s="243"/>
      <c r="D91" s="243"/>
      <c r="E91" s="243"/>
      <c r="F91" s="243"/>
      <c r="G91" s="243"/>
      <c r="H91" s="243"/>
      <c r="I91" s="243"/>
      <c r="J91" s="243"/>
      <c r="K91" s="243"/>
      <c r="L91" s="243"/>
      <c r="M91" s="243"/>
      <c r="N91" s="243"/>
      <c r="O91" s="338"/>
    </row>
    <row r="92" spans="2:15" x14ac:dyDescent="0.2">
      <c r="B92" s="328"/>
      <c r="C92" s="243"/>
      <c r="D92" s="243"/>
      <c r="E92" s="243"/>
      <c r="F92" s="243"/>
      <c r="G92" s="243"/>
      <c r="H92" s="243"/>
      <c r="I92" s="243"/>
      <c r="J92" s="243"/>
      <c r="K92" s="243"/>
      <c r="L92" s="243"/>
      <c r="M92" s="243"/>
      <c r="N92" s="243"/>
      <c r="O92" s="338"/>
    </row>
    <row r="93" spans="2:15" ht="20.25" x14ac:dyDescent="0.3">
      <c r="B93" s="328"/>
      <c r="C93" s="243"/>
      <c r="D93" s="243"/>
      <c r="E93" s="967" t="s">
        <v>937</v>
      </c>
      <c r="F93" s="967"/>
      <c r="G93" s="243"/>
      <c r="H93" s="243"/>
      <c r="I93" s="243"/>
      <c r="J93" s="243"/>
      <c r="K93" s="243"/>
      <c r="L93" s="243"/>
      <c r="M93" s="243"/>
      <c r="N93" s="243"/>
      <c r="O93" s="338"/>
    </row>
    <row r="94" spans="2:15" ht="17.25" customHeight="1" thickBot="1" x14ac:dyDescent="0.25">
      <c r="B94" s="328"/>
      <c r="C94" s="243"/>
      <c r="D94" s="243"/>
      <c r="E94" s="243"/>
      <c r="F94" s="243"/>
      <c r="G94" s="243"/>
      <c r="H94" s="243"/>
      <c r="I94" s="243"/>
      <c r="J94" s="243"/>
      <c r="K94" s="243"/>
      <c r="L94" s="243"/>
      <c r="M94" s="243"/>
      <c r="N94" s="243"/>
      <c r="O94" s="338"/>
    </row>
    <row r="95" spans="2:15" ht="42" customHeight="1" x14ac:dyDescent="0.2">
      <c r="B95" s="328"/>
      <c r="C95" s="243"/>
      <c r="D95" s="243"/>
      <c r="E95" s="286" t="s">
        <v>718</v>
      </c>
      <c r="F95" s="287">
        <f>H34</f>
        <v>0</v>
      </c>
      <c r="G95" s="243"/>
      <c r="H95" s="243"/>
      <c r="I95" s="243"/>
      <c r="J95" s="243"/>
      <c r="K95" s="243"/>
      <c r="L95" s="243"/>
      <c r="M95" s="243"/>
      <c r="N95" s="243"/>
      <c r="O95" s="338"/>
    </row>
    <row r="96" spans="2:15" ht="42" customHeight="1" x14ac:dyDescent="0.2">
      <c r="B96" s="328"/>
      <c r="C96" s="243"/>
      <c r="D96" s="243"/>
      <c r="E96" s="288" t="s">
        <v>717</v>
      </c>
      <c r="F96" s="233">
        <v>10.3</v>
      </c>
      <c r="G96" s="243"/>
      <c r="H96" s="243"/>
      <c r="I96" s="243"/>
      <c r="J96" s="243"/>
      <c r="K96" s="243"/>
      <c r="L96" s="243"/>
      <c r="M96" s="243"/>
      <c r="N96" s="243"/>
      <c r="O96" s="338"/>
    </row>
    <row r="97" spans="2:15" ht="42" customHeight="1" x14ac:dyDescent="0.2">
      <c r="B97" s="328"/>
      <c r="C97" s="243"/>
      <c r="D97" s="243"/>
      <c r="E97" s="288" t="s">
        <v>867</v>
      </c>
      <c r="F97" s="233">
        <v>3.6</v>
      </c>
      <c r="G97" s="243"/>
      <c r="H97" s="243"/>
      <c r="I97" s="243"/>
      <c r="J97" s="243"/>
      <c r="K97" s="243"/>
      <c r="L97" s="243"/>
      <c r="M97" s="243"/>
      <c r="N97" s="243"/>
      <c r="O97" s="338"/>
    </row>
    <row r="98" spans="2:15" ht="42" customHeight="1" x14ac:dyDescent="0.2">
      <c r="B98" s="328"/>
      <c r="C98" s="243"/>
      <c r="D98" s="243"/>
      <c r="E98" s="288" t="s">
        <v>720</v>
      </c>
      <c r="F98" s="233">
        <v>3.6</v>
      </c>
      <c r="G98" s="243"/>
      <c r="H98" s="243"/>
      <c r="I98" s="243"/>
      <c r="J98" s="243"/>
      <c r="K98" s="243"/>
      <c r="L98" s="243"/>
      <c r="M98" s="243"/>
      <c r="N98" s="243"/>
      <c r="O98" s="338"/>
    </row>
    <row r="99" spans="2:15" ht="42" customHeight="1" thickBot="1" x14ac:dyDescent="0.25">
      <c r="B99" s="328"/>
      <c r="C99" s="243"/>
      <c r="D99" s="243"/>
      <c r="E99" s="289" t="s">
        <v>757</v>
      </c>
      <c r="F99" s="285">
        <f>160000*3.6</f>
        <v>576000</v>
      </c>
      <c r="G99" s="243"/>
      <c r="H99" s="243"/>
      <c r="I99" s="243"/>
      <c r="J99" s="243"/>
      <c r="K99" s="243"/>
      <c r="L99" s="243"/>
      <c r="M99" s="243"/>
      <c r="N99" s="243"/>
      <c r="O99" s="338"/>
    </row>
    <row r="100" spans="2:15" x14ac:dyDescent="0.2">
      <c r="B100" s="328"/>
      <c r="C100" s="243"/>
      <c r="D100" s="243"/>
      <c r="E100" s="243"/>
      <c r="F100" s="243"/>
      <c r="G100" s="243"/>
      <c r="H100" s="243"/>
      <c r="I100" s="243"/>
      <c r="J100" s="243"/>
      <c r="K100" s="243"/>
      <c r="L100" s="243"/>
      <c r="M100" s="243"/>
      <c r="N100" s="243"/>
      <c r="O100" s="338"/>
    </row>
    <row r="101" spans="2:15" x14ac:dyDescent="0.2">
      <c r="B101" s="328"/>
      <c r="C101" s="243"/>
      <c r="D101" s="243"/>
      <c r="E101" s="243"/>
      <c r="F101" s="243"/>
      <c r="G101" s="243"/>
      <c r="H101" s="243"/>
      <c r="I101" s="243"/>
      <c r="J101" s="243"/>
      <c r="K101" s="243"/>
      <c r="L101" s="243"/>
      <c r="M101" s="243"/>
      <c r="N101" s="243"/>
      <c r="O101" s="338"/>
    </row>
    <row r="102" spans="2:15" x14ac:dyDescent="0.2">
      <c r="B102" s="328"/>
      <c r="C102" s="243"/>
      <c r="D102" s="243"/>
      <c r="E102" s="243"/>
      <c r="F102" s="243"/>
      <c r="G102" s="243"/>
      <c r="H102" s="243"/>
      <c r="I102" s="243"/>
      <c r="J102" s="243"/>
      <c r="K102" s="243"/>
      <c r="L102" s="243"/>
      <c r="M102" s="243"/>
      <c r="N102" s="243"/>
      <c r="O102" s="338"/>
    </row>
    <row r="103" spans="2:15" x14ac:dyDescent="0.2">
      <c r="B103" s="328"/>
      <c r="C103" s="243"/>
      <c r="D103" s="243"/>
      <c r="E103" s="243"/>
      <c r="F103" s="243"/>
      <c r="G103" s="243"/>
      <c r="H103" s="243"/>
      <c r="I103" s="243"/>
      <c r="J103" s="243"/>
      <c r="K103" s="243"/>
      <c r="L103" s="243"/>
      <c r="M103" s="243"/>
      <c r="N103" s="243"/>
      <c r="O103" s="338"/>
    </row>
    <row r="104" spans="2:15" x14ac:dyDescent="0.2">
      <c r="B104" s="328"/>
      <c r="C104" s="243"/>
      <c r="D104" s="243"/>
      <c r="E104" s="243"/>
      <c r="F104" s="243"/>
      <c r="G104" s="243"/>
      <c r="H104" s="243"/>
      <c r="I104" s="243"/>
      <c r="J104" s="243"/>
      <c r="K104" s="243"/>
      <c r="L104" s="243"/>
      <c r="M104" s="243"/>
      <c r="N104" s="243"/>
      <c r="O104" s="338"/>
    </row>
    <row r="105" spans="2:15" x14ac:dyDescent="0.2">
      <c r="B105" s="328"/>
      <c r="C105" s="243"/>
      <c r="D105" s="243"/>
      <c r="E105" s="243"/>
      <c r="F105" s="243"/>
      <c r="G105" s="243"/>
      <c r="H105" s="243"/>
      <c r="I105" s="243"/>
      <c r="J105" s="243"/>
      <c r="K105" s="243"/>
      <c r="L105" s="243"/>
      <c r="M105" s="243"/>
      <c r="N105" s="243"/>
      <c r="O105" s="338"/>
    </row>
    <row r="106" spans="2:15" ht="20.25" x14ac:dyDescent="0.3">
      <c r="B106" s="328"/>
      <c r="C106" s="243"/>
      <c r="D106" s="243"/>
      <c r="E106" s="967" t="s">
        <v>822</v>
      </c>
      <c r="F106" s="967"/>
      <c r="G106" s="243"/>
      <c r="H106" s="243"/>
      <c r="I106" s="243"/>
      <c r="J106" s="243"/>
      <c r="K106" s="243"/>
      <c r="L106" s="243"/>
      <c r="M106" s="243"/>
      <c r="N106" s="243"/>
      <c r="O106" s="338"/>
    </row>
    <row r="107" spans="2:15" ht="13.5" thickBot="1" x14ac:dyDescent="0.25">
      <c r="B107" s="328"/>
      <c r="C107" s="243"/>
      <c r="D107" s="243"/>
      <c r="E107" s="243"/>
      <c r="F107" s="243"/>
      <c r="G107" s="243"/>
      <c r="H107" s="243"/>
      <c r="I107" s="243"/>
      <c r="J107" s="243"/>
      <c r="K107" s="243"/>
      <c r="L107" s="243"/>
      <c r="M107" s="243"/>
      <c r="N107" s="243"/>
      <c r="O107" s="338"/>
    </row>
    <row r="108" spans="2:15" ht="30" x14ac:dyDescent="0.2">
      <c r="B108" s="328"/>
      <c r="C108" s="243"/>
      <c r="D108" s="243"/>
      <c r="E108" s="290" t="s">
        <v>696</v>
      </c>
      <c r="F108" s="291">
        <f>IF(G44="High pressure steam",F66,IF(G44="Medium pressure steam",G66,H66))</f>
        <v>2.5512222222222221</v>
      </c>
      <c r="G108" s="243"/>
      <c r="H108" s="243"/>
      <c r="I108" s="243"/>
      <c r="J108" s="243"/>
      <c r="K108" s="243"/>
      <c r="L108" s="243"/>
      <c r="M108" s="243"/>
      <c r="N108" s="243"/>
      <c r="O108" s="338"/>
    </row>
    <row r="109" spans="2:15" ht="30.75" thickBot="1" x14ac:dyDescent="0.25">
      <c r="B109" s="328"/>
      <c r="C109" s="243"/>
      <c r="D109" s="243"/>
      <c r="E109" s="292" t="s">
        <v>698</v>
      </c>
      <c r="F109" s="293">
        <f>F108*J44</f>
        <v>3398.2301971930979</v>
      </c>
      <c r="G109" s="243"/>
      <c r="H109" s="243"/>
      <c r="I109" s="243"/>
      <c r="J109" s="243"/>
      <c r="K109" s="243"/>
      <c r="L109" s="243"/>
      <c r="M109" s="243"/>
      <c r="N109" s="243"/>
      <c r="O109" s="338"/>
    </row>
    <row r="110" spans="2:15" ht="30" x14ac:dyDescent="0.2">
      <c r="B110" s="328"/>
      <c r="C110" s="243"/>
      <c r="D110" s="243"/>
      <c r="E110" s="290" t="s">
        <v>718</v>
      </c>
      <c r="F110" s="294">
        <f>IF(G44="High pressure steam",F67,IF(G44="Medium pressure steam",G67,H67))</f>
        <v>0</v>
      </c>
      <c r="G110" s="243"/>
      <c r="H110" s="243"/>
      <c r="I110" s="243"/>
      <c r="J110" s="243"/>
      <c r="K110" s="243"/>
      <c r="L110" s="243"/>
      <c r="M110" s="243"/>
      <c r="N110" s="243"/>
      <c r="O110" s="338"/>
    </row>
    <row r="111" spans="2:15" ht="30.75" thickBot="1" x14ac:dyDescent="0.25">
      <c r="B111" s="328"/>
      <c r="C111" s="243"/>
      <c r="D111" s="243"/>
      <c r="E111" s="295" t="s">
        <v>712</v>
      </c>
      <c r="F111" s="296">
        <f>F110*F109/100</f>
        <v>0</v>
      </c>
      <c r="G111" s="243"/>
      <c r="H111" s="243"/>
      <c r="I111" s="243"/>
      <c r="J111" s="243"/>
      <c r="K111" s="243"/>
      <c r="L111" s="243"/>
      <c r="M111" s="243"/>
      <c r="N111" s="243"/>
      <c r="O111" s="338"/>
    </row>
    <row r="112" spans="2:15" ht="30.75" thickBot="1" x14ac:dyDescent="0.25">
      <c r="B112" s="328"/>
      <c r="C112" s="243"/>
      <c r="D112" s="243"/>
      <c r="E112" s="295" t="s">
        <v>713</v>
      </c>
      <c r="F112" s="296">
        <f>F109-F111</f>
        <v>3398.2301971930979</v>
      </c>
      <c r="G112" s="243"/>
      <c r="H112" s="243"/>
      <c r="I112" s="243"/>
      <c r="J112" s="243"/>
      <c r="K112" s="243"/>
      <c r="L112" s="243"/>
      <c r="M112" s="243"/>
      <c r="N112" s="243"/>
      <c r="O112" s="338"/>
    </row>
    <row r="113" spans="2:15" ht="24.75" customHeight="1" x14ac:dyDescent="0.2">
      <c r="B113" s="328"/>
      <c r="C113" s="243"/>
      <c r="D113" s="243"/>
      <c r="E113" s="290" t="s">
        <v>697</v>
      </c>
      <c r="F113" s="297">
        <f>'III. Utility Data'!F58</f>
        <v>38.299999999999997</v>
      </c>
      <c r="G113" s="243"/>
      <c r="H113" s="243"/>
      <c r="I113" s="243"/>
      <c r="J113" s="243"/>
      <c r="K113" s="243"/>
      <c r="L113" s="243"/>
      <c r="M113" s="243"/>
      <c r="N113" s="243"/>
      <c r="O113" s="338"/>
    </row>
    <row r="114" spans="2:15" ht="24.75" customHeight="1" thickBot="1" x14ac:dyDescent="0.25">
      <c r="B114" s="328"/>
      <c r="C114" s="243"/>
      <c r="D114" s="243"/>
      <c r="E114" s="295" t="s">
        <v>699</v>
      </c>
      <c r="F114" s="296">
        <f>F112/F113</f>
        <v>88.726637002430763</v>
      </c>
      <c r="G114" s="243"/>
      <c r="H114" s="243"/>
      <c r="I114" s="243"/>
      <c r="J114" s="243"/>
      <c r="K114" s="243"/>
      <c r="L114" s="243"/>
      <c r="M114" s="243"/>
      <c r="N114" s="243"/>
      <c r="O114" s="338"/>
    </row>
    <row r="115" spans="2:15" x14ac:dyDescent="0.2">
      <c r="B115" s="328"/>
      <c r="C115" s="243"/>
      <c r="D115" s="243"/>
      <c r="E115" s="243"/>
      <c r="F115" s="243"/>
      <c r="G115" s="243"/>
      <c r="H115" s="243"/>
      <c r="I115" s="243"/>
      <c r="J115" s="243"/>
      <c r="K115" s="243"/>
      <c r="L115" s="243"/>
      <c r="M115" s="243"/>
      <c r="N115" s="243"/>
      <c r="O115" s="338"/>
    </row>
    <row r="116" spans="2:15" x14ac:dyDescent="0.2">
      <c r="B116" s="328"/>
      <c r="C116" s="243"/>
      <c r="D116" s="243"/>
      <c r="E116" s="243"/>
      <c r="F116" s="243"/>
      <c r="G116" s="243"/>
      <c r="H116" s="243"/>
      <c r="I116" s="243"/>
      <c r="J116" s="243"/>
      <c r="K116" s="243"/>
      <c r="L116" s="243"/>
      <c r="M116" s="243"/>
      <c r="N116" s="243"/>
      <c r="O116" s="338"/>
    </row>
    <row r="117" spans="2:15" x14ac:dyDescent="0.2">
      <c r="B117" s="328"/>
      <c r="C117" s="243"/>
      <c r="D117" s="243"/>
      <c r="E117" s="243"/>
      <c r="F117" s="243"/>
      <c r="G117" s="243"/>
      <c r="H117" s="243"/>
      <c r="I117" s="243"/>
      <c r="J117" s="243"/>
      <c r="K117" s="243"/>
      <c r="L117" s="243"/>
      <c r="M117" s="243"/>
      <c r="N117" s="243"/>
      <c r="O117" s="338"/>
    </row>
    <row r="118" spans="2:15" ht="20.25" x14ac:dyDescent="0.3">
      <c r="B118" s="328"/>
      <c r="C118" s="243"/>
      <c r="D118" s="243"/>
      <c r="E118" s="967" t="s">
        <v>868</v>
      </c>
      <c r="F118" s="967"/>
      <c r="G118" s="243"/>
      <c r="H118" s="243"/>
      <c r="I118" s="243"/>
      <c r="J118" s="243"/>
      <c r="K118" s="243"/>
      <c r="L118" s="243"/>
      <c r="M118" s="243"/>
      <c r="N118" s="243"/>
      <c r="O118" s="338"/>
    </row>
    <row r="119" spans="2:15" ht="13.5" thickBot="1" x14ac:dyDescent="0.25">
      <c r="B119" s="328"/>
      <c r="C119" s="243"/>
      <c r="D119" s="243"/>
      <c r="E119" s="243"/>
      <c r="F119" s="243"/>
      <c r="G119" s="243"/>
      <c r="H119" s="243"/>
      <c r="I119" s="243"/>
      <c r="J119" s="243"/>
      <c r="K119" s="243"/>
      <c r="L119" s="243"/>
      <c r="M119" s="243"/>
      <c r="N119" s="243"/>
      <c r="O119" s="338"/>
    </row>
    <row r="120" spans="2:15" ht="30" x14ac:dyDescent="0.2">
      <c r="B120" s="328"/>
      <c r="C120" s="243"/>
      <c r="D120" s="243"/>
      <c r="E120" s="290" t="s">
        <v>702</v>
      </c>
      <c r="F120" s="297">
        <f>F83</f>
        <v>71.42</v>
      </c>
      <c r="G120" s="243"/>
      <c r="H120" s="243"/>
      <c r="I120" s="243"/>
      <c r="J120" s="243"/>
      <c r="K120" s="243"/>
      <c r="L120" s="243"/>
      <c r="M120" s="243"/>
      <c r="N120" s="243"/>
      <c r="O120" s="338"/>
    </row>
    <row r="121" spans="2:15" ht="19.5" customHeight="1" thickBot="1" x14ac:dyDescent="0.25">
      <c r="B121" s="328"/>
      <c r="C121" s="243"/>
      <c r="D121" s="243"/>
      <c r="E121" s="298" t="s">
        <v>703</v>
      </c>
      <c r="F121" s="293">
        <f>ABS(F45/1000*F120)</f>
        <v>112.27638706950621</v>
      </c>
      <c r="G121" s="243"/>
      <c r="H121" s="243"/>
      <c r="I121" s="243"/>
      <c r="J121" s="243"/>
      <c r="K121" s="243"/>
      <c r="L121" s="243"/>
      <c r="M121" s="243"/>
      <c r="N121" s="243"/>
      <c r="O121" s="338"/>
    </row>
    <row r="122" spans="2:15" ht="30" x14ac:dyDescent="0.2">
      <c r="B122" s="328"/>
      <c r="C122" s="243"/>
      <c r="D122" s="243"/>
      <c r="E122" s="290" t="s">
        <v>718</v>
      </c>
      <c r="F122" s="294">
        <f>F84</f>
        <v>0</v>
      </c>
      <c r="G122" s="243"/>
      <c r="H122" s="243"/>
      <c r="I122" s="243"/>
      <c r="J122" s="243"/>
      <c r="K122" s="243"/>
      <c r="L122" s="243"/>
      <c r="M122" s="243"/>
      <c r="N122" s="243"/>
      <c r="O122" s="338"/>
    </row>
    <row r="123" spans="2:15" ht="30" x14ac:dyDescent="0.2">
      <c r="B123" s="328"/>
      <c r="C123" s="243"/>
      <c r="D123" s="243"/>
      <c r="E123" s="298" t="s">
        <v>714</v>
      </c>
      <c r="F123" s="293">
        <f>F122*F121/100</f>
        <v>0</v>
      </c>
      <c r="G123" s="243"/>
      <c r="H123" s="243"/>
      <c r="I123" s="243"/>
      <c r="J123" s="243"/>
      <c r="K123" s="243"/>
      <c r="L123" s="243"/>
      <c r="M123" s="243"/>
      <c r="N123" s="243"/>
      <c r="O123" s="338"/>
    </row>
    <row r="124" spans="2:15" ht="30.75" thickBot="1" x14ac:dyDescent="0.25">
      <c r="B124" s="328"/>
      <c r="C124" s="243"/>
      <c r="D124" s="243"/>
      <c r="E124" s="295" t="s">
        <v>716</v>
      </c>
      <c r="F124" s="296">
        <f>F125/3</f>
        <v>3.4333333333333336</v>
      </c>
      <c r="G124" s="243"/>
      <c r="H124" s="243"/>
      <c r="I124" s="243"/>
      <c r="J124" s="243"/>
      <c r="K124" s="243"/>
      <c r="L124" s="243"/>
      <c r="M124" s="243"/>
      <c r="N124" s="243"/>
      <c r="O124" s="338"/>
    </row>
    <row r="125" spans="2:15" ht="30.75" thickBot="1" x14ac:dyDescent="0.25">
      <c r="B125" s="328"/>
      <c r="C125" s="243"/>
      <c r="D125" s="243"/>
      <c r="E125" s="295" t="s">
        <v>717</v>
      </c>
      <c r="F125" s="296">
        <f>F96</f>
        <v>10.3</v>
      </c>
      <c r="G125" s="243"/>
      <c r="H125" s="243"/>
      <c r="I125" s="243"/>
      <c r="J125" s="243"/>
      <c r="K125" s="243"/>
      <c r="L125" s="243"/>
      <c r="M125" s="243"/>
      <c r="N125" s="243"/>
      <c r="O125" s="338"/>
    </row>
    <row r="126" spans="2:15" ht="30.75" thickBot="1" x14ac:dyDescent="0.25">
      <c r="B126" s="328"/>
      <c r="C126" s="243"/>
      <c r="D126" s="243"/>
      <c r="E126" s="298" t="s">
        <v>715</v>
      </c>
      <c r="F126" s="293">
        <f>F121-F123</f>
        <v>112.27638706950621</v>
      </c>
      <c r="G126" s="243"/>
      <c r="H126" s="243"/>
      <c r="I126" s="243"/>
      <c r="J126" s="243"/>
      <c r="K126" s="243"/>
      <c r="L126" s="243"/>
      <c r="M126" s="243"/>
      <c r="N126" s="243"/>
      <c r="O126" s="338"/>
    </row>
    <row r="127" spans="2:15" ht="30.75" thickBot="1" x14ac:dyDescent="0.25">
      <c r="B127" s="328"/>
      <c r="C127" s="243"/>
      <c r="D127" s="243"/>
      <c r="E127" s="299" t="s">
        <v>700</v>
      </c>
      <c r="F127" s="300">
        <f>F121*F122/100*F124+F121*(100-F122)/100*F125</f>
        <v>1156.446786815914</v>
      </c>
      <c r="G127" s="243"/>
      <c r="H127" s="243"/>
      <c r="I127" s="243"/>
      <c r="J127" s="243"/>
      <c r="K127" s="243"/>
      <c r="L127" s="243"/>
      <c r="M127" s="243"/>
      <c r="N127" s="243"/>
      <c r="O127" s="338"/>
    </row>
    <row r="128" spans="2:15" x14ac:dyDescent="0.2">
      <c r="B128" s="328"/>
      <c r="C128" s="243"/>
      <c r="D128" s="243"/>
      <c r="E128" s="243"/>
      <c r="F128" s="243"/>
      <c r="G128" s="243"/>
      <c r="H128" s="243"/>
      <c r="I128" s="243"/>
      <c r="J128" s="243"/>
      <c r="K128" s="243"/>
      <c r="L128" s="243"/>
      <c r="M128" s="243"/>
      <c r="N128" s="243"/>
      <c r="O128" s="338"/>
    </row>
    <row r="129" spans="2:15" x14ac:dyDescent="0.2">
      <c r="B129" s="328"/>
      <c r="C129" s="243"/>
      <c r="D129" s="243"/>
      <c r="E129" s="243"/>
      <c r="F129" s="243"/>
      <c r="G129" s="243"/>
      <c r="H129" s="243"/>
      <c r="I129" s="243"/>
      <c r="J129" s="243"/>
      <c r="K129" s="243"/>
      <c r="L129" s="243"/>
      <c r="M129" s="243"/>
      <c r="N129" s="243"/>
      <c r="O129" s="338"/>
    </row>
    <row r="130" spans="2:15" x14ac:dyDescent="0.2">
      <c r="B130" s="328"/>
      <c r="C130" s="243"/>
      <c r="D130" s="243"/>
      <c r="E130" s="243"/>
      <c r="F130" s="243"/>
      <c r="G130" s="243"/>
      <c r="H130" s="243"/>
      <c r="I130" s="243"/>
      <c r="J130" s="243"/>
      <c r="K130" s="243"/>
      <c r="L130" s="243"/>
      <c r="M130" s="243"/>
      <c r="N130" s="243"/>
      <c r="O130" s="338"/>
    </row>
    <row r="131" spans="2:15" ht="20.25" x14ac:dyDescent="0.3">
      <c r="B131" s="328"/>
      <c r="C131" s="243"/>
      <c r="D131" s="243"/>
      <c r="E131" s="967" t="s">
        <v>869</v>
      </c>
      <c r="F131" s="967"/>
      <c r="G131" s="243"/>
      <c r="H131" s="243"/>
      <c r="I131" s="243"/>
      <c r="J131" s="243"/>
      <c r="K131" s="243"/>
      <c r="L131" s="243"/>
      <c r="M131" s="243"/>
      <c r="N131" s="243"/>
      <c r="O131" s="338"/>
    </row>
    <row r="132" spans="2:15" ht="13.5" thickBot="1" x14ac:dyDescent="0.25">
      <c r="B132" s="328"/>
      <c r="C132" s="243"/>
      <c r="D132" s="243"/>
      <c r="E132" s="243"/>
      <c r="F132" s="243"/>
      <c r="G132" s="243"/>
      <c r="H132" s="243"/>
      <c r="I132" s="243"/>
      <c r="J132" s="243"/>
      <c r="K132" s="243"/>
      <c r="L132" s="243"/>
      <c r="M132" s="243"/>
      <c r="N132" s="243"/>
      <c r="O132" s="338"/>
    </row>
    <row r="133" spans="2:15" ht="15.75" thickBot="1" x14ac:dyDescent="0.25">
      <c r="B133" s="328"/>
      <c r="C133" s="243"/>
      <c r="D133" s="243"/>
      <c r="E133" s="301" t="s">
        <v>703</v>
      </c>
      <c r="F133" s="300">
        <f>J46</f>
        <v>0.74744444444444436</v>
      </c>
      <c r="G133" s="243"/>
      <c r="H133" s="243"/>
      <c r="I133" s="243"/>
      <c r="J133" s="243"/>
      <c r="K133" s="243"/>
      <c r="L133" s="243"/>
      <c r="M133" s="243"/>
      <c r="N133" s="243"/>
      <c r="O133" s="338"/>
    </row>
    <row r="134" spans="2:15" ht="30" x14ac:dyDescent="0.2">
      <c r="B134" s="328"/>
      <c r="C134" s="243"/>
      <c r="D134" s="243"/>
      <c r="E134" s="290" t="s">
        <v>718</v>
      </c>
      <c r="F134" s="294">
        <f>F95</f>
        <v>0</v>
      </c>
      <c r="G134" s="243"/>
      <c r="H134" s="243"/>
      <c r="I134" s="243"/>
      <c r="J134" s="243"/>
      <c r="K134" s="243"/>
      <c r="L134" s="243"/>
      <c r="M134" s="243"/>
      <c r="N134" s="243"/>
      <c r="O134" s="338"/>
    </row>
    <row r="135" spans="2:15" ht="30" x14ac:dyDescent="0.2">
      <c r="B135" s="328"/>
      <c r="C135" s="243"/>
      <c r="D135" s="243"/>
      <c r="E135" s="298" t="s">
        <v>714</v>
      </c>
      <c r="F135" s="293">
        <f>F134*F133/100</f>
        <v>0</v>
      </c>
      <c r="G135" s="243"/>
      <c r="H135" s="243"/>
      <c r="I135" s="243"/>
      <c r="J135" s="243"/>
      <c r="K135" s="243"/>
      <c r="L135" s="243"/>
      <c r="M135" s="243"/>
      <c r="N135" s="243"/>
      <c r="O135" s="338"/>
    </row>
    <row r="136" spans="2:15" ht="30.75" thickBot="1" x14ac:dyDescent="0.25">
      <c r="B136" s="328"/>
      <c r="C136" s="243"/>
      <c r="D136" s="243"/>
      <c r="E136" s="295" t="s">
        <v>716</v>
      </c>
      <c r="F136" s="296">
        <f>F96/3</f>
        <v>3.4333333333333336</v>
      </c>
      <c r="G136" s="243"/>
      <c r="H136" s="243"/>
      <c r="I136" s="243"/>
      <c r="J136" s="243"/>
      <c r="K136" s="243"/>
      <c r="L136" s="243"/>
      <c r="M136" s="243"/>
      <c r="N136" s="243"/>
      <c r="O136" s="338"/>
    </row>
    <row r="137" spans="2:15" ht="30" x14ac:dyDescent="0.2">
      <c r="B137" s="328"/>
      <c r="C137" s="243"/>
      <c r="D137" s="243"/>
      <c r="E137" s="298" t="s">
        <v>715</v>
      </c>
      <c r="F137" s="293">
        <f>F133-F135</f>
        <v>0.74744444444444436</v>
      </c>
      <c r="G137" s="243"/>
      <c r="H137" s="243"/>
      <c r="I137" s="243"/>
      <c r="J137" s="243"/>
      <c r="K137" s="243"/>
      <c r="L137" s="243"/>
      <c r="M137" s="243"/>
      <c r="N137" s="243"/>
      <c r="O137" s="338"/>
    </row>
    <row r="138" spans="2:15" ht="30.75" thickBot="1" x14ac:dyDescent="0.25">
      <c r="B138" s="328"/>
      <c r="C138" s="243"/>
      <c r="D138" s="243"/>
      <c r="E138" s="295" t="s">
        <v>717</v>
      </c>
      <c r="F138" s="296">
        <f>'III. Utility Data'!F96</f>
        <v>10.3</v>
      </c>
      <c r="G138" s="243"/>
      <c r="H138" s="243"/>
      <c r="I138" s="243"/>
      <c r="J138" s="243"/>
      <c r="K138" s="243"/>
      <c r="L138" s="243"/>
      <c r="M138" s="243"/>
      <c r="N138" s="243"/>
      <c r="O138" s="338"/>
    </row>
    <row r="139" spans="2:15" ht="30.75" thickBot="1" x14ac:dyDescent="0.25">
      <c r="B139" s="328"/>
      <c r="C139" s="243"/>
      <c r="D139" s="243"/>
      <c r="E139" s="299" t="s">
        <v>700</v>
      </c>
      <c r="F139" s="300">
        <f>F133*F134/100*F136+F133*(100-F134)/100*F138</f>
        <v>7.6986777777777773</v>
      </c>
      <c r="G139" s="243"/>
      <c r="H139" s="243"/>
      <c r="I139" s="243"/>
      <c r="J139" s="243"/>
      <c r="K139" s="243"/>
      <c r="L139" s="243"/>
      <c r="M139" s="243"/>
      <c r="N139" s="243"/>
      <c r="O139" s="338"/>
    </row>
    <row r="140" spans="2:15" ht="13.5" thickBot="1" x14ac:dyDescent="0.25">
      <c r="B140" s="329"/>
      <c r="C140" s="330"/>
      <c r="D140" s="330"/>
      <c r="E140" s="330"/>
      <c r="F140" s="330"/>
      <c r="G140" s="330"/>
      <c r="H140" s="330"/>
      <c r="I140" s="330"/>
      <c r="J140" s="330"/>
      <c r="K140" s="330"/>
      <c r="L140" s="330"/>
      <c r="M140" s="330"/>
      <c r="N140" s="330"/>
      <c r="O140" s="339"/>
    </row>
  </sheetData>
  <mergeCells count="35">
    <mergeCell ref="B8:C8"/>
    <mergeCell ref="G46:H46"/>
    <mergeCell ref="E17:F17"/>
    <mergeCell ref="E9:F9"/>
    <mergeCell ref="E10:F10"/>
    <mergeCell ref="E11:F11"/>
    <mergeCell ref="E16:F16"/>
    <mergeCell ref="E12:F12"/>
    <mergeCell ref="E13:F13"/>
    <mergeCell ref="E14:F14"/>
    <mergeCell ref="E15:F15"/>
    <mergeCell ref="B41:I41"/>
    <mergeCell ref="E25:F25"/>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E106:F106"/>
    <mergeCell ref="E118:F118"/>
    <mergeCell ref="E131:F131"/>
    <mergeCell ref="E93:F93"/>
    <mergeCell ref="E77:J77"/>
    <mergeCell ref="E78:J78"/>
  </mergeCells>
  <dataValidations count="2">
    <dataValidation type="list" allowBlank="1" showInputMessage="1" showErrorMessage="1" sqref="G44">
      <formula1>$F$61:$H$61</formula1>
    </dataValidation>
    <dataValidation type="list" allowBlank="1" showInputMessage="1" showErrorMessage="1"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Q580"/>
  <sheetViews>
    <sheetView topLeftCell="A46" zoomScale="70" zoomScaleNormal="70" workbookViewId="0">
      <selection activeCell="Q69" sqref="Q69"/>
    </sheetView>
  </sheetViews>
  <sheetFormatPr defaultRowHeight="15" x14ac:dyDescent="0.25"/>
  <cols>
    <col min="1" max="2" width="9.140625" style="50"/>
    <col min="3" max="3" width="43.5703125" style="54" customWidth="1"/>
    <col min="4" max="4" width="19" style="55" customWidth="1"/>
    <col min="5" max="5" width="19.7109375" style="54" customWidth="1"/>
    <col min="6" max="6" width="19.5703125" style="54" customWidth="1"/>
    <col min="7" max="7" width="15.5703125" style="50" customWidth="1"/>
    <col min="8" max="8" width="11.28515625" style="50" customWidth="1"/>
    <col min="9" max="9" width="9.85546875" style="50" customWidth="1"/>
    <col min="10" max="10" width="9.140625" style="50"/>
    <col min="11" max="11" width="12.140625" style="50" customWidth="1"/>
    <col min="12" max="12" width="9.140625" style="50"/>
    <col min="13" max="13" width="11.85546875" style="50" customWidth="1"/>
    <col min="14" max="16384" width="9.140625" style="50"/>
  </cols>
  <sheetData>
    <row r="1" spans="2:14" ht="15.75" thickBot="1" x14ac:dyDescent="0.3"/>
    <row r="2" spans="2:14" ht="21.75" customHeight="1" thickBot="1" x14ac:dyDescent="0.25">
      <c r="B2" s="994" t="s">
        <v>1319</v>
      </c>
      <c r="C2" s="995"/>
      <c r="D2" s="995"/>
      <c r="E2" s="995"/>
      <c r="F2" s="996"/>
      <c r="G2" s="578"/>
      <c r="H2" s="578"/>
      <c r="I2" s="578"/>
      <c r="J2" s="578"/>
      <c r="K2" s="578"/>
      <c r="L2" s="578"/>
      <c r="M2" s="579"/>
    </row>
    <row r="3" spans="2:14" ht="33.75" customHeight="1" thickBot="1" x14ac:dyDescent="0.3">
      <c r="B3" s="580"/>
      <c r="C3" s="581" t="s">
        <v>65</v>
      </c>
      <c r="D3" s="582" t="s">
        <v>151</v>
      </c>
      <c r="E3" s="583" t="s">
        <v>1269</v>
      </c>
      <c r="F3" s="558"/>
      <c r="G3" s="557"/>
      <c r="H3" s="557"/>
      <c r="I3" s="557"/>
      <c r="J3" s="557"/>
      <c r="K3" s="557"/>
      <c r="L3" s="557"/>
      <c r="M3" s="584"/>
    </row>
    <row r="4" spans="2:14" ht="19.5" customHeight="1" x14ac:dyDescent="0.25">
      <c r="B4" s="580"/>
      <c r="C4" s="495" t="s">
        <v>117</v>
      </c>
      <c r="D4" s="496" t="s">
        <v>118</v>
      </c>
      <c r="E4" s="497">
        <v>533.29999999999995</v>
      </c>
      <c r="F4" s="558"/>
      <c r="G4" s="557"/>
      <c r="H4" s="557"/>
      <c r="I4" s="557"/>
      <c r="J4" s="993" t="s">
        <v>157</v>
      </c>
      <c r="K4" s="993"/>
      <c r="L4" s="993"/>
      <c r="M4" s="585" t="s">
        <v>156</v>
      </c>
    </row>
    <row r="5" spans="2:14" x14ac:dyDescent="0.25">
      <c r="B5" s="580"/>
      <c r="C5" s="498" t="s">
        <v>113</v>
      </c>
      <c r="D5" s="499" t="s">
        <v>114</v>
      </c>
      <c r="E5" s="500">
        <v>6.4</v>
      </c>
      <c r="F5" s="558"/>
      <c r="G5" s="557"/>
      <c r="H5" s="557"/>
      <c r="I5" s="557"/>
      <c r="J5" s="993" t="s">
        <v>158</v>
      </c>
      <c r="K5" s="993"/>
      <c r="L5" s="993"/>
      <c r="M5" s="584">
        <f>IF(ISNA(VLOOKUP(M4,D5:E55,2,FALSE))=TRUE,0,VLOOKUP(M4,D5:E55,2,FALSE))</f>
        <v>0</v>
      </c>
    </row>
    <row r="6" spans="2:14" x14ac:dyDescent="0.25">
      <c r="B6" s="580"/>
      <c r="C6" s="498" t="s">
        <v>103</v>
      </c>
      <c r="D6" s="499" t="s">
        <v>104</v>
      </c>
      <c r="E6" s="500">
        <v>50</v>
      </c>
      <c r="F6" s="558"/>
      <c r="G6" s="557"/>
      <c r="H6" s="557"/>
      <c r="I6" s="557"/>
      <c r="J6" s="557"/>
      <c r="K6" s="557"/>
      <c r="L6" s="557"/>
      <c r="M6" s="584"/>
    </row>
    <row r="7" spans="2:14" x14ac:dyDescent="0.25">
      <c r="B7" s="580"/>
      <c r="C7" s="498" t="s">
        <v>79</v>
      </c>
      <c r="D7" s="499" t="s">
        <v>80</v>
      </c>
      <c r="E7" s="500">
        <v>1</v>
      </c>
      <c r="F7" s="558"/>
      <c r="G7" s="557"/>
      <c r="H7" s="557"/>
      <c r="I7" s="557"/>
      <c r="J7" s="557"/>
      <c r="K7" s="557"/>
      <c r="L7" s="557"/>
      <c r="M7" s="584"/>
    </row>
    <row r="8" spans="2:14" x14ac:dyDescent="0.25">
      <c r="B8" s="580"/>
      <c r="C8" s="498" t="s">
        <v>119</v>
      </c>
      <c r="D8" s="499" t="s">
        <v>120</v>
      </c>
      <c r="E8" s="500">
        <v>1.3</v>
      </c>
      <c r="F8" s="558"/>
      <c r="G8" s="557"/>
      <c r="H8" s="557"/>
      <c r="I8" s="557"/>
      <c r="J8" s="557"/>
      <c r="K8" s="557"/>
      <c r="L8" s="557"/>
      <c r="M8" s="584"/>
    </row>
    <row r="9" spans="2:14" x14ac:dyDescent="0.25">
      <c r="B9" s="580"/>
      <c r="C9" s="498" t="s">
        <v>99</v>
      </c>
      <c r="D9" s="499" t="s">
        <v>100</v>
      </c>
      <c r="E9" s="500">
        <v>0.05</v>
      </c>
      <c r="F9" s="558"/>
      <c r="G9" s="557"/>
      <c r="H9" s="557"/>
      <c r="I9" s="557"/>
      <c r="J9" s="557"/>
      <c r="K9" s="557"/>
      <c r="L9" s="557"/>
      <c r="M9" s="584"/>
    </row>
    <row r="10" spans="2:14" x14ac:dyDescent="0.25">
      <c r="B10" s="580"/>
      <c r="C10" s="498" t="s">
        <v>111</v>
      </c>
      <c r="D10" s="499" t="s">
        <v>112</v>
      </c>
      <c r="E10" s="500">
        <v>1.7</v>
      </c>
      <c r="F10" s="558"/>
      <c r="G10" s="557"/>
      <c r="H10" s="557"/>
      <c r="I10" s="557"/>
      <c r="J10" s="557"/>
      <c r="K10" s="557"/>
      <c r="L10" s="557"/>
      <c r="M10" s="584"/>
    </row>
    <row r="11" spans="2:14" x14ac:dyDescent="0.25">
      <c r="B11" s="580"/>
      <c r="C11" s="498" t="s">
        <v>148</v>
      </c>
      <c r="D11" s="499" t="s">
        <v>149</v>
      </c>
      <c r="E11" s="500">
        <v>0.4</v>
      </c>
      <c r="F11" s="558"/>
      <c r="G11" s="557"/>
      <c r="H11" s="557"/>
      <c r="I11" s="557"/>
      <c r="J11" s="557"/>
      <c r="K11" s="557"/>
      <c r="L11" s="557"/>
      <c r="M11" s="584"/>
    </row>
    <row r="12" spans="2:14" x14ac:dyDescent="0.25">
      <c r="B12" s="580"/>
      <c r="C12" s="498" t="s">
        <v>138</v>
      </c>
      <c r="D12" s="499" t="s">
        <v>139</v>
      </c>
      <c r="E12" s="500">
        <v>1.33</v>
      </c>
      <c r="F12" s="558"/>
      <c r="G12" s="557"/>
      <c r="H12" s="557"/>
      <c r="I12" s="557"/>
      <c r="J12" s="557"/>
      <c r="K12" s="557"/>
      <c r="L12" s="557"/>
      <c r="M12" s="584"/>
    </row>
    <row r="13" spans="2:14" x14ac:dyDescent="0.25">
      <c r="B13" s="580"/>
      <c r="C13" s="498" t="s">
        <v>105</v>
      </c>
      <c r="D13" s="499" t="s">
        <v>106</v>
      </c>
      <c r="E13" s="500">
        <v>3.8</v>
      </c>
      <c r="F13" s="558"/>
      <c r="G13" s="557"/>
      <c r="H13" s="557"/>
      <c r="I13" s="557"/>
      <c r="J13" s="557"/>
      <c r="K13" s="557"/>
      <c r="L13" s="557"/>
      <c r="M13" s="584"/>
    </row>
    <row r="14" spans="2:14" x14ac:dyDescent="0.25">
      <c r="B14" s="580"/>
      <c r="C14" s="498" t="s">
        <v>70</v>
      </c>
      <c r="D14" s="499" t="s">
        <v>155</v>
      </c>
      <c r="E14" s="500">
        <v>53.3</v>
      </c>
      <c r="F14" s="558"/>
      <c r="G14" s="557"/>
      <c r="H14" s="557"/>
      <c r="I14" s="557"/>
      <c r="J14" s="557"/>
      <c r="K14" s="557"/>
      <c r="L14" s="557"/>
      <c r="M14" s="584"/>
    </row>
    <row r="15" spans="2:14" x14ac:dyDescent="0.25">
      <c r="B15" s="580"/>
      <c r="C15" s="498" t="s">
        <v>132</v>
      </c>
      <c r="D15" s="499" t="s">
        <v>133</v>
      </c>
      <c r="E15" s="500">
        <v>0.8</v>
      </c>
      <c r="F15" s="558"/>
      <c r="G15" s="557"/>
      <c r="H15" s="557"/>
      <c r="I15" s="557"/>
      <c r="J15" s="557"/>
      <c r="K15" s="557"/>
      <c r="L15" s="557"/>
      <c r="M15" s="584"/>
      <c r="N15" s="51"/>
    </row>
    <row r="16" spans="2:14" x14ac:dyDescent="0.25">
      <c r="B16" s="580"/>
      <c r="C16" s="498" t="s">
        <v>134</v>
      </c>
      <c r="D16" s="499" t="s">
        <v>135</v>
      </c>
      <c r="E16" s="500">
        <v>4</v>
      </c>
      <c r="F16" s="558"/>
      <c r="G16" s="557"/>
      <c r="H16" s="557"/>
      <c r="I16" s="557"/>
      <c r="J16" s="557"/>
      <c r="K16" s="557"/>
      <c r="L16" s="557"/>
      <c r="M16" s="584"/>
    </row>
    <row r="17" spans="2:17" x14ac:dyDescent="0.25">
      <c r="B17" s="580"/>
      <c r="C17" s="498" t="s">
        <v>659</v>
      </c>
      <c r="D17" s="499" t="s">
        <v>660</v>
      </c>
      <c r="E17" s="500">
        <v>18</v>
      </c>
      <c r="F17" s="558"/>
      <c r="G17" s="557"/>
      <c r="H17" s="557"/>
      <c r="I17" s="557"/>
      <c r="J17" s="557"/>
      <c r="K17" s="557"/>
      <c r="L17" s="557"/>
      <c r="M17" s="584"/>
    </row>
    <row r="18" spans="2:17" x14ac:dyDescent="0.25">
      <c r="B18" s="580"/>
      <c r="C18" s="498" t="s">
        <v>152</v>
      </c>
      <c r="D18" s="499" t="s">
        <v>153</v>
      </c>
      <c r="E18" s="500">
        <v>0.04</v>
      </c>
      <c r="F18" s="558"/>
      <c r="G18" s="557"/>
      <c r="H18" s="557"/>
      <c r="I18" s="557"/>
      <c r="J18" s="557"/>
      <c r="K18" s="557"/>
      <c r="L18" s="557"/>
      <c r="M18" s="584"/>
    </row>
    <row r="19" spans="2:17" x14ac:dyDescent="0.25">
      <c r="B19" s="580"/>
      <c r="C19" s="498" t="s">
        <v>101</v>
      </c>
      <c r="D19" s="499" t="s">
        <v>102</v>
      </c>
      <c r="E19" s="500">
        <v>3200</v>
      </c>
      <c r="F19" s="558"/>
      <c r="G19" s="557"/>
      <c r="H19" s="557"/>
      <c r="I19" s="557"/>
      <c r="J19" s="557"/>
      <c r="K19" s="557"/>
      <c r="L19" s="557"/>
      <c r="M19" s="584"/>
    </row>
    <row r="20" spans="2:17" x14ac:dyDescent="0.25">
      <c r="B20" s="580"/>
      <c r="C20" s="498" t="s">
        <v>129</v>
      </c>
      <c r="D20" s="499" t="s">
        <v>130</v>
      </c>
      <c r="E20" s="500">
        <v>200</v>
      </c>
      <c r="F20" s="558"/>
      <c r="G20" s="557"/>
      <c r="H20" s="557"/>
      <c r="I20" s="557"/>
      <c r="J20" s="557"/>
      <c r="K20" s="557"/>
      <c r="L20" s="557"/>
      <c r="M20" s="584"/>
      <c r="Q20" s="51"/>
    </row>
    <row r="21" spans="2:17" x14ac:dyDescent="0.25">
      <c r="B21" s="580"/>
      <c r="C21" s="498" t="s">
        <v>91</v>
      </c>
      <c r="D21" s="499" t="s">
        <v>92</v>
      </c>
      <c r="E21" s="500">
        <v>8.4</v>
      </c>
      <c r="F21" s="558"/>
      <c r="G21" s="557"/>
      <c r="H21" s="557"/>
      <c r="I21" s="557"/>
      <c r="J21" s="557"/>
      <c r="K21" s="557"/>
      <c r="L21" s="557"/>
      <c r="M21" s="584"/>
    </row>
    <row r="22" spans="2:17" x14ac:dyDescent="0.25">
      <c r="B22" s="580"/>
      <c r="C22" s="498" t="s">
        <v>96</v>
      </c>
      <c r="D22" s="499" t="s">
        <v>154</v>
      </c>
      <c r="E22" s="500">
        <v>4.0999999999999996</v>
      </c>
      <c r="F22" s="558"/>
      <c r="G22" s="557"/>
      <c r="H22" s="557"/>
      <c r="I22" s="557"/>
      <c r="J22" s="557"/>
      <c r="K22" s="557"/>
      <c r="L22" s="557"/>
      <c r="M22" s="584"/>
    </row>
    <row r="23" spans="2:17" x14ac:dyDescent="0.25">
      <c r="B23" s="580"/>
      <c r="C23" s="498" t="s">
        <v>84</v>
      </c>
      <c r="D23" s="499" t="s">
        <v>85</v>
      </c>
      <c r="E23" s="500">
        <v>0.73</v>
      </c>
      <c r="F23" s="558"/>
      <c r="G23" s="557"/>
      <c r="H23" s="557"/>
      <c r="I23" s="557"/>
      <c r="J23" s="557"/>
      <c r="K23" s="557"/>
      <c r="L23" s="557"/>
      <c r="M23" s="584"/>
    </row>
    <row r="24" spans="2:17" x14ac:dyDescent="0.25">
      <c r="B24" s="580"/>
      <c r="C24" s="498" t="s">
        <v>97</v>
      </c>
      <c r="D24" s="499" t="s">
        <v>98</v>
      </c>
      <c r="E24" s="500">
        <v>0.76</v>
      </c>
      <c r="F24" s="558"/>
      <c r="G24" s="557"/>
      <c r="H24" s="557"/>
      <c r="I24" s="557"/>
      <c r="J24" s="557"/>
      <c r="K24" s="557"/>
      <c r="L24" s="557"/>
      <c r="M24" s="584"/>
    </row>
    <row r="25" spans="2:17" x14ac:dyDescent="0.25">
      <c r="B25" s="580"/>
      <c r="C25" s="498" t="s">
        <v>71</v>
      </c>
      <c r="D25" s="499" t="s">
        <v>72</v>
      </c>
      <c r="E25" s="500">
        <v>3.6</v>
      </c>
      <c r="F25" s="558"/>
      <c r="G25" s="557"/>
      <c r="H25" s="557"/>
      <c r="I25" s="557"/>
      <c r="J25" s="557"/>
      <c r="K25" s="557"/>
      <c r="L25" s="557"/>
      <c r="M25" s="584"/>
    </row>
    <row r="26" spans="2:17" x14ac:dyDescent="0.25">
      <c r="B26" s="580"/>
      <c r="C26" s="498" t="s">
        <v>122</v>
      </c>
      <c r="D26" s="499" t="s">
        <v>123</v>
      </c>
      <c r="E26" s="500">
        <v>16</v>
      </c>
      <c r="F26" s="558"/>
      <c r="G26" s="557"/>
      <c r="H26" s="557"/>
      <c r="I26" s="557"/>
      <c r="J26" s="557"/>
      <c r="K26" s="557"/>
      <c r="L26" s="557"/>
      <c r="M26" s="584"/>
    </row>
    <row r="27" spans="2:17" x14ac:dyDescent="0.25">
      <c r="B27" s="580"/>
      <c r="C27" s="498" t="s">
        <v>125</v>
      </c>
      <c r="D27" s="499" t="s">
        <v>126</v>
      </c>
      <c r="E27" s="500">
        <v>1</v>
      </c>
      <c r="F27" s="558"/>
      <c r="G27" s="557"/>
      <c r="H27" s="557"/>
      <c r="I27" s="557"/>
      <c r="J27" s="557"/>
      <c r="K27" s="557"/>
      <c r="L27" s="557"/>
      <c r="M27" s="584"/>
    </row>
    <row r="28" spans="2:17" x14ac:dyDescent="0.25">
      <c r="B28" s="580"/>
      <c r="C28" s="498" t="s">
        <v>127</v>
      </c>
      <c r="D28" s="499" t="s">
        <v>128</v>
      </c>
      <c r="E28" s="500">
        <v>0.64</v>
      </c>
      <c r="F28" s="558"/>
      <c r="G28" s="557"/>
      <c r="H28" s="557"/>
      <c r="I28" s="557"/>
      <c r="J28" s="557"/>
      <c r="K28" s="557"/>
      <c r="L28" s="557"/>
      <c r="M28" s="584"/>
    </row>
    <row r="29" spans="2:17" x14ac:dyDescent="0.25">
      <c r="B29" s="580"/>
      <c r="C29" s="498" t="s">
        <v>107</v>
      </c>
      <c r="D29" s="499" t="s">
        <v>108</v>
      </c>
      <c r="E29" s="500">
        <v>0.43</v>
      </c>
      <c r="F29" s="558"/>
      <c r="G29" s="557"/>
      <c r="H29" s="557"/>
      <c r="I29" s="557"/>
      <c r="J29" s="557"/>
      <c r="K29" s="557"/>
      <c r="L29" s="557"/>
      <c r="M29" s="584"/>
    </row>
    <row r="30" spans="2:17" x14ac:dyDescent="0.25">
      <c r="B30" s="580"/>
      <c r="C30" s="498" t="s">
        <v>109</v>
      </c>
      <c r="D30" s="499" t="s">
        <v>110</v>
      </c>
      <c r="E30" s="500">
        <v>0.3</v>
      </c>
      <c r="F30" s="558"/>
      <c r="G30" s="557"/>
      <c r="H30" s="557"/>
      <c r="I30" s="557"/>
      <c r="J30" s="557"/>
      <c r="K30" s="557"/>
      <c r="L30" s="557"/>
      <c r="M30" s="584"/>
    </row>
    <row r="31" spans="2:17" x14ac:dyDescent="0.25">
      <c r="B31" s="580"/>
      <c r="C31" s="498" t="s">
        <v>77</v>
      </c>
      <c r="D31" s="499" t="s">
        <v>78</v>
      </c>
      <c r="E31" s="500">
        <v>16</v>
      </c>
      <c r="F31" s="558"/>
      <c r="G31" s="557"/>
      <c r="H31" s="557"/>
      <c r="I31" s="557"/>
      <c r="J31" s="557"/>
      <c r="K31" s="557"/>
      <c r="L31" s="557"/>
      <c r="M31" s="584"/>
    </row>
    <row r="32" spans="2:17" x14ac:dyDescent="0.25">
      <c r="B32" s="580"/>
      <c r="C32" s="498" t="s">
        <v>89</v>
      </c>
      <c r="D32" s="499" t="s">
        <v>90</v>
      </c>
      <c r="E32" s="500">
        <v>0.5</v>
      </c>
      <c r="F32" s="558"/>
      <c r="G32" s="557"/>
      <c r="H32" s="557"/>
      <c r="I32" s="557"/>
      <c r="J32" s="557"/>
      <c r="K32" s="557"/>
      <c r="L32" s="557"/>
      <c r="M32" s="584"/>
    </row>
    <row r="33" spans="2:13" x14ac:dyDescent="0.25">
      <c r="B33" s="580"/>
      <c r="C33" s="498" t="s">
        <v>82</v>
      </c>
      <c r="D33" s="499" t="s">
        <v>83</v>
      </c>
      <c r="E33" s="500">
        <v>3200</v>
      </c>
      <c r="F33" s="558"/>
      <c r="G33" s="557"/>
      <c r="H33" s="557"/>
      <c r="I33" s="557"/>
      <c r="J33" s="557"/>
      <c r="K33" s="557"/>
      <c r="L33" s="557"/>
      <c r="M33" s="584"/>
    </row>
    <row r="34" spans="2:13" x14ac:dyDescent="0.25">
      <c r="B34" s="580"/>
      <c r="C34" s="498" t="s">
        <v>146</v>
      </c>
      <c r="D34" s="499" t="s">
        <v>147</v>
      </c>
      <c r="E34" s="500">
        <v>400</v>
      </c>
      <c r="F34" s="558"/>
      <c r="G34" s="557"/>
      <c r="H34" s="557"/>
      <c r="I34" s="557"/>
      <c r="J34" s="557"/>
      <c r="K34" s="557"/>
      <c r="L34" s="557"/>
      <c r="M34" s="584"/>
    </row>
    <row r="35" spans="2:13" x14ac:dyDescent="0.25">
      <c r="B35" s="580"/>
      <c r="C35" s="498" t="s">
        <v>87</v>
      </c>
      <c r="D35" s="499" t="s">
        <v>88</v>
      </c>
      <c r="E35" s="500">
        <v>640</v>
      </c>
      <c r="F35" s="558"/>
      <c r="G35" s="557"/>
      <c r="H35" s="557"/>
      <c r="I35" s="557"/>
      <c r="J35" s="557"/>
      <c r="K35" s="557"/>
      <c r="L35" s="557"/>
      <c r="M35" s="584"/>
    </row>
    <row r="36" spans="2:13" x14ac:dyDescent="0.25">
      <c r="B36" s="580"/>
      <c r="C36" s="498" t="s">
        <v>136</v>
      </c>
      <c r="D36" s="499" t="s">
        <v>137</v>
      </c>
      <c r="E36" s="500">
        <v>160</v>
      </c>
      <c r="F36" s="558"/>
      <c r="G36" s="557"/>
      <c r="H36" s="557"/>
      <c r="I36" s="557"/>
      <c r="J36" s="557"/>
      <c r="K36" s="557"/>
      <c r="L36" s="557"/>
      <c r="M36" s="584"/>
    </row>
    <row r="37" spans="2:13" x14ac:dyDescent="0.25">
      <c r="B37" s="580"/>
      <c r="C37" s="498" t="s">
        <v>144</v>
      </c>
      <c r="D37" s="499" t="s">
        <v>145</v>
      </c>
      <c r="E37" s="500">
        <v>160</v>
      </c>
      <c r="F37" s="558"/>
      <c r="G37" s="557"/>
      <c r="H37" s="557"/>
      <c r="I37" s="557"/>
      <c r="J37" s="557"/>
      <c r="K37" s="557"/>
      <c r="L37" s="557"/>
      <c r="M37" s="584"/>
    </row>
    <row r="38" spans="2:13" x14ac:dyDescent="0.25">
      <c r="B38" s="580"/>
      <c r="C38" s="498" t="s">
        <v>73</v>
      </c>
      <c r="D38" s="499" t="s">
        <v>74</v>
      </c>
      <c r="E38" s="500">
        <v>32</v>
      </c>
      <c r="F38" s="558"/>
      <c r="G38" s="557"/>
      <c r="H38" s="557"/>
      <c r="I38" s="557"/>
      <c r="J38" s="557"/>
      <c r="K38" s="557"/>
      <c r="L38" s="557"/>
      <c r="M38" s="584"/>
    </row>
    <row r="39" spans="2:13" x14ac:dyDescent="0.25">
      <c r="B39" s="580"/>
      <c r="C39" s="498" t="s">
        <v>75</v>
      </c>
      <c r="D39" s="499" t="s">
        <v>76</v>
      </c>
      <c r="E39" s="500">
        <v>160</v>
      </c>
      <c r="F39" s="558"/>
      <c r="G39" s="557"/>
      <c r="H39" s="557"/>
      <c r="I39" s="557"/>
      <c r="J39" s="557"/>
      <c r="K39" s="557"/>
      <c r="L39" s="557"/>
      <c r="M39" s="584"/>
    </row>
    <row r="40" spans="2:13" x14ac:dyDescent="0.25">
      <c r="B40" s="580"/>
      <c r="C40" s="498" t="s">
        <v>86</v>
      </c>
      <c r="D40" s="501"/>
      <c r="E40" s="500">
        <v>640</v>
      </c>
      <c r="F40" s="558"/>
      <c r="G40" s="557"/>
      <c r="H40" s="557"/>
      <c r="I40" s="557"/>
      <c r="J40" s="557"/>
      <c r="K40" s="557"/>
      <c r="L40" s="557"/>
      <c r="M40" s="584"/>
    </row>
    <row r="41" spans="2:13" x14ac:dyDescent="0.25">
      <c r="B41" s="580"/>
      <c r="C41" s="498" t="s">
        <v>81</v>
      </c>
      <c r="D41" s="501"/>
      <c r="E41" s="500">
        <v>8000</v>
      </c>
      <c r="F41" s="558"/>
      <c r="G41" s="557"/>
      <c r="H41" s="557"/>
      <c r="I41" s="557"/>
      <c r="J41" s="557"/>
      <c r="K41" s="557"/>
      <c r="L41" s="557"/>
      <c r="M41" s="584"/>
    </row>
    <row r="42" spans="2:13" x14ac:dyDescent="0.25">
      <c r="B42" s="580"/>
      <c r="C42" s="498" t="s">
        <v>93</v>
      </c>
      <c r="D42" s="501"/>
      <c r="E42" s="500">
        <v>320</v>
      </c>
      <c r="F42" s="558"/>
      <c r="G42" s="557"/>
      <c r="H42" s="557"/>
      <c r="I42" s="557"/>
      <c r="J42" s="557"/>
      <c r="K42" s="557"/>
      <c r="L42" s="557"/>
      <c r="M42" s="584"/>
    </row>
    <row r="43" spans="2:13" x14ac:dyDescent="0.25">
      <c r="B43" s="580"/>
      <c r="C43" s="498" t="s">
        <v>94</v>
      </c>
      <c r="D43" s="501"/>
      <c r="E43" s="500">
        <v>160</v>
      </c>
      <c r="F43" s="558"/>
      <c r="G43" s="557"/>
      <c r="H43" s="557"/>
      <c r="I43" s="557"/>
      <c r="J43" s="557"/>
      <c r="K43" s="557"/>
      <c r="L43" s="557"/>
      <c r="M43" s="584"/>
    </row>
    <row r="44" spans="2:13" x14ac:dyDescent="0.25">
      <c r="B44" s="580"/>
      <c r="C44" s="498" t="s">
        <v>95</v>
      </c>
      <c r="D44" s="501"/>
      <c r="E44" s="500">
        <v>6.4</v>
      </c>
      <c r="F44" s="558"/>
      <c r="G44" s="557"/>
      <c r="H44" s="557"/>
      <c r="I44" s="557"/>
      <c r="J44" s="557"/>
      <c r="K44" s="557"/>
      <c r="L44" s="557"/>
      <c r="M44" s="584"/>
    </row>
    <row r="45" spans="2:13" x14ac:dyDescent="0.25">
      <c r="B45" s="580"/>
      <c r="C45" s="498" t="s">
        <v>115</v>
      </c>
      <c r="D45" s="501"/>
      <c r="E45" s="500">
        <v>1.6</v>
      </c>
      <c r="F45" s="558"/>
      <c r="G45" s="557"/>
      <c r="H45" s="557"/>
      <c r="I45" s="557"/>
      <c r="J45" s="557"/>
      <c r="K45" s="557"/>
      <c r="L45" s="557"/>
      <c r="M45" s="584"/>
    </row>
    <row r="46" spans="2:13" x14ac:dyDescent="0.25">
      <c r="B46" s="580"/>
      <c r="C46" s="498" t="s">
        <v>116</v>
      </c>
      <c r="D46" s="501"/>
      <c r="E46" s="500">
        <v>3.2</v>
      </c>
      <c r="F46" s="558"/>
      <c r="G46" s="557"/>
      <c r="H46" s="557"/>
      <c r="I46" s="557"/>
      <c r="J46" s="557"/>
      <c r="K46" s="557"/>
      <c r="L46" s="557"/>
      <c r="M46" s="584"/>
    </row>
    <row r="47" spans="2:13" x14ac:dyDescent="0.25">
      <c r="B47" s="580"/>
      <c r="C47" s="498" t="s">
        <v>121</v>
      </c>
      <c r="D47" s="501"/>
      <c r="E47" s="500">
        <v>800</v>
      </c>
      <c r="F47" s="558"/>
      <c r="G47" s="557"/>
      <c r="H47" s="557"/>
      <c r="I47" s="557"/>
      <c r="J47" s="557"/>
      <c r="K47" s="557"/>
      <c r="L47" s="557"/>
      <c r="M47" s="584"/>
    </row>
    <row r="48" spans="2:13" x14ac:dyDescent="0.25">
      <c r="B48" s="580"/>
      <c r="C48" s="498" t="s">
        <v>124</v>
      </c>
      <c r="D48" s="501"/>
      <c r="E48" s="500">
        <v>3.2</v>
      </c>
      <c r="F48" s="558"/>
      <c r="G48" s="557"/>
      <c r="H48" s="557"/>
      <c r="I48" s="557"/>
      <c r="J48" s="557"/>
      <c r="K48" s="557"/>
      <c r="L48" s="557"/>
      <c r="M48" s="584"/>
    </row>
    <row r="49" spans="2:13" x14ac:dyDescent="0.25">
      <c r="B49" s="580"/>
      <c r="C49" s="498" t="s">
        <v>131</v>
      </c>
      <c r="D49" s="501"/>
      <c r="E49" s="500">
        <v>160</v>
      </c>
      <c r="F49" s="558"/>
      <c r="G49" s="557"/>
      <c r="H49" s="557"/>
      <c r="I49" s="557"/>
      <c r="J49" s="557"/>
      <c r="K49" s="557"/>
      <c r="L49" s="557"/>
      <c r="M49" s="584"/>
    </row>
    <row r="50" spans="2:13" x14ac:dyDescent="0.25">
      <c r="B50" s="580"/>
      <c r="C50" s="498" t="s">
        <v>140</v>
      </c>
      <c r="D50" s="501"/>
      <c r="E50" s="500">
        <v>26.7</v>
      </c>
      <c r="F50" s="558"/>
      <c r="G50" s="557"/>
      <c r="H50" s="557"/>
      <c r="I50" s="557"/>
      <c r="J50" s="557"/>
      <c r="K50" s="557"/>
      <c r="L50" s="557"/>
      <c r="M50" s="584"/>
    </row>
    <row r="51" spans="2:13" x14ac:dyDescent="0.25">
      <c r="B51" s="580"/>
      <c r="C51" s="498" t="s">
        <v>141</v>
      </c>
      <c r="D51" s="501"/>
      <c r="E51" s="500">
        <v>2.6</v>
      </c>
      <c r="F51" s="558"/>
      <c r="G51" s="557"/>
      <c r="H51" s="557"/>
      <c r="I51" s="557"/>
      <c r="J51" s="557"/>
      <c r="K51" s="557"/>
      <c r="L51" s="557"/>
      <c r="M51" s="584"/>
    </row>
    <row r="52" spans="2:13" x14ac:dyDescent="0.25">
      <c r="B52" s="580"/>
      <c r="C52" s="498" t="s">
        <v>142</v>
      </c>
      <c r="D52" s="501"/>
      <c r="E52" s="500">
        <v>53.3</v>
      </c>
      <c r="F52" s="558"/>
      <c r="G52" s="557"/>
      <c r="H52" s="557"/>
      <c r="I52" s="557"/>
      <c r="J52" s="557"/>
      <c r="K52" s="557"/>
      <c r="L52" s="557"/>
      <c r="M52" s="584"/>
    </row>
    <row r="53" spans="2:13" x14ac:dyDescent="0.25">
      <c r="B53" s="580"/>
      <c r="C53" s="498" t="s">
        <v>143</v>
      </c>
      <c r="D53" s="501"/>
      <c r="E53" s="500">
        <v>3.2</v>
      </c>
      <c r="F53" s="558"/>
      <c r="G53" s="557"/>
      <c r="H53" s="557"/>
      <c r="I53" s="557"/>
      <c r="J53" s="557"/>
      <c r="K53" s="557"/>
      <c r="L53" s="557"/>
      <c r="M53" s="584"/>
    </row>
    <row r="54" spans="2:13" x14ac:dyDescent="0.25">
      <c r="B54" s="580"/>
      <c r="C54" s="498" t="s">
        <v>150</v>
      </c>
      <c r="D54" s="501"/>
      <c r="E54" s="500">
        <v>1.6</v>
      </c>
      <c r="F54" s="558"/>
      <c r="G54" s="557"/>
      <c r="H54" s="557"/>
      <c r="I54" s="557"/>
      <c r="J54" s="557"/>
      <c r="K54" s="557"/>
      <c r="L54" s="557"/>
      <c r="M54" s="584"/>
    </row>
    <row r="55" spans="2:13" ht="15.75" thickBot="1" x14ac:dyDescent="0.3">
      <c r="B55" s="580"/>
      <c r="C55" s="502" t="s">
        <v>143</v>
      </c>
      <c r="D55" s="503"/>
      <c r="E55" s="504">
        <v>3.2</v>
      </c>
      <c r="F55" s="558"/>
      <c r="G55" s="557"/>
      <c r="H55" s="557"/>
      <c r="I55" s="557"/>
      <c r="J55" s="557"/>
      <c r="K55" s="557"/>
      <c r="L55" s="557"/>
      <c r="M55" s="584"/>
    </row>
    <row r="56" spans="2:13" x14ac:dyDescent="0.25">
      <c r="B56" s="580"/>
      <c r="C56" s="558"/>
      <c r="D56" s="559"/>
      <c r="E56" s="558"/>
      <c r="F56" s="558"/>
      <c r="G56" s="557"/>
      <c r="H56" s="557"/>
      <c r="I56" s="557"/>
      <c r="J56" s="557"/>
      <c r="K56" s="557"/>
      <c r="L56" s="557"/>
      <c r="M56" s="584"/>
    </row>
    <row r="57" spans="2:13" x14ac:dyDescent="0.25">
      <c r="B57" s="580"/>
      <c r="C57" s="558"/>
      <c r="D57" s="559"/>
      <c r="E57" s="558"/>
      <c r="F57" s="558"/>
      <c r="G57" s="557"/>
      <c r="H57" s="557"/>
      <c r="I57" s="557"/>
      <c r="J57" s="557"/>
      <c r="K57" s="557"/>
      <c r="L57" s="557"/>
      <c r="M57" s="584"/>
    </row>
    <row r="58" spans="2:13" x14ac:dyDescent="0.25">
      <c r="B58" s="580"/>
      <c r="C58" s="558"/>
      <c r="D58" s="559"/>
      <c r="E58" s="558"/>
      <c r="F58" s="558"/>
      <c r="G58" s="557"/>
      <c r="H58" s="557"/>
      <c r="I58" s="557"/>
      <c r="J58" s="557"/>
      <c r="K58" s="557"/>
      <c r="L58" s="557"/>
      <c r="M58" s="584"/>
    </row>
    <row r="59" spans="2:13" x14ac:dyDescent="0.25">
      <c r="B59" s="580"/>
      <c r="C59" s="558"/>
      <c r="D59" s="559"/>
      <c r="E59" s="558"/>
      <c r="F59" s="558"/>
      <c r="G59" s="557"/>
      <c r="H59" s="557"/>
      <c r="I59" s="557"/>
      <c r="J59" s="557"/>
      <c r="K59" s="557"/>
      <c r="L59" s="557"/>
      <c r="M59" s="584"/>
    </row>
    <row r="60" spans="2:13" x14ac:dyDescent="0.25">
      <c r="B60" s="580"/>
      <c r="C60" s="558"/>
      <c r="D60" s="559"/>
      <c r="E60" s="558"/>
      <c r="F60" s="558"/>
      <c r="G60" s="557"/>
      <c r="H60" s="557"/>
      <c r="I60" s="557"/>
      <c r="J60" s="557"/>
      <c r="K60" s="557"/>
      <c r="L60" s="557"/>
      <c r="M60" s="584"/>
    </row>
    <row r="61" spans="2:13" x14ac:dyDescent="0.25">
      <c r="B61" s="580"/>
      <c r="C61" s="558"/>
      <c r="D61" s="559"/>
      <c r="E61" s="558"/>
      <c r="F61" s="558"/>
      <c r="G61" s="557"/>
      <c r="H61" s="557"/>
      <c r="I61" s="557"/>
      <c r="J61" s="557"/>
      <c r="K61" s="557"/>
      <c r="L61" s="557"/>
      <c r="M61" s="584"/>
    </row>
    <row r="62" spans="2:13" x14ac:dyDescent="0.25">
      <c r="B62" s="580"/>
      <c r="C62" s="558"/>
      <c r="D62" s="559"/>
      <c r="E62" s="558"/>
      <c r="F62" s="558"/>
      <c r="G62" s="557"/>
      <c r="H62" s="557"/>
      <c r="I62" s="557"/>
      <c r="J62" s="557"/>
      <c r="K62" s="557"/>
      <c r="L62" s="557"/>
      <c r="M62" s="584"/>
    </row>
    <row r="63" spans="2:13" x14ac:dyDescent="0.25">
      <c r="B63" s="580"/>
      <c r="C63" s="558"/>
      <c r="D63" s="559"/>
      <c r="E63" s="558"/>
      <c r="F63" s="558"/>
      <c r="G63" s="557"/>
      <c r="H63" s="557"/>
      <c r="I63" s="557"/>
      <c r="J63" s="557"/>
      <c r="K63" s="557"/>
      <c r="L63" s="557"/>
      <c r="M63" s="584"/>
    </row>
    <row r="64" spans="2:13" x14ac:dyDescent="0.25">
      <c r="B64" s="580"/>
      <c r="C64" s="558"/>
      <c r="D64" s="559"/>
      <c r="E64" s="558"/>
      <c r="F64" s="558"/>
      <c r="G64" s="557"/>
      <c r="H64" s="557"/>
      <c r="I64" s="557"/>
      <c r="J64" s="557"/>
      <c r="K64" s="557"/>
      <c r="L64" s="557"/>
      <c r="M64" s="584"/>
    </row>
    <row r="65" spans="2:13" x14ac:dyDescent="0.25">
      <c r="B65" s="580"/>
      <c r="C65" s="558"/>
      <c r="D65" s="559"/>
      <c r="E65" s="558"/>
      <c r="F65" s="558"/>
      <c r="G65" s="557"/>
      <c r="H65" s="557"/>
      <c r="I65" s="557"/>
      <c r="J65" s="557"/>
      <c r="K65" s="557"/>
      <c r="L65" s="557"/>
      <c r="M65" s="584"/>
    </row>
    <row r="66" spans="2:13" x14ac:dyDescent="0.25">
      <c r="B66" s="580"/>
      <c r="C66" s="558"/>
      <c r="D66" s="559"/>
      <c r="E66" s="558"/>
      <c r="F66" s="558"/>
      <c r="G66" s="557"/>
      <c r="H66" s="557"/>
      <c r="I66" s="557"/>
      <c r="J66" s="557"/>
      <c r="K66" s="557"/>
      <c r="L66" s="557"/>
      <c r="M66" s="584"/>
    </row>
    <row r="67" spans="2:13" ht="30.75" thickBot="1" x14ac:dyDescent="0.3">
      <c r="B67" s="580"/>
      <c r="C67" s="581" t="s">
        <v>65</v>
      </c>
      <c r="D67" s="582" t="s">
        <v>151</v>
      </c>
      <c r="E67" s="583" t="s">
        <v>1270</v>
      </c>
      <c r="F67" s="558"/>
      <c r="G67" s="557"/>
      <c r="H67" s="557"/>
      <c r="I67" s="557"/>
      <c r="J67" s="557"/>
      <c r="K67" s="557"/>
      <c r="L67" s="557"/>
      <c r="M67" s="584"/>
    </row>
    <row r="68" spans="2:13" x14ac:dyDescent="0.25">
      <c r="B68" s="580"/>
      <c r="C68" s="505" t="s">
        <v>270</v>
      </c>
      <c r="D68" s="506" t="s">
        <v>271</v>
      </c>
      <c r="E68" s="497">
        <v>0.55400000000000005</v>
      </c>
      <c r="F68" s="558"/>
      <c r="G68" s="557"/>
      <c r="H68" s="557"/>
      <c r="I68" s="557"/>
      <c r="J68" s="993" t="s">
        <v>157</v>
      </c>
      <c r="K68" s="993"/>
      <c r="L68" s="993"/>
      <c r="M68" s="585" t="s">
        <v>210</v>
      </c>
    </row>
    <row r="69" spans="2:13" x14ac:dyDescent="0.25">
      <c r="B69" s="580"/>
      <c r="C69" s="507" t="s">
        <v>293</v>
      </c>
      <c r="D69" s="508" t="s">
        <v>294</v>
      </c>
      <c r="E69" s="500">
        <v>0.44600000000000001</v>
      </c>
      <c r="F69" s="558"/>
      <c r="G69" s="557"/>
      <c r="H69" s="557"/>
      <c r="I69" s="557"/>
      <c r="J69" s="993" t="s">
        <v>158</v>
      </c>
      <c r="K69" s="993"/>
      <c r="L69" s="993"/>
      <c r="M69" s="584">
        <f>IF(ISNA(VLOOKUP(M68,D69:E156,2,FALSE))=TRUE,0,VLOOKUP(M68,D69:E156,2,FALSE))</f>
        <v>0.59499999999999997</v>
      </c>
    </row>
    <row r="70" spans="2:13" x14ac:dyDescent="0.25">
      <c r="B70" s="580"/>
      <c r="C70" s="507" t="s">
        <v>321</v>
      </c>
      <c r="D70" s="508" t="s">
        <v>322</v>
      </c>
      <c r="E70" s="500">
        <v>3.0000000000000001E-3</v>
      </c>
      <c r="F70" s="558"/>
      <c r="G70" s="557"/>
      <c r="H70" s="557"/>
      <c r="I70" s="557"/>
      <c r="J70" s="557"/>
      <c r="K70" s="557"/>
      <c r="L70" s="557"/>
      <c r="M70" s="584"/>
    </row>
    <row r="71" spans="2:13" x14ac:dyDescent="0.25">
      <c r="B71" s="580"/>
      <c r="C71" s="507" t="s">
        <v>323</v>
      </c>
      <c r="D71" s="508" t="s">
        <v>324</v>
      </c>
      <c r="E71" s="500">
        <v>0.156</v>
      </c>
      <c r="F71" s="558"/>
      <c r="G71" s="557"/>
      <c r="H71" s="557"/>
      <c r="I71" s="557"/>
      <c r="J71" s="557"/>
      <c r="K71" s="557"/>
      <c r="L71" s="557"/>
      <c r="M71" s="584"/>
    </row>
    <row r="72" spans="2:13" ht="12" customHeight="1" x14ac:dyDescent="0.25">
      <c r="B72" s="580"/>
      <c r="C72" s="507" t="s">
        <v>292</v>
      </c>
      <c r="D72" s="508" t="s">
        <v>36</v>
      </c>
      <c r="E72" s="500">
        <v>0.20499999999999999</v>
      </c>
      <c r="F72" s="558"/>
      <c r="G72" s="557"/>
      <c r="H72" s="557"/>
      <c r="I72" s="557"/>
      <c r="J72" s="557"/>
      <c r="K72" s="557"/>
      <c r="L72" s="557"/>
      <c r="M72" s="584"/>
    </row>
    <row r="73" spans="2:13" ht="12" customHeight="1" x14ac:dyDescent="0.25">
      <c r="B73" s="580"/>
      <c r="C73" s="507" t="s">
        <v>295</v>
      </c>
      <c r="D73" s="508" t="s">
        <v>296</v>
      </c>
      <c r="E73" s="500">
        <v>0.216</v>
      </c>
      <c r="F73" s="558"/>
      <c r="G73" s="557"/>
      <c r="H73" s="557"/>
      <c r="I73" s="557"/>
      <c r="J73" s="557"/>
      <c r="K73" s="557"/>
      <c r="L73" s="557"/>
      <c r="M73" s="584"/>
    </row>
    <row r="74" spans="2:13" x14ac:dyDescent="0.25">
      <c r="B74" s="580"/>
      <c r="C74" s="507" t="s">
        <v>284</v>
      </c>
      <c r="D74" s="508" t="s">
        <v>285</v>
      </c>
      <c r="E74" s="500">
        <v>0.182</v>
      </c>
      <c r="F74" s="558"/>
      <c r="G74" s="557"/>
      <c r="H74" s="557"/>
      <c r="I74" s="557"/>
      <c r="J74" s="557"/>
      <c r="K74" s="557"/>
      <c r="L74" s="557"/>
      <c r="M74" s="584"/>
    </row>
    <row r="75" spans="2:13" x14ac:dyDescent="0.25">
      <c r="B75" s="580"/>
      <c r="C75" s="507" t="s">
        <v>297</v>
      </c>
      <c r="D75" s="508" t="s">
        <v>298</v>
      </c>
      <c r="E75" s="500">
        <v>0.628</v>
      </c>
      <c r="F75" s="558"/>
      <c r="G75" s="557"/>
      <c r="H75" s="557"/>
      <c r="I75" s="557"/>
      <c r="J75" s="557"/>
      <c r="K75" s="557"/>
      <c r="L75" s="557"/>
      <c r="M75" s="584"/>
    </row>
    <row r="76" spans="2:13" x14ac:dyDescent="0.25">
      <c r="B76" s="580"/>
      <c r="C76" s="507" t="s">
        <v>79</v>
      </c>
      <c r="D76" s="508" t="s">
        <v>239</v>
      </c>
      <c r="E76" s="500">
        <v>0.33400000000000002</v>
      </c>
      <c r="F76" s="558"/>
      <c r="G76" s="557"/>
      <c r="H76" s="557"/>
      <c r="I76" s="557"/>
      <c r="J76" s="557"/>
      <c r="K76" s="557"/>
      <c r="L76" s="557"/>
      <c r="M76" s="584"/>
    </row>
    <row r="77" spans="2:13" x14ac:dyDescent="0.25">
      <c r="B77" s="580"/>
      <c r="C77" s="507" t="s">
        <v>339</v>
      </c>
      <c r="D77" s="508" t="s">
        <v>340</v>
      </c>
      <c r="E77" s="500">
        <v>2E-3</v>
      </c>
      <c r="F77" s="558"/>
      <c r="G77" s="557"/>
      <c r="H77" s="557"/>
      <c r="I77" s="557"/>
      <c r="J77" s="557"/>
      <c r="K77" s="557"/>
      <c r="L77" s="557"/>
      <c r="M77" s="584"/>
    </row>
    <row r="78" spans="2:13" x14ac:dyDescent="0.25">
      <c r="B78" s="580"/>
      <c r="C78" s="507" t="s">
        <v>163</v>
      </c>
      <c r="D78" s="509" t="s">
        <v>164</v>
      </c>
      <c r="E78" s="500">
        <v>3.4000000000000002E-2</v>
      </c>
      <c r="F78" s="558"/>
      <c r="G78" s="557"/>
      <c r="H78" s="557"/>
      <c r="I78" s="557"/>
      <c r="J78" s="557"/>
      <c r="K78" s="557"/>
      <c r="L78" s="557"/>
      <c r="M78" s="584"/>
    </row>
    <row r="79" spans="2:13" x14ac:dyDescent="0.25">
      <c r="B79" s="580"/>
      <c r="C79" s="507" t="s">
        <v>165</v>
      </c>
      <c r="D79" s="509" t="s">
        <v>166</v>
      </c>
      <c r="E79" s="500">
        <v>0.14000000000000001</v>
      </c>
      <c r="F79" s="558"/>
      <c r="G79" s="557"/>
      <c r="H79" s="557"/>
      <c r="I79" s="557"/>
      <c r="J79" s="557"/>
      <c r="K79" s="557"/>
      <c r="L79" s="557"/>
      <c r="M79" s="584"/>
    </row>
    <row r="80" spans="2:13" x14ac:dyDescent="0.25">
      <c r="B80" s="580"/>
      <c r="C80" s="507" t="s">
        <v>213</v>
      </c>
      <c r="D80" s="508" t="s">
        <v>214</v>
      </c>
      <c r="E80" s="500">
        <v>1</v>
      </c>
      <c r="F80" s="558"/>
      <c r="G80" s="557"/>
      <c r="H80" s="557"/>
      <c r="I80" s="557"/>
      <c r="J80" s="557"/>
      <c r="K80" s="557"/>
      <c r="L80" s="557"/>
      <c r="M80" s="584"/>
    </row>
    <row r="81" spans="2:13" x14ac:dyDescent="0.25">
      <c r="B81" s="580"/>
      <c r="C81" s="498" t="s">
        <v>237</v>
      </c>
      <c r="D81" s="508" t="s">
        <v>238</v>
      </c>
      <c r="E81" s="500">
        <v>0.28000000000000003</v>
      </c>
      <c r="F81" s="558"/>
      <c r="G81" s="557"/>
      <c r="H81" s="557"/>
      <c r="I81" s="557"/>
      <c r="J81" s="557"/>
      <c r="K81" s="557"/>
      <c r="L81" s="557"/>
      <c r="M81" s="584"/>
    </row>
    <row r="82" spans="2:13" x14ac:dyDescent="0.25">
      <c r="B82" s="580"/>
      <c r="C82" s="507" t="s">
        <v>335</v>
      </c>
      <c r="D82" s="508" t="s">
        <v>336</v>
      </c>
      <c r="E82" s="500">
        <v>3.5000000000000003E-2</v>
      </c>
      <c r="F82" s="558"/>
      <c r="G82" s="557"/>
      <c r="H82" s="557"/>
      <c r="I82" s="557"/>
      <c r="J82" s="557"/>
      <c r="K82" s="557"/>
      <c r="L82" s="557"/>
      <c r="M82" s="584"/>
    </row>
    <row r="83" spans="2:13" x14ac:dyDescent="0.25">
      <c r="B83" s="580"/>
      <c r="C83" s="507" t="s">
        <v>167</v>
      </c>
      <c r="D83" s="509" t="s">
        <v>168</v>
      </c>
      <c r="E83" s="500">
        <v>0.41099999999999998</v>
      </c>
      <c r="F83" s="558"/>
      <c r="G83" s="557"/>
      <c r="H83" s="557"/>
      <c r="I83" s="557"/>
      <c r="J83" s="557"/>
      <c r="K83" s="557"/>
      <c r="L83" s="557"/>
      <c r="M83" s="584"/>
    </row>
    <row r="84" spans="2:13" x14ac:dyDescent="0.25">
      <c r="B84" s="580"/>
      <c r="C84" s="507" t="s">
        <v>345</v>
      </c>
      <c r="D84" s="508" t="s">
        <v>346</v>
      </c>
      <c r="E84" s="500">
        <v>0.27200000000000002</v>
      </c>
      <c r="F84" s="558"/>
      <c r="G84" s="557"/>
      <c r="H84" s="557"/>
      <c r="I84" s="557"/>
      <c r="J84" s="557"/>
      <c r="K84" s="557"/>
      <c r="L84" s="557"/>
      <c r="M84" s="584"/>
    </row>
    <row r="85" spans="2:13" x14ac:dyDescent="0.25">
      <c r="B85" s="580"/>
      <c r="C85" s="507" t="s">
        <v>272</v>
      </c>
      <c r="D85" s="508" t="s">
        <v>273</v>
      </c>
      <c r="E85" s="500">
        <v>0.65</v>
      </c>
      <c r="F85" s="558"/>
      <c r="G85" s="557"/>
      <c r="H85" s="557"/>
      <c r="I85" s="557"/>
      <c r="J85" s="557"/>
      <c r="K85" s="557"/>
      <c r="L85" s="557"/>
      <c r="M85" s="584"/>
    </row>
    <row r="86" spans="2:13" x14ac:dyDescent="0.25">
      <c r="B86" s="580"/>
      <c r="C86" s="507" t="s">
        <v>337</v>
      </c>
      <c r="D86" s="508" t="s">
        <v>338</v>
      </c>
      <c r="E86" s="500">
        <v>3.1E-2</v>
      </c>
      <c r="F86" s="558"/>
      <c r="G86" s="557"/>
      <c r="H86" s="557"/>
      <c r="I86" s="557"/>
      <c r="J86" s="557"/>
      <c r="K86" s="557"/>
      <c r="L86" s="557"/>
      <c r="M86" s="584"/>
    </row>
    <row r="87" spans="2:13" x14ac:dyDescent="0.25">
      <c r="B87" s="580"/>
      <c r="C87" s="507" t="s">
        <v>171</v>
      </c>
      <c r="D87" s="508" t="s">
        <v>172</v>
      </c>
      <c r="E87" s="500">
        <v>0.42599999999999999</v>
      </c>
      <c r="F87" s="558"/>
      <c r="G87" s="557"/>
      <c r="H87" s="557"/>
      <c r="I87" s="557"/>
      <c r="J87" s="557"/>
      <c r="K87" s="557"/>
      <c r="L87" s="557"/>
      <c r="M87" s="584"/>
    </row>
    <row r="88" spans="2:13" x14ac:dyDescent="0.25">
      <c r="B88" s="580"/>
      <c r="C88" s="507" t="s">
        <v>347</v>
      </c>
      <c r="D88" s="508" t="s">
        <v>348</v>
      </c>
      <c r="E88" s="500">
        <v>0.23200000000000001</v>
      </c>
      <c r="F88" s="558"/>
      <c r="G88" s="557"/>
      <c r="H88" s="557"/>
      <c r="I88" s="557"/>
      <c r="J88" s="557"/>
      <c r="K88" s="557"/>
      <c r="L88" s="557"/>
      <c r="M88" s="584"/>
    </row>
    <row r="89" spans="2:13" x14ac:dyDescent="0.25">
      <c r="B89" s="580"/>
      <c r="C89" s="507" t="s">
        <v>303</v>
      </c>
      <c r="D89" s="508" t="s">
        <v>304</v>
      </c>
      <c r="E89" s="500">
        <v>0.191</v>
      </c>
      <c r="F89" s="558"/>
      <c r="G89" s="557"/>
      <c r="H89" s="557"/>
      <c r="I89" s="557"/>
      <c r="J89" s="557"/>
      <c r="K89" s="557"/>
      <c r="L89" s="557"/>
      <c r="M89" s="584"/>
    </row>
    <row r="90" spans="2:13" x14ac:dyDescent="0.25">
      <c r="B90" s="580"/>
      <c r="C90" s="507" t="s">
        <v>183</v>
      </c>
      <c r="D90" s="508" t="s">
        <v>184</v>
      </c>
      <c r="E90" s="500">
        <v>0.32100000000000001</v>
      </c>
      <c r="F90" s="558"/>
      <c r="G90" s="557"/>
      <c r="H90" s="557"/>
      <c r="I90" s="557"/>
      <c r="J90" s="557"/>
      <c r="K90" s="557"/>
      <c r="L90" s="557"/>
      <c r="M90" s="584"/>
    </row>
    <row r="91" spans="2:13" x14ac:dyDescent="0.25">
      <c r="B91" s="580"/>
      <c r="C91" s="507" t="s">
        <v>175</v>
      </c>
      <c r="D91" s="508" t="s">
        <v>176</v>
      </c>
      <c r="E91" s="500">
        <v>0.59799999999999998</v>
      </c>
      <c r="F91" s="558"/>
      <c r="G91" s="557"/>
      <c r="H91" s="557"/>
      <c r="I91" s="557"/>
      <c r="J91" s="557"/>
      <c r="K91" s="557"/>
      <c r="L91" s="557"/>
      <c r="M91" s="584"/>
    </row>
    <row r="92" spans="2:13" x14ac:dyDescent="0.25">
      <c r="B92" s="580"/>
      <c r="C92" s="507" t="s">
        <v>233</v>
      </c>
      <c r="D92" s="508" t="s">
        <v>234</v>
      </c>
      <c r="E92" s="500">
        <v>1.18</v>
      </c>
      <c r="F92" s="558"/>
      <c r="G92" s="557"/>
      <c r="H92" s="557"/>
      <c r="I92" s="557"/>
      <c r="J92" s="557"/>
      <c r="K92" s="557"/>
      <c r="L92" s="557"/>
      <c r="M92" s="584"/>
    </row>
    <row r="93" spans="2:13" x14ac:dyDescent="0.25">
      <c r="B93" s="580"/>
      <c r="C93" s="507" t="s">
        <v>299</v>
      </c>
      <c r="D93" s="508" t="s">
        <v>300</v>
      </c>
      <c r="E93" s="500">
        <v>0.59099999999999997</v>
      </c>
      <c r="F93" s="558"/>
      <c r="G93" s="557"/>
      <c r="H93" s="557"/>
      <c r="I93" s="557"/>
      <c r="J93" s="557"/>
      <c r="K93" s="557"/>
      <c r="L93" s="557"/>
      <c r="M93" s="584"/>
    </row>
    <row r="94" spans="2:13" x14ac:dyDescent="0.25">
      <c r="B94" s="580"/>
      <c r="C94" s="507" t="s">
        <v>278</v>
      </c>
      <c r="D94" s="508" t="s">
        <v>279</v>
      </c>
      <c r="E94" s="500">
        <v>0.85499999999999998</v>
      </c>
      <c r="F94" s="558"/>
      <c r="G94" s="557"/>
      <c r="H94" s="557"/>
      <c r="I94" s="557"/>
      <c r="J94" s="557"/>
      <c r="K94" s="557"/>
      <c r="L94" s="557"/>
      <c r="M94" s="584"/>
    </row>
    <row r="95" spans="2:13" x14ac:dyDescent="0.25">
      <c r="B95" s="580"/>
      <c r="C95" s="507" t="s">
        <v>301</v>
      </c>
      <c r="D95" s="508" t="s">
        <v>302</v>
      </c>
      <c r="E95" s="500">
        <v>0.46800000000000003</v>
      </c>
      <c r="F95" s="558"/>
      <c r="G95" s="557"/>
      <c r="H95" s="557"/>
      <c r="I95" s="557"/>
      <c r="J95" s="557"/>
      <c r="K95" s="557"/>
      <c r="L95" s="557"/>
      <c r="M95" s="584"/>
    </row>
    <row r="96" spans="2:13" x14ac:dyDescent="0.25">
      <c r="B96" s="580"/>
      <c r="C96" s="507" t="s">
        <v>286</v>
      </c>
      <c r="D96" s="508" t="s">
        <v>287</v>
      </c>
      <c r="E96" s="500">
        <v>0.51100000000000001</v>
      </c>
      <c r="F96" s="558"/>
      <c r="G96" s="557"/>
      <c r="H96" s="557"/>
      <c r="I96" s="557"/>
      <c r="J96" s="557"/>
      <c r="K96" s="557"/>
      <c r="L96" s="557"/>
      <c r="M96" s="584"/>
    </row>
    <row r="97" spans="2:13" x14ac:dyDescent="0.25">
      <c r="B97" s="580"/>
      <c r="C97" s="507" t="s">
        <v>343</v>
      </c>
      <c r="D97" s="508" t="s">
        <v>344</v>
      </c>
      <c r="E97" s="500">
        <v>7.4999999999999997E-2</v>
      </c>
      <c r="F97" s="558"/>
      <c r="G97" s="557"/>
      <c r="H97" s="557"/>
      <c r="I97" s="557"/>
      <c r="J97" s="557"/>
      <c r="K97" s="557"/>
      <c r="L97" s="557"/>
      <c r="M97" s="584"/>
    </row>
    <row r="98" spans="2:13" x14ac:dyDescent="0.25">
      <c r="B98" s="580"/>
      <c r="C98" s="507" t="s">
        <v>325</v>
      </c>
      <c r="D98" s="508" t="s">
        <v>326</v>
      </c>
      <c r="E98" s="500">
        <v>3.5000000000000003E-2</v>
      </c>
      <c r="F98" s="558"/>
      <c r="G98" s="557"/>
      <c r="H98" s="557"/>
      <c r="I98" s="557"/>
      <c r="J98" s="557"/>
      <c r="K98" s="557"/>
      <c r="L98" s="557"/>
      <c r="M98" s="584"/>
    </row>
    <row r="99" spans="2:13" x14ac:dyDescent="0.25">
      <c r="B99" s="580"/>
      <c r="C99" s="507" t="s">
        <v>309</v>
      </c>
      <c r="D99" s="508" t="s">
        <v>310</v>
      </c>
      <c r="E99" s="500">
        <v>4.5999999999999999E-2</v>
      </c>
      <c r="F99" s="558"/>
      <c r="G99" s="557"/>
      <c r="H99" s="557"/>
      <c r="I99" s="557"/>
      <c r="J99" s="557"/>
      <c r="K99" s="557"/>
      <c r="L99" s="557"/>
      <c r="M99" s="584"/>
    </row>
    <row r="100" spans="2:13" x14ac:dyDescent="0.25">
      <c r="B100" s="580"/>
      <c r="C100" s="507" t="s">
        <v>185</v>
      </c>
      <c r="D100" s="508" t="s">
        <v>186</v>
      </c>
      <c r="E100" s="500">
        <v>0.94299999999999995</v>
      </c>
      <c r="F100" s="558"/>
      <c r="G100" s="557"/>
      <c r="H100" s="557"/>
      <c r="I100" s="557"/>
      <c r="J100" s="557"/>
      <c r="K100" s="557"/>
      <c r="L100" s="557"/>
      <c r="M100" s="584"/>
    </row>
    <row r="101" spans="2:13" x14ac:dyDescent="0.25">
      <c r="B101" s="580"/>
      <c r="C101" s="507" t="s">
        <v>242</v>
      </c>
      <c r="D101" s="508" t="s">
        <v>243</v>
      </c>
      <c r="E101" s="500">
        <v>0.83099999999999996</v>
      </c>
      <c r="F101" s="558"/>
      <c r="G101" s="557"/>
      <c r="H101" s="557"/>
      <c r="I101" s="557"/>
      <c r="J101" s="557"/>
      <c r="K101" s="557"/>
      <c r="L101" s="557"/>
      <c r="M101" s="584"/>
    </row>
    <row r="102" spans="2:13" x14ac:dyDescent="0.25">
      <c r="B102" s="580"/>
      <c r="C102" s="507" t="s">
        <v>256</v>
      </c>
      <c r="D102" s="508" t="s">
        <v>257</v>
      </c>
      <c r="E102" s="500">
        <v>1.3240000000000001</v>
      </c>
      <c r="F102" s="558"/>
      <c r="G102" s="557"/>
      <c r="H102" s="557"/>
      <c r="I102" s="557"/>
      <c r="J102" s="557"/>
      <c r="K102" s="557"/>
      <c r="L102" s="557"/>
      <c r="M102" s="584"/>
    </row>
    <row r="103" spans="2:13" x14ac:dyDescent="0.25">
      <c r="B103" s="580"/>
      <c r="C103" s="507" t="s">
        <v>181</v>
      </c>
      <c r="D103" s="508" t="s">
        <v>182</v>
      </c>
      <c r="E103" s="500">
        <v>0.66100000000000003</v>
      </c>
      <c r="F103" s="558"/>
      <c r="G103" s="557"/>
      <c r="H103" s="557"/>
      <c r="I103" s="557"/>
      <c r="J103" s="557"/>
      <c r="K103" s="557"/>
      <c r="L103" s="557"/>
      <c r="M103" s="584"/>
    </row>
    <row r="104" spans="2:13" x14ac:dyDescent="0.25">
      <c r="B104" s="580"/>
      <c r="C104" s="507" t="s">
        <v>252</v>
      </c>
      <c r="D104" s="508" t="s">
        <v>253</v>
      </c>
      <c r="E104" s="500">
        <v>0.74399999999999999</v>
      </c>
      <c r="F104" s="558"/>
      <c r="G104" s="557"/>
      <c r="H104" s="557"/>
      <c r="I104" s="557"/>
      <c r="J104" s="557"/>
      <c r="K104" s="557"/>
      <c r="L104" s="557"/>
      <c r="M104" s="584"/>
    </row>
    <row r="105" spans="2:13" x14ac:dyDescent="0.25">
      <c r="B105" s="580"/>
      <c r="C105" s="507" t="s">
        <v>248</v>
      </c>
      <c r="D105" s="508" t="s">
        <v>249</v>
      </c>
      <c r="E105" s="500">
        <v>0.80800000000000005</v>
      </c>
      <c r="F105" s="558"/>
      <c r="G105" s="557"/>
      <c r="H105" s="557"/>
      <c r="I105" s="557"/>
      <c r="J105" s="557"/>
      <c r="K105" s="557"/>
      <c r="L105" s="557"/>
      <c r="M105" s="584"/>
    </row>
    <row r="106" spans="2:13" x14ac:dyDescent="0.25">
      <c r="B106" s="580"/>
      <c r="C106" s="507" t="s">
        <v>282</v>
      </c>
      <c r="D106" s="508" t="s">
        <v>283</v>
      </c>
      <c r="E106" s="510">
        <v>-5.6000000000000001E-2</v>
      </c>
      <c r="F106" s="558"/>
      <c r="G106" s="557"/>
      <c r="H106" s="557"/>
      <c r="I106" s="557"/>
      <c r="J106" s="557"/>
      <c r="K106" s="557"/>
      <c r="L106" s="557"/>
      <c r="M106" s="584"/>
    </row>
    <row r="107" spans="2:13" x14ac:dyDescent="0.25">
      <c r="B107" s="580"/>
      <c r="C107" s="507" t="s">
        <v>250</v>
      </c>
      <c r="D107" s="508" t="s">
        <v>251</v>
      </c>
      <c r="E107" s="500">
        <v>0.71299999999999997</v>
      </c>
      <c r="F107" s="558"/>
      <c r="G107" s="557"/>
      <c r="H107" s="557"/>
      <c r="I107" s="557"/>
      <c r="J107" s="557"/>
      <c r="K107" s="557"/>
      <c r="L107" s="557"/>
      <c r="M107" s="584"/>
    </row>
    <row r="108" spans="2:13" x14ac:dyDescent="0.25">
      <c r="B108" s="580"/>
      <c r="C108" s="507" t="s">
        <v>319</v>
      </c>
      <c r="D108" s="508" t="s">
        <v>320</v>
      </c>
      <c r="E108" s="500">
        <v>0.45200000000000001</v>
      </c>
      <c r="F108" s="558"/>
      <c r="G108" s="557"/>
      <c r="H108" s="557"/>
      <c r="I108" s="557"/>
      <c r="J108" s="557"/>
      <c r="K108" s="557"/>
      <c r="L108" s="557"/>
      <c r="M108" s="584"/>
    </row>
    <row r="109" spans="2:13" x14ac:dyDescent="0.25">
      <c r="B109" s="580"/>
      <c r="C109" s="507" t="s">
        <v>246</v>
      </c>
      <c r="D109" s="508" t="s">
        <v>247</v>
      </c>
      <c r="E109" s="500">
        <v>0.94799999999999995</v>
      </c>
      <c r="F109" s="558"/>
      <c r="G109" s="557"/>
      <c r="H109" s="557"/>
      <c r="I109" s="557"/>
      <c r="J109" s="557"/>
      <c r="K109" s="557"/>
      <c r="L109" s="557"/>
      <c r="M109" s="584"/>
    </row>
    <row r="110" spans="2:13" x14ac:dyDescent="0.25">
      <c r="B110" s="580"/>
      <c r="C110" s="507" t="s">
        <v>169</v>
      </c>
      <c r="D110" s="508" t="s">
        <v>170</v>
      </c>
      <c r="E110" s="500">
        <v>0.6</v>
      </c>
      <c r="F110" s="558"/>
      <c r="G110" s="557"/>
      <c r="H110" s="557"/>
      <c r="I110" s="557"/>
      <c r="J110" s="557"/>
      <c r="K110" s="557"/>
      <c r="L110" s="557"/>
      <c r="M110" s="584"/>
    </row>
    <row r="111" spans="2:13" x14ac:dyDescent="0.25">
      <c r="B111" s="580"/>
      <c r="C111" s="507" t="s">
        <v>217</v>
      </c>
      <c r="D111" s="508" t="s">
        <v>218</v>
      </c>
      <c r="E111" s="500">
        <v>1.1299999999999999</v>
      </c>
      <c r="F111" s="558"/>
      <c r="G111" s="557"/>
      <c r="H111" s="557"/>
      <c r="I111" s="557"/>
      <c r="J111" s="557"/>
      <c r="K111" s="557"/>
      <c r="L111" s="557"/>
      <c r="M111" s="584"/>
    </row>
    <row r="112" spans="2:13" x14ac:dyDescent="0.25">
      <c r="B112" s="580"/>
      <c r="C112" s="507" t="s">
        <v>219</v>
      </c>
      <c r="D112" s="508" t="s">
        <v>220</v>
      </c>
      <c r="E112" s="500">
        <v>0.99</v>
      </c>
      <c r="F112" s="558"/>
      <c r="G112" s="557"/>
      <c r="H112" s="557"/>
      <c r="I112" s="557"/>
      <c r="J112" s="557"/>
      <c r="K112" s="557"/>
      <c r="L112" s="557"/>
      <c r="M112" s="584"/>
    </row>
    <row r="113" spans="2:13" x14ac:dyDescent="0.25">
      <c r="B113" s="580"/>
      <c r="C113" s="507" t="s">
        <v>179</v>
      </c>
      <c r="D113" s="508" t="s">
        <v>180</v>
      </c>
      <c r="E113" s="500">
        <v>0.77800000000000002</v>
      </c>
      <c r="F113" s="558"/>
      <c r="G113" s="557"/>
      <c r="H113" s="557"/>
      <c r="I113" s="557"/>
      <c r="J113" s="557"/>
      <c r="K113" s="557"/>
      <c r="L113" s="557"/>
      <c r="M113" s="584"/>
    </row>
    <row r="114" spans="2:13" x14ac:dyDescent="0.25">
      <c r="B114" s="580"/>
      <c r="C114" s="507" t="s">
        <v>329</v>
      </c>
      <c r="D114" s="508" t="s">
        <v>330</v>
      </c>
      <c r="E114" s="500">
        <v>0.51800000000000002</v>
      </c>
      <c r="F114" s="558"/>
      <c r="G114" s="557"/>
      <c r="H114" s="557"/>
      <c r="I114" s="557"/>
      <c r="J114" s="557"/>
      <c r="K114" s="557"/>
      <c r="L114" s="557"/>
      <c r="M114" s="584"/>
    </row>
    <row r="115" spans="2:13" x14ac:dyDescent="0.25">
      <c r="B115" s="580"/>
      <c r="C115" s="507" t="s">
        <v>288</v>
      </c>
      <c r="D115" s="508" t="s">
        <v>289</v>
      </c>
      <c r="E115" s="500">
        <v>0.84299999999999997</v>
      </c>
      <c r="F115" s="558"/>
      <c r="G115" s="557"/>
      <c r="H115" s="557"/>
      <c r="I115" s="557"/>
      <c r="J115" s="557"/>
      <c r="K115" s="557"/>
      <c r="L115" s="557"/>
      <c r="M115" s="584"/>
    </row>
    <row r="116" spans="2:13" x14ac:dyDescent="0.25">
      <c r="B116" s="580"/>
      <c r="C116" s="507" t="s">
        <v>315</v>
      </c>
      <c r="D116" s="508" t="s">
        <v>316</v>
      </c>
      <c r="E116" s="500">
        <v>0.29099999999999998</v>
      </c>
      <c r="F116" s="558"/>
      <c r="G116" s="557"/>
      <c r="H116" s="557"/>
      <c r="I116" s="557"/>
      <c r="J116" s="557"/>
      <c r="K116" s="557"/>
      <c r="L116" s="557"/>
      <c r="M116" s="584"/>
    </row>
    <row r="117" spans="2:13" x14ac:dyDescent="0.25">
      <c r="B117" s="580"/>
      <c r="C117" s="507" t="s">
        <v>244</v>
      </c>
      <c r="D117" s="508" t="s">
        <v>245</v>
      </c>
      <c r="E117" s="500">
        <v>0.08</v>
      </c>
      <c r="F117" s="558"/>
      <c r="G117" s="557"/>
      <c r="H117" s="557"/>
      <c r="I117" s="557"/>
      <c r="J117" s="557"/>
      <c r="K117" s="557"/>
      <c r="L117" s="557"/>
      <c r="M117" s="584"/>
    </row>
    <row r="118" spans="2:13" x14ac:dyDescent="0.25">
      <c r="B118" s="580"/>
      <c r="C118" s="507" t="s">
        <v>258</v>
      </c>
      <c r="D118" s="508" t="s">
        <v>259</v>
      </c>
      <c r="E118" s="500">
        <v>1.2989999999999999</v>
      </c>
      <c r="F118" s="558"/>
      <c r="G118" s="557"/>
      <c r="H118" s="557"/>
      <c r="I118" s="557"/>
      <c r="J118" s="557"/>
      <c r="K118" s="557"/>
      <c r="L118" s="557"/>
      <c r="M118" s="584"/>
    </row>
    <row r="119" spans="2:13" x14ac:dyDescent="0.25">
      <c r="B119" s="580"/>
      <c r="C119" s="507" t="s">
        <v>211</v>
      </c>
      <c r="D119" s="508" t="s">
        <v>212</v>
      </c>
      <c r="E119" s="500">
        <v>0.73199999999999998</v>
      </c>
      <c r="F119" s="558"/>
      <c r="G119" s="557"/>
      <c r="H119" s="557"/>
      <c r="I119" s="557"/>
      <c r="J119" s="557"/>
      <c r="K119" s="557"/>
      <c r="L119" s="557"/>
      <c r="M119" s="584"/>
    </row>
    <row r="120" spans="2:13" x14ac:dyDescent="0.25">
      <c r="B120" s="580"/>
      <c r="C120" s="507" t="s">
        <v>240</v>
      </c>
      <c r="D120" s="508" t="s">
        <v>241</v>
      </c>
      <c r="E120" s="500">
        <v>0.77100000000000002</v>
      </c>
      <c r="F120" s="558"/>
      <c r="G120" s="557"/>
      <c r="H120" s="557"/>
      <c r="I120" s="557"/>
      <c r="J120" s="557"/>
      <c r="K120" s="557"/>
      <c r="L120" s="557"/>
      <c r="M120" s="584"/>
    </row>
    <row r="121" spans="2:13" x14ac:dyDescent="0.25">
      <c r="B121" s="580"/>
      <c r="C121" s="507" t="s">
        <v>307</v>
      </c>
      <c r="D121" s="508" t="s">
        <v>308</v>
      </c>
      <c r="E121" s="500">
        <v>0.622</v>
      </c>
      <c r="F121" s="558"/>
      <c r="G121" s="557"/>
      <c r="H121" s="557"/>
      <c r="I121" s="557"/>
      <c r="J121" s="557"/>
      <c r="K121" s="557"/>
      <c r="L121" s="557"/>
      <c r="M121" s="584"/>
    </row>
    <row r="122" spans="2:13" x14ac:dyDescent="0.25">
      <c r="B122" s="580"/>
      <c r="C122" s="507" t="s">
        <v>290</v>
      </c>
      <c r="D122" s="508" t="s">
        <v>291</v>
      </c>
      <c r="E122" s="500">
        <v>0.52900000000000003</v>
      </c>
      <c r="F122" s="558"/>
      <c r="G122" s="557"/>
      <c r="H122" s="557"/>
      <c r="I122" s="557"/>
      <c r="J122" s="557"/>
      <c r="K122" s="557"/>
      <c r="L122" s="557"/>
      <c r="M122" s="584"/>
    </row>
    <row r="123" spans="2:13" x14ac:dyDescent="0.25">
      <c r="B123" s="580"/>
      <c r="C123" s="507" t="s">
        <v>223</v>
      </c>
      <c r="D123" s="508" t="s">
        <v>224</v>
      </c>
      <c r="E123" s="500">
        <v>1.04</v>
      </c>
      <c r="F123" s="558"/>
      <c r="G123" s="557"/>
      <c r="H123" s="557"/>
      <c r="I123" s="557"/>
      <c r="J123" s="557"/>
      <c r="K123" s="557"/>
      <c r="L123" s="557"/>
      <c r="M123" s="584"/>
    </row>
    <row r="124" spans="2:13" x14ac:dyDescent="0.25">
      <c r="B124" s="580"/>
      <c r="C124" s="507" t="s">
        <v>313</v>
      </c>
      <c r="D124" s="508" t="s">
        <v>314</v>
      </c>
      <c r="E124" s="500">
        <v>0.48099999999999998</v>
      </c>
      <c r="F124" s="558"/>
      <c r="G124" s="557"/>
      <c r="H124" s="557"/>
      <c r="I124" s="557"/>
      <c r="J124" s="557"/>
      <c r="K124" s="557"/>
      <c r="L124" s="557"/>
      <c r="M124" s="584"/>
    </row>
    <row r="125" spans="2:13" x14ac:dyDescent="0.25">
      <c r="B125" s="580"/>
      <c r="C125" s="507" t="s">
        <v>173</v>
      </c>
      <c r="D125" s="508" t="s">
        <v>174</v>
      </c>
      <c r="E125" s="500">
        <v>0.624</v>
      </c>
      <c r="F125" s="558"/>
      <c r="G125" s="557"/>
      <c r="H125" s="557"/>
      <c r="I125" s="557"/>
      <c r="J125" s="557"/>
      <c r="K125" s="557"/>
      <c r="L125" s="557"/>
      <c r="M125" s="584"/>
    </row>
    <row r="126" spans="2:13" x14ac:dyDescent="0.25">
      <c r="B126" s="580"/>
      <c r="C126" s="507" t="s">
        <v>221</v>
      </c>
      <c r="D126" s="508" t="s">
        <v>222</v>
      </c>
      <c r="E126" s="500">
        <v>0.95</v>
      </c>
      <c r="F126" s="558"/>
      <c r="G126" s="557"/>
      <c r="H126" s="557"/>
      <c r="I126" s="557"/>
      <c r="J126" s="557"/>
      <c r="K126" s="557"/>
      <c r="L126" s="557"/>
      <c r="M126" s="584"/>
    </row>
    <row r="127" spans="2:13" x14ac:dyDescent="0.25">
      <c r="B127" s="580"/>
      <c r="C127" s="507" t="s">
        <v>177</v>
      </c>
      <c r="D127" s="508" t="s">
        <v>178</v>
      </c>
      <c r="E127" s="500">
        <v>0.64800000000000002</v>
      </c>
      <c r="F127" s="558"/>
      <c r="G127" s="557"/>
      <c r="H127" s="557"/>
      <c r="I127" s="557"/>
      <c r="J127" s="557"/>
      <c r="K127" s="557"/>
      <c r="L127" s="557"/>
      <c r="M127" s="584"/>
    </row>
    <row r="128" spans="2:13" x14ac:dyDescent="0.25">
      <c r="B128" s="580"/>
      <c r="C128" s="507" t="s">
        <v>280</v>
      </c>
      <c r="D128" s="508" t="s">
        <v>281</v>
      </c>
      <c r="E128" s="500">
        <v>0.88700000000000001</v>
      </c>
      <c r="F128" s="558"/>
      <c r="G128" s="557"/>
      <c r="H128" s="557"/>
      <c r="I128" s="557"/>
      <c r="J128" s="557"/>
      <c r="K128" s="557"/>
      <c r="L128" s="557"/>
      <c r="M128" s="584"/>
    </row>
    <row r="129" spans="2:13" x14ac:dyDescent="0.25">
      <c r="B129" s="580"/>
      <c r="C129" s="507" t="s">
        <v>209</v>
      </c>
      <c r="D129" s="508" t="s">
        <v>210</v>
      </c>
      <c r="E129" s="500">
        <v>0.59499999999999997</v>
      </c>
      <c r="F129" s="558"/>
      <c r="G129" s="557"/>
      <c r="H129" s="557"/>
      <c r="I129" s="557"/>
      <c r="J129" s="557"/>
      <c r="K129" s="557"/>
      <c r="L129" s="557"/>
      <c r="M129" s="584"/>
    </row>
    <row r="130" spans="2:13" x14ac:dyDescent="0.25">
      <c r="B130" s="580"/>
      <c r="C130" s="507" t="s">
        <v>193</v>
      </c>
      <c r="D130" s="508" t="s">
        <v>194</v>
      </c>
      <c r="E130" s="500">
        <v>0.68200000000000005</v>
      </c>
      <c r="F130" s="558"/>
      <c r="G130" s="557"/>
      <c r="H130" s="557"/>
      <c r="I130" s="557"/>
      <c r="J130" s="557"/>
      <c r="K130" s="557"/>
      <c r="L130" s="557"/>
      <c r="M130" s="584"/>
    </row>
    <row r="131" spans="2:13" x14ac:dyDescent="0.25">
      <c r="B131" s="580"/>
      <c r="C131" s="507" t="s">
        <v>327</v>
      </c>
      <c r="D131" s="508" t="s">
        <v>328</v>
      </c>
      <c r="E131" s="500">
        <v>0.629</v>
      </c>
      <c r="F131" s="558"/>
      <c r="G131" s="557"/>
      <c r="H131" s="557"/>
      <c r="I131" s="557"/>
      <c r="J131" s="557"/>
      <c r="K131" s="557"/>
      <c r="L131" s="557"/>
      <c r="M131" s="584"/>
    </row>
    <row r="132" spans="2:13" x14ac:dyDescent="0.25">
      <c r="B132" s="580"/>
      <c r="C132" s="507" t="s">
        <v>197</v>
      </c>
      <c r="D132" s="508" t="s">
        <v>198</v>
      </c>
      <c r="E132" s="500">
        <v>0.69299999999999995</v>
      </c>
      <c r="F132" s="558"/>
      <c r="G132" s="557"/>
      <c r="H132" s="557"/>
      <c r="I132" s="557"/>
      <c r="J132" s="557"/>
      <c r="K132" s="557"/>
      <c r="L132" s="557"/>
      <c r="M132" s="584"/>
    </row>
    <row r="133" spans="2:13" x14ac:dyDescent="0.25">
      <c r="B133" s="580"/>
      <c r="C133" s="507" t="s">
        <v>207</v>
      </c>
      <c r="D133" s="508" t="s">
        <v>208</v>
      </c>
      <c r="E133" s="500">
        <v>0.57699999999999996</v>
      </c>
      <c r="F133" s="558"/>
      <c r="G133" s="557"/>
      <c r="H133" s="557"/>
      <c r="I133" s="557"/>
      <c r="J133" s="557"/>
      <c r="K133" s="557"/>
      <c r="L133" s="557"/>
      <c r="M133" s="584"/>
    </row>
    <row r="134" spans="2:13" x14ac:dyDescent="0.25">
      <c r="B134" s="580"/>
      <c r="C134" s="507" t="s">
        <v>215</v>
      </c>
      <c r="D134" s="508" t="s">
        <v>216</v>
      </c>
      <c r="E134" s="500">
        <v>1.08</v>
      </c>
      <c r="F134" s="558"/>
      <c r="G134" s="557"/>
      <c r="H134" s="557"/>
      <c r="I134" s="557"/>
      <c r="J134" s="557"/>
      <c r="K134" s="557"/>
      <c r="L134" s="557"/>
      <c r="M134" s="584"/>
    </row>
    <row r="135" spans="2:13" x14ac:dyDescent="0.25">
      <c r="B135" s="580"/>
      <c r="C135" s="507" t="s">
        <v>331</v>
      </c>
      <c r="D135" s="508" t="s">
        <v>332</v>
      </c>
      <c r="E135" s="500">
        <v>0.26300000000000001</v>
      </c>
      <c r="F135" s="558"/>
      <c r="G135" s="557"/>
      <c r="H135" s="557"/>
      <c r="I135" s="557"/>
      <c r="J135" s="557"/>
      <c r="K135" s="557"/>
      <c r="L135" s="557"/>
      <c r="M135" s="584"/>
    </row>
    <row r="136" spans="2:13" x14ac:dyDescent="0.25">
      <c r="B136" s="580"/>
      <c r="C136" s="507" t="s">
        <v>274</v>
      </c>
      <c r="D136" s="508" t="s">
        <v>275</v>
      </c>
      <c r="E136" s="500">
        <v>0.755</v>
      </c>
      <c r="F136" s="558"/>
      <c r="G136" s="557"/>
      <c r="H136" s="557"/>
      <c r="I136" s="557"/>
      <c r="J136" s="557"/>
      <c r="K136" s="557"/>
      <c r="L136" s="557"/>
      <c r="M136" s="584"/>
    </row>
    <row r="137" spans="2:13" x14ac:dyDescent="0.25">
      <c r="B137" s="580"/>
      <c r="C137" s="507" t="s">
        <v>305</v>
      </c>
      <c r="D137" s="508" t="s">
        <v>306</v>
      </c>
      <c r="E137" s="500">
        <v>0.61699999999999999</v>
      </c>
      <c r="F137" s="558"/>
      <c r="G137" s="557"/>
      <c r="H137" s="557"/>
      <c r="I137" s="557"/>
      <c r="J137" s="557"/>
      <c r="K137" s="557"/>
      <c r="L137" s="557"/>
      <c r="M137" s="584"/>
    </row>
    <row r="138" spans="2:13" x14ac:dyDescent="0.25">
      <c r="B138" s="580"/>
      <c r="C138" s="507" t="s">
        <v>276</v>
      </c>
      <c r="D138" s="508" t="s">
        <v>277</v>
      </c>
      <c r="E138" s="500">
        <v>0.77</v>
      </c>
      <c r="F138" s="558"/>
      <c r="G138" s="557"/>
      <c r="H138" s="557"/>
      <c r="I138" s="557"/>
      <c r="J138" s="557"/>
      <c r="K138" s="557"/>
      <c r="L138" s="557"/>
      <c r="M138" s="584"/>
    </row>
    <row r="139" spans="2:13" x14ac:dyDescent="0.25">
      <c r="B139" s="580"/>
      <c r="C139" s="507" t="s">
        <v>317</v>
      </c>
      <c r="D139" s="508" t="s">
        <v>318</v>
      </c>
      <c r="E139" s="500">
        <v>0.51100000000000001</v>
      </c>
      <c r="F139" s="558"/>
      <c r="G139" s="557"/>
      <c r="H139" s="557"/>
      <c r="I139" s="557"/>
      <c r="J139" s="557"/>
      <c r="K139" s="557"/>
      <c r="L139" s="557"/>
      <c r="M139" s="584"/>
    </row>
    <row r="140" spans="2:13" x14ac:dyDescent="0.25">
      <c r="B140" s="580"/>
      <c r="C140" s="507" t="s">
        <v>201</v>
      </c>
      <c r="D140" s="508" t="s">
        <v>202</v>
      </c>
      <c r="E140" s="500">
        <v>0.68</v>
      </c>
      <c r="F140" s="558"/>
      <c r="G140" s="557"/>
      <c r="H140" s="557"/>
      <c r="I140" s="557"/>
      <c r="J140" s="557"/>
      <c r="K140" s="557"/>
      <c r="L140" s="557"/>
      <c r="M140" s="584"/>
    </row>
    <row r="141" spans="2:13" x14ac:dyDescent="0.25">
      <c r="B141" s="580"/>
      <c r="C141" s="507" t="s">
        <v>341</v>
      </c>
      <c r="D141" s="508" t="s">
        <v>342</v>
      </c>
      <c r="E141" s="500">
        <v>3.5000000000000003E-2</v>
      </c>
      <c r="F141" s="558"/>
      <c r="G141" s="557"/>
      <c r="H141" s="557"/>
      <c r="I141" s="557"/>
      <c r="J141" s="557"/>
      <c r="K141" s="557"/>
      <c r="L141" s="557"/>
      <c r="M141" s="584"/>
    </row>
    <row r="142" spans="2:13" x14ac:dyDescent="0.25">
      <c r="B142" s="580"/>
      <c r="C142" s="507" t="s">
        <v>311</v>
      </c>
      <c r="D142" s="508" t="s">
        <v>312</v>
      </c>
      <c r="E142" s="500">
        <v>0.32800000000000001</v>
      </c>
      <c r="F142" s="558"/>
      <c r="G142" s="557"/>
      <c r="H142" s="557"/>
      <c r="I142" s="557"/>
      <c r="J142" s="557"/>
      <c r="K142" s="557"/>
      <c r="L142" s="557"/>
      <c r="M142" s="584"/>
    </row>
    <row r="143" spans="2:13" x14ac:dyDescent="0.25">
      <c r="B143" s="580"/>
      <c r="C143" s="507" t="s">
        <v>187</v>
      </c>
      <c r="D143" s="508" t="s">
        <v>188</v>
      </c>
      <c r="E143" s="500">
        <v>0.77</v>
      </c>
      <c r="F143" s="558"/>
      <c r="G143" s="557"/>
      <c r="H143" s="557"/>
      <c r="I143" s="557"/>
      <c r="J143" s="557"/>
      <c r="K143" s="557"/>
      <c r="L143" s="557"/>
      <c r="M143" s="584"/>
    </row>
    <row r="144" spans="2:13" x14ac:dyDescent="0.25">
      <c r="B144" s="580"/>
      <c r="C144" s="507" t="s">
        <v>349</v>
      </c>
      <c r="D144" s="508" t="s">
        <v>350</v>
      </c>
      <c r="E144" s="500">
        <v>0.17199999999999999</v>
      </c>
      <c r="F144" s="558"/>
      <c r="G144" s="557"/>
      <c r="H144" s="557"/>
      <c r="I144" s="557"/>
      <c r="J144" s="557"/>
      <c r="K144" s="557"/>
      <c r="L144" s="557"/>
      <c r="M144" s="584"/>
    </row>
    <row r="145" spans="2:13" x14ac:dyDescent="0.25">
      <c r="B145" s="580"/>
      <c r="C145" s="498" t="s">
        <v>351</v>
      </c>
      <c r="D145" s="508" t="s">
        <v>352</v>
      </c>
      <c r="E145" s="500">
        <v>0.10100000000000001</v>
      </c>
      <c r="F145" s="558"/>
      <c r="G145" s="557"/>
      <c r="H145" s="557"/>
      <c r="I145" s="557"/>
      <c r="J145" s="557"/>
      <c r="K145" s="557"/>
      <c r="L145" s="557"/>
      <c r="M145" s="584"/>
    </row>
    <row r="146" spans="2:13" x14ac:dyDescent="0.25">
      <c r="B146" s="580"/>
      <c r="C146" s="507" t="s">
        <v>229</v>
      </c>
      <c r="D146" s="508" t="s">
        <v>230</v>
      </c>
      <c r="E146" s="500">
        <v>0.77</v>
      </c>
      <c r="F146" s="558"/>
      <c r="G146" s="557"/>
      <c r="H146" s="557"/>
      <c r="I146" s="557"/>
      <c r="J146" s="557"/>
      <c r="K146" s="557"/>
      <c r="L146" s="557"/>
      <c r="M146" s="584"/>
    </row>
    <row r="147" spans="2:13" x14ac:dyDescent="0.25">
      <c r="B147" s="580"/>
      <c r="C147" s="507" t="s">
        <v>254</v>
      </c>
      <c r="D147" s="508" t="s">
        <v>255</v>
      </c>
      <c r="E147" s="500">
        <v>1.2450000000000001</v>
      </c>
      <c r="F147" s="558"/>
      <c r="G147" s="557"/>
      <c r="H147" s="557"/>
      <c r="I147" s="557"/>
      <c r="J147" s="557"/>
      <c r="K147" s="557"/>
      <c r="L147" s="557"/>
      <c r="M147" s="584"/>
    </row>
    <row r="148" spans="2:13" x14ac:dyDescent="0.25">
      <c r="B148" s="580"/>
      <c r="C148" s="507" t="s">
        <v>227</v>
      </c>
      <c r="D148" s="508" t="s">
        <v>228</v>
      </c>
      <c r="E148" s="500">
        <v>1.18</v>
      </c>
      <c r="F148" s="558"/>
      <c r="G148" s="557"/>
      <c r="H148" s="557"/>
      <c r="I148" s="557"/>
      <c r="J148" s="557"/>
      <c r="K148" s="557"/>
      <c r="L148" s="557"/>
      <c r="M148" s="584"/>
    </row>
    <row r="149" spans="2:13" x14ac:dyDescent="0.25">
      <c r="B149" s="580"/>
      <c r="C149" s="507" t="s">
        <v>191</v>
      </c>
      <c r="D149" s="508" t="s">
        <v>192</v>
      </c>
      <c r="E149" s="500">
        <v>0.73</v>
      </c>
      <c r="F149" s="558"/>
      <c r="G149" s="557"/>
      <c r="H149" s="557"/>
      <c r="I149" s="557"/>
      <c r="J149" s="557"/>
      <c r="K149" s="557"/>
      <c r="L149" s="557"/>
      <c r="M149" s="584"/>
    </row>
    <row r="150" spans="2:13" x14ac:dyDescent="0.25">
      <c r="B150" s="580"/>
      <c r="C150" s="507" t="s">
        <v>189</v>
      </c>
      <c r="D150" s="508" t="s">
        <v>190</v>
      </c>
      <c r="E150" s="500">
        <v>0.71899999999999997</v>
      </c>
      <c r="F150" s="558"/>
      <c r="G150" s="557"/>
      <c r="H150" s="557"/>
      <c r="I150" s="557"/>
      <c r="J150" s="557"/>
      <c r="K150" s="557"/>
      <c r="L150" s="557"/>
      <c r="M150" s="584"/>
    </row>
    <row r="151" spans="2:13" x14ac:dyDescent="0.25">
      <c r="B151" s="580"/>
      <c r="C151" s="507" t="s">
        <v>195</v>
      </c>
      <c r="D151" s="508" t="s">
        <v>196</v>
      </c>
      <c r="E151" s="500">
        <v>0.69399999999999995</v>
      </c>
      <c r="F151" s="558"/>
      <c r="G151" s="557"/>
      <c r="H151" s="557"/>
      <c r="I151" s="557"/>
      <c r="J151" s="557"/>
      <c r="K151" s="557"/>
      <c r="L151" s="557"/>
      <c r="M151" s="584"/>
    </row>
    <row r="152" spans="2:13" x14ac:dyDescent="0.25">
      <c r="B152" s="580"/>
      <c r="C152" s="507" t="s">
        <v>260</v>
      </c>
      <c r="D152" s="508" t="s">
        <v>261</v>
      </c>
      <c r="E152" s="500">
        <v>0.84599999999999997</v>
      </c>
      <c r="F152" s="558"/>
      <c r="G152" s="557"/>
      <c r="H152" s="557"/>
      <c r="I152" s="557"/>
      <c r="J152" s="557"/>
      <c r="K152" s="557"/>
      <c r="L152" s="557"/>
      <c r="M152" s="584"/>
    </row>
    <row r="153" spans="2:13" x14ac:dyDescent="0.25">
      <c r="B153" s="580"/>
      <c r="C153" s="507" t="s">
        <v>262</v>
      </c>
      <c r="D153" s="508" t="s">
        <v>263</v>
      </c>
      <c r="E153" s="500">
        <v>0.98499999999999999</v>
      </c>
      <c r="F153" s="558"/>
      <c r="G153" s="557"/>
      <c r="H153" s="557"/>
      <c r="I153" s="557"/>
      <c r="J153" s="557"/>
      <c r="K153" s="557"/>
      <c r="L153" s="557"/>
      <c r="M153" s="584"/>
    </row>
    <row r="154" spans="2:13" x14ac:dyDescent="0.25">
      <c r="B154" s="580"/>
      <c r="C154" s="507" t="s">
        <v>264</v>
      </c>
      <c r="D154" s="508" t="s">
        <v>265</v>
      </c>
      <c r="E154" s="500">
        <v>0.93500000000000005</v>
      </c>
      <c r="F154" s="558"/>
      <c r="G154" s="557"/>
      <c r="H154" s="557"/>
      <c r="I154" s="557"/>
      <c r="J154" s="557"/>
      <c r="K154" s="557"/>
      <c r="L154" s="557"/>
      <c r="M154" s="584"/>
    </row>
    <row r="155" spans="2:13" x14ac:dyDescent="0.25">
      <c r="B155" s="580"/>
      <c r="C155" s="507" t="s">
        <v>358</v>
      </c>
      <c r="D155" s="508" t="s">
        <v>359</v>
      </c>
      <c r="E155" s="500">
        <v>2.7E-2</v>
      </c>
      <c r="F155" s="558"/>
      <c r="G155" s="557"/>
      <c r="H155" s="557"/>
      <c r="I155" s="557"/>
      <c r="J155" s="557"/>
      <c r="K155" s="557"/>
      <c r="L155" s="557"/>
      <c r="M155" s="584"/>
    </row>
    <row r="156" spans="2:13" x14ac:dyDescent="0.25">
      <c r="B156" s="580"/>
      <c r="C156" s="507" t="s">
        <v>203</v>
      </c>
      <c r="D156" s="508" t="s">
        <v>204</v>
      </c>
      <c r="E156" s="500">
        <v>0.65700000000000003</v>
      </c>
      <c r="F156" s="558"/>
      <c r="G156" s="557"/>
      <c r="H156" s="557"/>
      <c r="I156" s="557"/>
      <c r="J156" s="557"/>
      <c r="K156" s="557"/>
      <c r="L156" s="557"/>
      <c r="M156" s="584"/>
    </row>
    <row r="157" spans="2:13" x14ac:dyDescent="0.25">
      <c r="B157" s="580"/>
      <c r="C157" s="507" t="s">
        <v>205</v>
      </c>
      <c r="D157" s="508" t="s">
        <v>206</v>
      </c>
      <c r="E157" s="500">
        <v>0.61599999999999999</v>
      </c>
      <c r="F157" s="558"/>
      <c r="G157" s="557"/>
      <c r="H157" s="557"/>
      <c r="I157" s="557"/>
      <c r="J157" s="557"/>
      <c r="K157" s="557"/>
      <c r="L157" s="557"/>
      <c r="M157" s="584"/>
    </row>
    <row r="158" spans="2:13" x14ac:dyDescent="0.25">
      <c r="B158" s="580"/>
      <c r="C158" s="507" t="s">
        <v>333</v>
      </c>
      <c r="D158" s="508" t="s">
        <v>334</v>
      </c>
      <c r="E158" s="500">
        <v>0.26800000000000002</v>
      </c>
      <c r="F158" s="558"/>
      <c r="G158" s="557"/>
      <c r="H158" s="557"/>
      <c r="I158" s="557"/>
      <c r="J158" s="557"/>
      <c r="K158" s="557"/>
      <c r="L158" s="557"/>
      <c r="M158" s="584"/>
    </row>
    <row r="159" spans="2:13" x14ac:dyDescent="0.25">
      <c r="B159" s="580"/>
      <c r="C159" s="507" t="s">
        <v>199</v>
      </c>
      <c r="D159" s="508" t="s">
        <v>200</v>
      </c>
      <c r="E159" s="500">
        <v>0.70599999999999996</v>
      </c>
      <c r="F159" s="558"/>
      <c r="G159" s="557"/>
      <c r="H159" s="557"/>
      <c r="I159" s="557"/>
      <c r="J159" s="557"/>
      <c r="K159" s="557"/>
      <c r="L159" s="557"/>
      <c r="M159" s="584"/>
    </row>
    <row r="160" spans="2:13" x14ac:dyDescent="0.25">
      <c r="B160" s="580"/>
      <c r="C160" s="507" t="s">
        <v>357</v>
      </c>
      <c r="D160" s="509" t="s">
        <v>360</v>
      </c>
      <c r="E160" s="500">
        <v>4.8000000000000001E-2</v>
      </c>
      <c r="F160" s="558"/>
      <c r="G160" s="557"/>
      <c r="H160" s="557"/>
      <c r="I160" s="557"/>
      <c r="J160" s="557"/>
      <c r="K160" s="557"/>
      <c r="L160" s="557"/>
      <c r="M160" s="584"/>
    </row>
    <row r="161" spans="2:13" x14ac:dyDescent="0.25">
      <c r="B161" s="580"/>
      <c r="C161" s="507" t="s">
        <v>231</v>
      </c>
      <c r="D161" s="508" t="s">
        <v>232</v>
      </c>
      <c r="E161" s="500">
        <v>0.70299999999999996</v>
      </c>
      <c r="F161" s="558"/>
      <c r="G161" s="557"/>
      <c r="H161" s="557"/>
      <c r="I161" s="557"/>
      <c r="J161" s="557"/>
      <c r="K161" s="557"/>
      <c r="L161" s="557"/>
      <c r="M161" s="584"/>
    </row>
    <row r="162" spans="2:13" x14ac:dyDescent="0.25">
      <c r="B162" s="580"/>
      <c r="C162" s="507" t="s">
        <v>235</v>
      </c>
      <c r="D162" s="508" t="s">
        <v>236</v>
      </c>
      <c r="E162" s="500">
        <v>7.6999999999999999E-2</v>
      </c>
      <c r="F162" s="558"/>
      <c r="G162" s="557"/>
      <c r="H162" s="557"/>
      <c r="I162" s="557"/>
      <c r="J162" s="557"/>
      <c r="K162" s="557"/>
      <c r="L162" s="557"/>
      <c r="M162" s="584"/>
    </row>
    <row r="163" spans="2:13" x14ac:dyDescent="0.25">
      <c r="B163" s="580"/>
      <c r="C163" s="507" t="s">
        <v>353</v>
      </c>
      <c r="D163" s="508" t="s">
        <v>354</v>
      </c>
      <c r="E163" s="500">
        <v>-0.42699999999999999</v>
      </c>
      <c r="F163" s="558"/>
      <c r="G163" s="557"/>
      <c r="H163" s="557"/>
      <c r="I163" s="557"/>
      <c r="J163" s="557"/>
      <c r="K163" s="557"/>
      <c r="L163" s="557"/>
      <c r="M163" s="584"/>
    </row>
    <row r="164" spans="2:13" x14ac:dyDescent="0.25">
      <c r="B164" s="580"/>
      <c r="C164" s="507" t="s">
        <v>355</v>
      </c>
      <c r="D164" s="508" t="s">
        <v>356</v>
      </c>
      <c r="E164" s="500">
        <v>2.8000000000000001E-2</v>
      </c>
      <c r="F164" s="558"/>
      <c r="G164" s="557"/>
      <c r="H164" s="557"/>
      <c r="I164" s="557"/>
      <c r="J164" s="557"/>
      <c r="K164" s="557"/>
      <c r="L164" s="557"/>
      <c r="M164" s="584"/>
    </row>
    <row r="165" spans="2:13" x14ac:dyDescent="0.25">
      <c r="B165" s="580"/>
      <c r="C165" s="498" t="s">
        <v>268</v>
      </c>
      <c r="D165" s="508" t="s">
        <v>269</v>
      </c>
      <c r="E165" s="500">
        <v>1.1950000000000001</v>
      </c>
      <c r="F165" s="558"/>
      <c r="G165" s="557"/>
      <c r="H165" s="557"/>
      <c r="I165" s="557"/>
      <c r="J165" s="557"/>
      <c r="K165" s="557"/>
      <c r="L165" s="557"/>
      <c r="M165" s="584"/>
    </row>
    <row r="166" spans="2:13" x14ac:dyDescent="0.25">
      <c r="B166" s="580"/>
      <c r="C166" s="507" t="s">
        <v>225</v>
      </c>
      <c r="D166" s="508" t="s">
        <v>226</v>
      </c>
      <c r="E166" s="500">
        <v>0.83</v>
      </c>
      <c r="F166" s="558"/>
      <c r="G166" s="557"/>
      <c r="H166" s="557"/>
      <c r="I166" s="557"/>
      <c r="J166" s="557"/>
      <c r="K166" s="557"/>
      <c r="L166" s="557"/>
      <c r="M166" s="584"/>
    </row>
    <row r="167" spans="2:13" ht="15.75" thickBot="1" x14ac:dyDescent="0.3">
      <c r="B167" s="580"/>
      <c r="C167" s="502" t="s">
        <v>266</v>
      </c>
      <c r="D167" s="511" t="s">
        <v>267</v>
      </c>
      <c r="E167" s="504">
        <v>1.242</v>
      </c>
      <c r="F167" s="558"/>
      <c r="G167" s="557"/>
      <c r="H167" s="557"/>
      <c r="I167" s="557"/>
      <c r="J167" s="557"/>
      <c r="K167" s="557"/>
      <c r="L167" s="557"/>
      <c r="M167" s="584"/>
    </row>
    <row r="168" spans="2:13" x14ac:dyDescent="0.25">
      <c r="B168" s="580"/>
      <c r="C168" s="558"/>
      <c r="D168" s="559"/>
      <c r="E168" s="558"/>
      <c r="F168" s="558"/>
      <c r="G168" s="557"/>
      <c r="H168" s="557"/>
      <c r="I168" s="557"/>
      <c r="J168" s="557"/>
      <c r="K168" s="557"/>
      <c r="L168" s="557"/>
      <c r="M168" s="584"/>
    </row>
    <row r="169" spans="2:13" x14ac:dyDescent="0.25">
      <c r="B169" s="580"/>
      <c r="C169" s="558"/>
      <c r="D169" s="559"/>
      <c r="E169" s="558"/>
      <c r="F169" s="558"/>
      <c r="G169" s="557"/>
      <c r="H169" s="557"/>
      <c r="I169" s="557"/>
      <c r="J169" s="557"/>
      <c r="K169" s="557"/>
      <c r="L169" s="557"/>
      <c r="M169" s="584"/>
    </row>
    <row r="170" spans="2:13" x14ac:dyDescent="0.25">
      <c r="B170" s="580"/>
      <c r="C170" s="558"/>
      <c r="D170" s="559"/>
      <c r="E170" s="558"/>
      <c r="F170" s="558"/>
      <c r="G170" s="557"/>
      <c r="H170" s="557"/>
      <c r="I170" s="557"/>
      <c r="J170" s="557"/>
      <c r="K170" s="557"/>
      <c r="L170" s="557"/>
      <c r="M170" s="584"/>
    </row>
    <row r="171" spans="2:13" x14ac:dyDescent="0.25">
      <c r="B171" s="580"/>
      <c r="C171" s="558"/>
      <c r="D171" s="559"/>
      <c r="E171" s="558"/>
      <c r="F171" s="558"/>
      <c r="G171" s="557"/>
      <c r="H171" s="557"/>
      <c r="I171" s="557"/>
      <c r="J171" s="557"/>
      <c r="K171" s="557"/>
      <c r="L171" s="557"/>
      <c r="M171" s="584"/>
    </row>
    <row r="172" spans="2:13" x14ac:dyDescent="0.25">
      <c r="B172" s="580"/>
      <c r="C172" s="558"/>
      <c r="D172" s="559"/>
      <c r="E172" s="558"/>
      <c r="F172" s="558"/>
      <c r="G172" s="557"/>
      <c r="H172" s="557"/>
      <c r="I172" s="557"/>
      <c r="J172" s="557"/>
      <c r="K172" s="557"/>
      <c r="L172" s="557"/>
      <c r="M172" s="584"/>
    </row>
    <row r="173" spans="2:13" x14ac:dyDescent="0.25">
      <c r="B173" s="580"/>
      <c r="C173" s="558"/>
      <c r="D173" s="559"/>
      <c r="E173" s="558"/>
      <c r="F173" s="558"/>
      <c r="G173" s="557"/>
      <c r="H173" s="557"/>
      <c r="I173" s="557"/>
      <c r="J173" s="557"/>
      <c r="K173" s="557"/>
      <c r="L173" s="557"/>
      <c r="M173" s="584"/>
    </row>
    <row r="174" spans="2:13" x14ac:dyDescent="0.25">
      <c r="B174" s="580"/>
      <c r="C174" s="558"/>
      <c r="D174" s="559"/>
      <c r="E174" s="558"/>
      <c r="F174" s="558"/>
      <c r="G174" s="557"/>
      <c r="H174" s="557"/>
      <c r="I174" s="557"/>
      <c r="J174" s="557"/>
      <c r="K174" s="557"/>
      <c r="L174" s="557"/>
      <c r="M174" s="584"/>
    </row>
    <row r="175" spans="2:13" x14ac:dyDescent="0.25">
      <c r="B175" s="580"/>
      <c r="C175" s="558"/>
      <c r="D175" s="559"/>
      <c r="E175" s="558"/>
      <c r="F175" s="558"/>
      <c r="G175" s="557"/>
      <c r="H175" s="557"/>
      <c r="I175" s="557"/>
      <c r="J175" s="557"/>
      <c r="K175" s="557"/>
      <c r="L175" s="557"/>
      <c r="M175" s="584"/>
    </row>
    <row r="176" spans="2:13" x14ac:dyDescent="0.25">
      <c r="B176" s="580"/>
      <c r="C176" s="558"/>
      <c r="D176" s="559"/>
      <c r="E176" s="558"/>
      <c r="F176" s="558"/>
      <c r="G176" s="557"/>
      <c r="H176" s="557"/>
      <c r="I176" s="557"/>
      <c r="J176" s="557"/>
      <c r="K176" s="557"/>
      <c r="L176" s="557"/>
      <c r="M176" s="584"/>
    </row>
    <row r="177" spans="2:13" x14ac:dyDescent="0.25">
      <c r="B177" s="580"/>
      <c r="C177" s="558"/>
      <c r="D177" s="559"/>
      <c r="E177" s="558"/>
      <c r="F177" s="558"/>
      <c r="G177" s="557"/>
      <c r="H177" s="557"/>
      <c r="I177" s="557"/>
      <c r="J177" s="557"/>
      <c r="K177" s="557"/>
      <c r="L177" s="557"/>
      <c r="M177" s="584"/>
    </row>
    <row r="178" spans="2:13" x14ac:dyDescent="0.25">
      <c r="B178" s="580"/>
      <c r="C178" s="558"/>
      <c r="D178" s="559"/>
      <c r="E178" s="558"/>
      <c r="F178" s="558"/>
      <c r="G178" s="557"/>
      <c r="H178" s="557"/>
      <c r="I178" s="557"/>
      <c r="J178" s="557"/>
      <c r="K178" s="557"/>
      <c r="L178" s="557"/>
      <c r="M178" s="584"/>
    </row>
    <row r="179" spans="2:13" ht="30.75" thickBot="1" x14ac:dyDescent="0.3">
      <c r="B179" s="580"/>
      <c r="C179" s="581" t="s">
        <v>65</v>
      </c>
      <c r="D179" s="582" t="s">
        <v>151</v>
      </c>
      <c r="E179" s="583" t="s">
        <v>1271</v>
      </c>
      <c r="F179" s="558"/>
      <c r="G179" s="557"/>
      <c r="H179" s="557"/>
      <c r="I179" s="557"/>
      <c r="J179" s="557"/>
      <c r="K179" s="557"/>
      <c r="L179" s="557"/>
      <c r="M179" s="584"/>
    </row>
    <row r="180" spans="2:13" x14ac:dyDescent="0.25">
      <c r="B180" s="580"/>
      <c r="C180" s="505" t="s">
        <v>363</v>
      </c>
      <c r="D180" s="496" t="s">
        <v>360</v>
      </c>
      <c r="E180" s="497">
        <v>1</v>
      </c>
      <c r="F180" s="558"/>
      <c r="G180" s="557"/>
      <c r="H180" s="557"/>
      <c r="I180" s="557"/>
      <c r="J180" s="993" t="s">
        <v>157</v>
      </c>
      <c r="K180" s="993"/>
      <c r="L180" s="993"/>
      <c r="M180" s="585" t="s">
        <v>210</v>
      </c>
    </row>
    <row r="181" spans="2:13" x14ac:dyDescent="0.25">
      <c r="B181" s="580"/>
      <c r="C181" s="507" t="s">
        <v>366</v>
      </c>
      <c r="D181" s="512" t="s">
        <v>367</v>
      </c>
      <c r="E181" s="500">
        <v>0.88</v>
      </c>
      <c r="F181" s="558"/>
      <c r="G181" s="557"/>
      <c r="H181" s="557"/>
      <c r="I181" s="557"/>
      <c r="J181" s="993" t="s">
        <v>158</v>
      </c>
      <c r="K181" s="993"/>
      <c r="L181" s="993"/>
      <c r="M181" s="584">
        <f>IF(ISNA(VLOOKUP(M180,D180:E184,2,FALSE))=TRUE,0,VLOOKUP(M180,D180:E184,2,FALSE))</f>
        <v>0</v>
      </c>
    </row>
    <row r="182" spans="2:13" x14ac:dyDescent="0.25">
      <c r="B182" s="580"/>
      <c r="C182" s="507" t="s">
        <v>368</v>
      </c>
      <c r="D182" s="512" t="s">
        <v>369</v>
      </c>
      <c r="E182" s="500">
        <v>1.6</v>
      </c>
      <c r="F182" s="558"/>
      <c r="G182" s="557"/>
      <c r="H182" s="557"/>
      <c r="I182" s="557"/>
      <c r="J182" s="557"/>
      <c r="K182" s="557"/>
      <c r="L182" s="557"/>
      <c r="M182" s="584"/>
    </row>
    <row r="183" spans="2:13" x14ac:dyDescent="0.25">
      <c r="B183" s="580"/>
      <c r="C183" s="507" t="s">
        <v>364</v>
      </c>
      <c r="D183" s="512" t="s">
        <v>365</v>
      </c>
      <c r="E183" s="500">
        <v>1.88</v>
      </c>
      <c r="F183" s="558"/>
      <c r="G183" s="557"/>
      <c r="H183" s="557"/>
      <c r="I183" s="557"/>
      <c r="J183" s="557"/>
      <c r="K183" s="557"/>
      <c r="L183" s="557"/>
      <c r="M183" s="584"/>
    </row>
    <row r="184" spans="2:13" x14ac:dyDescent="0.25">
      <c r="B184" s="580"/>
      <c r="C184" s="507" t="s">
        <v>371</v>
      </c>
      <c r="D184" s="512" t="s">
        <v>372</v>
      </c>
      <c r="E184" s="500">
        <v>0.65</v>
      </c>
      <c r="F184" s="558"/>
      <c r="G184" s="557"/>
      <c r="H184" s="557"/>
      <c r="I184" s="557"/>
      <c r="J184" s="557"/>
      <c r="K184" s="557"/>
      <c r="L184" s="557"/>
      <c r="M184" s="584"/>
    </row>
    <row r="185" spans="2:13" ht="15.75" thickBot="1" x14ac:dyDescent="0.3">
      <c r="B185" s="580"/>
      <c r="C185" s="513" t="s">
        <v>370</v>
      </c>
      <c r="D185" s="514" t="s">
        <v>356</v>
      </c>
      <c r="E185" s="504">
        <v>0.7</v>
      </c>
      <c r="F185" s="558"/>
      <c r="G185" s="557"/>
      <c r="H185" s="557"/>
      <c r="I185" s="557"/>
      <c r="J185" s="557"/>
      <c r="K185" s="557"/>
      <c r="L185" s="557"/>
      <c r="M185" s="584"/>
    </row>
    <row r="186" spans="2:13" x14ac:dyDescent="0.25">
      <c r="B186" s="580"/>
      <c r="C186" s="558"/>
      <c r="D186" s="559"/>
      <c r="E186" s="558"/>
      <c r="F186" s="558"/>
      <c r="G186" s="557"/>
      <c r="H186" s="557"/>
      <c r="I186" s="557"/>
      <c r="J186" s="557"/>
      <c r="K186" s="557"/>
      <c r="L186" s="557"/>
      <c r="M186" s="584"/>
    </row>
    <row r="187" spans="2:13" x14ac:dyDescent="0.25">
      <c r="B187" s="580"/>
      <c r="C187" s="558"/>
      <c r="D187" s="559"/>
      <c r="E187" s="558"/>
      <c r="F187" s="558"/>
      <c r="G187" s="557"/>
      <c r="H187" s="557"/>
      <c r="I187" s="557"/>
      <c r="J187" s="557"/>
      <c r="K187" s="557"/>
      <c r="L187" s="557"/>
      <c r="M187" s="584"/>
    </row>
    <row r="188" spans="2:13" x14ac:dyDescent="0.25">
      <c r="B188" s="580"/>
      <c r="C188" s="558"/>
      <c r="D188" s="559"/>
      <c r="E188" s="558"/>
      <c r="F188" s="558"/>
      <c r="G188" s="557"/>
      <c r="H188" s="557"/>
      <c r="I188" s="557"/>
      <c r="J188" s="557"/>
      <c r="K188" s="557"/>
      <c r="L188" s="557"/>
      <c r="M188" s="584"/>
    </row>
    <row r="189" spans="2:13" x14ac:dyDescent="0.25">
      <c r="B189" s="580"/>
      <c r="C189" s="558"/>
      <c r="D189" s="559"/>
      <c r="E189" s="558"/>
      <c r="F189" s="558"/>
      <c r="G189" s="557"/>
      <c r="H189" s="557"/>
      <c r="I189" s="557"/>
      <c r="J189" s="557"/>
      <c r="K189" s="557"/>
      <c r="L189" s="557"/>
      <c r="M189" s="584"/>
    </row>
    <row r="190" spans="2:13" x14ac:dyDescent="0.25">
      <c r="B190" s="580"/>
      <c r="C190" s="558"/>
      <c r="D190" s="559"/>
      <c r="E190" s="558"/>
      <c r="F190" s="558"/>
      <c r="G190" s="557"/>
      <c r="H190" s="557"/>
      <c r="I190" s="557"/>
      <c r="J190" s="557"/>
      <c r="K190" s="557"/>
      <c r="L190" s="557"/>
      <c r="M190" s="584"/>
    </row>
    <row r="191" spans="2:13" x14ac:dyDescent="0.25">
      <c r="B191" s="580"/>
      <c r="C191" s="558"/>
      <c r="D191" s="559"/>
      <c r="E191" s="558"/>
      <c r="F191" s="558"/>
      <c r="G191" s="557"/>
      <c r="H191" s="557"/>
      <c r="I191" s="557"/>
      <c r="J191" s="557"/>
      <c r="K191" s="557"/>
      <c r="L191" s="557"/>
      <c r="M191" s="584"/>
    </row>
    <row r="192" spans="2:13" x14ac:dyDescent="0.25">
      <c r="B192" s="580"/>
      <c r="C192" s="558"/>
      <c r="D192" s="559"/>
      <c r="E192" s="558"/>
      <c r="F192" s="558"/>
      <c r="G192" s="557"/>
      <c r="H192" s="557"/>
      <c r="I192" s="557"/>
      <c r="J192" s="557"/>
      <c r="K192" s="557"/>
      <c r="L192" s="557"/>
      <c r="M192" s="584"/>
    </row>
    <row r="193" spans="2:13" x14ac:dyDescent="0.25">
      <c r="B193" s="580"/>
      <c r="C193" s="558"/>
      <c r="D193" s="559"/>
      <c r="E193" s="558"/>
      <c r="F193" s="558"/>
      <c r="G193" s="557"/>
      <c r="H193" s="557"/>
      <c r="I193" s="557"/>
      <c r="J193" s="557"/>
      <c r="K193" s="557"/>
      <c r="L193" s="557"/>
      <c r="M193" s="584"/>
    </row>
    <row r="194" spans="2:13" x14ac:dyDescent="0.25">
      <c r="B194" s="580"/>
      <c r="C194" s="558"/>
      <c r="D194" s="559"/>
      <c r="E194" s="558"/>
      <c r="F194" s="558"/>
      <c r="G194" s="557"/>
      <c r="H194" s="557"/>
      <c r="I194" s="557"/>
      <c r="J194" s="557"/>
      <c r="K194" s="557"/>
      <c r="L194" s="557"/>
      <c r="M194" s="584"/>
    </row>
    <row r="195" spans="2:13" x14ac:dyDescent="0.25">
      <c r="B195" s="580"/>
      <c r="C195" s="558"/>
      <c r="D195" s="559"/>
      <c r="E195" s="558"/>
      <c r="F195" s="558"/>
      <c r="G195" s="557"/>
      <c r="H195" s="557"/>
      <c r="I195" s="557"/>
      <c r="J195" s="557"/>
      <c r="K195" s="557"/>
      <c r="L195" s="557"/>
      <c r="M195" s="584"/>
    </row>
    <row r="196" spans="2:13" x14ac:dyDescent="0.25">
      <c r="B196" s="580"/>
      <c r="C196" s="558"/>
      <c r="D196" s="559"/>
      <c r="E196" s="558"/>
      <c r="F196" s="558"/>
      <c r="G196" s="557"/>
      <c r="H196" s="557"/>
      <c r="I196" s="557"/>
      <c r="J196" s="557"/>
      <c r="K196" s="557"/>
      <c r="L196" s="557"/>
      <c r="M196" s="584"/>
    </row>
    <row r="197" spans="2:13" ht="30" customHeight="1" thickBot="1" x14ac:dyDescent="0.3">
      <c r="B197" s="580"/>
      <c r="C197" s="581" t="s">
        <v>65</v>
      </c>
      <c r="D197" s="582" t="s">
        <v>151</v>
      </c>
      <c r="E197" s="583" t="s">
        <v>1272</v>
      </c>
      <c r="F197" s="558"/>
      <c r="G197" s="557"/>
      <c r="H197" s="557"/>
      <c r="I197" s="557"/>
      <c r="J197" s="557"/>
      <c r="K197" s="557"/>
      <c r="L197" s="557"/>
      <c r="M197" s="584"/>
    </row>
    <row r="198" spans="2:13" x14ac:dyDescent="0.25">
      <c r="B198" s="580"/>
      <c r="C198" s="505" t="s">
        <v>323</v>
      </c>
      <c r="D198" s="506" t="s">
        <v>324</v>
      </c>
      <c r="E198" s="497">
        <v>1.07</v>
      </c>
      <c r="F198" s="558"/>
      <c r="G198" s="557"/>
      <c r="H198" s="557"/>
      <c r="I198" s="557"/>
      <c r="J198" s="993" t="s">
        <v>157</v>
      </c>
      <c r="K198" s="993"/>
      <c r="L198" s="993"/>
      <c r="M198" s="585" t="s">
        <v>36</v>
      </c>
    </row>
    <row r="199" spans="2:13" x14ac:dyDescent="0.25">
      <c r="B199" s="580"/>
      <c r="C199" s="507" t="s">
        <v>284</v>
      </c>
      <c r="D199" s="508" t="s">
        <v>378</v>
      </c>
      <c r="E199" s="500">
        <v>2.09</v>
      </c>
      <c r="F199" s="558"/>
      <c r="G199" s="557"/>
      <c r="H199" s="557"/>
      <c r="I199" s="557"/>
      <c r="J199" s="993" t="s">
        <v>158</v>
      </c>
      <c r="K199" s="993"/>
      <c r="L199" s="993"/>
      <c r="M199" s="584">
        <f>IF(ISNA(VLOOKUP(M198,D198:E211,2,FALSE))=TRUE,0,VLOOKUP(M198,D198:E211,2,FALSE))</f>
        <v>1.5</v>
      </c>
    </row>
    <row r="200" spans="2:13" x14ac:dyDescent="0.25">
      <c r="B200" s="580"/>
      <c r="C200" s="507" t="s">
        <v>391</v>
      </c>
      <c r="D200" s="508" t="s">
        <v>36</v>
      </c>
      <c r="E200" s="500">
        <v>1.5</v>
      </c>
      <c r="F200" s="558"/>
      <c r="G200" s="557"/>
      <c r="H200" s="557"/>
      <c r="I200" s="557"/>
      <c r="J200" s="557"/>
      <c r="K200" s="557"/>
      <c r="L200" s="557"/>
      <c r="M200" s="584"/>
    </row>
    <row r="201" spans="2:13" x14ac:dyDescent="0.25">
      <c r="B201" s="580"/>
      <c r="C201" s="507" t="s">
        <v>213</v>
      </c>
      <c r="D201" s="508" t="s">
        <v>214</v>
      </c>
      <c r="E201" s="500">
        <v>1</v>
      </c>
      <c r="F201" s="558"/>
      <c r="G201" s="557"/>
      <c r="H201" s="557"/>
      <c r="I201" s="557"/>
      <c r="J201" s="557"/>
      <c r="K201" s="557"/>
      <c r="L201" s="557"/>
      <c r="M201" s="584"/>
    </row>
    <row r="202" spans="2:13" x14ac:dyDescent="0.25">
      <c r="B202" s="580"/>
      <c r="C202" s="507" t="s">
        <v>345</v>
      </c>
      <c r="D202" s="515" t="s">
        <v>346</v>
      </c>
      <c r="E202" s="500">
        <v>1.28</v>
      </c>
      <c r="F202" s="558"/>
      <c r="G202" s="557"/>
      <c r="H202" s="557"/>
      <c r="I202" s="557"/>
      <c r="J202" s="557"/>
      <c r="K202" s="557"/>
      <c r="L202" s="557"/>
      <c r="M202" s="584"/>
    </row>
    <row r="203" spans="2:13" x14ac:dyDescent="0.25">
      <c r="B203" s="580"/>
      <c r="C203" s="507" t="s">
        <v>394</v>
      </c>
      <c r="D203" s="515" t="s">
        <v>338</v>
      </c>
      <c r="E203" s="500">
        <v>0.47</v>
      </c>
      <c r="F203" s="558"/>
      <c r="G203" s="557"/>
      <c r="H203" s="557"/>
      <c r="I203" s="557"/>
      <c r="J203" s="557"/>
      <c r="K203" s="557"/>
      <c r="L203" s="557"/>
      <c r="M203" s="584"/>
    </row>
    <row r="204" spans="2:13" x14ac:dyDescent="0.25">
      <c r="B204" s="580"/>
      <c r="C204" s="507" t="s">
        <v>392</v>
      </c>
      <c r="D204" s="515" t="s">
        <v>393</v>
      </c>
      <c r="E204" s="500">
        <v>1.5</v>
      </c>
      <c r="F204" s="558"/>
      <c r="G204" s="557"/>
      <c r="H204" s="557"/>
      <c r="I204" s="557"/>
      <c r="J204" s="557"/>
      <c r="K204" s="557"/>
      <c r="L204" s="557"/>
      <c r="M204" s="584"/>
    </row>
    <row r="205" spans="2:13" x14ac:dyDescent="0.25">
      <c r="B205" s="580"/>
      <c r="C205" s="507" t="s">
        <v>385</v>
      </c>
      <c r="D205" s="508" t="s">
        <v>386</v>
      </c>
      <c r="E205" s="500">
        <v>0.81</v>
      </c>
      <c r="F205" s="558"/>
      <c r="G205" s="557"/>
      <c r="H205" s="557"/>
      <c r="I205" s="557"/>
      <c r="J205" s="557"/>
      <c r="K205" s="557"/>
      <c r="L205" s="557"/>
      <c r="M205" s="584"/>
    </row>
    <row r="206" spans="2:13" x14ac:dyDescent="0.25">
      <c r="B206" s="580"/>
      <c r="C206" s="507" t="s">
        <v>387</v>
      </c>
      <c r="D206" s="515" t="s">
        <v>388</v>
      </c>
      <c r="E206" s="500">
        <v>1.29</v>
      </c>
      <c r="F206" s="558"/>
      <c r="G206" s="557"/>
      <c r="H206" s="557"/>
      <c r="I206" s="557"/>
      <c r="J206" s="557"/>
      <c r="K206" s="557"/>
      <c r="L206" s="557"/>
      <c r="M206" s="584"/>
    </row>
    <row r="207" spans="2:13" x14ac:dyDescent="0.25">
      <c r="B207" s="580"/>
      <c r="C207" s="507" t="s">
        <v>395</v>
      </c>
      <c r="D207" s="515" t="s">
        <v>396</v>
      </c>
      <c r="E207" s="500">
        <v>2.38</v>
      </c>
      <c r="F207" s="558"/>
      <c r="G207" s="557"/>
      <c r="H207" s="557"/>
      <c r="I207" s="557"/>
      <c r="J207" s="557"/>
      <c r="K207" s="557"/>
      <c r="L207" s="557"/>
      <c r="M207" s="584"/>
    </row>
    <row r="208" spans="2:13" x14ac:dyDescent="0.25">
      <c r="B208" s="580"/>
      <c r="C208" s="507" t="s">
        <v>383</v>
      </c>
      <c r="D208" s="508" t="s">
        <v>384</v>
      </c>
      <c r="E208" s="500">
        <v>0.54</v>
      </c>
      <c r="F208" s="558"/>
      <c r="G208" s="557"/>
      <c r="H208" s="557"/>
      <c r="I208" s="557"/>
      <c r="J208" s="557"/>
      <c r="K208" s="557"/>
      <c r="L208" s="557"/>
      <c r="M208" s="584"/>
    </row>
    <row r="209" spans="2:13" x14ac:dyDescent="0.25">
      <c r="B209" s="580"/>
      <c r="C209" s="507" t="s">
        <v>379</v>
      </c>
      <c r="D209" s="508" t="s">
        <v>380</v>
      </c>
      <c r="E209" s="500">
        <v>0.8</v>
      </c>
      <c r="F209" s="558"/>
      <c r="G209" s="557"/>
      <c r="H209" s="557"/>
      <c r="I209" s="557"/>
      <c r="J209" s="557"/>
      <c r="K209" s="557"/>
      <c r="L209" s="557"/>
      <c r="M209" s="584"/>
    </row>
    <row r="210" spans="2:13" x14ac:dyDescent="0.25">
      <c r="B210" s="580"/>
      <c r="C210" s="507" t="s">
        <v>381</v>
      </c>
      <c r="D210" s="508" t="s">
        <v>382</v>
      </c>
      <c r="E210" s="500">
        <v>1</v>
      </c>
      <c r="F210" s="558"/>
      <c r="G210" s="557"/>
      <c r="H210" s="557"/>
      <c r="I210" s="557"/>
      <c r="J210" s="557"/>
      <c r="K210" s="557"/>
      <c r="L210" s="557"/>
      <c r="M210" s="584"/>
    </row>
    <row r="211" spans="2:13" ht="15.75" thickBot="1" x14ac:dyDescent="0.3">
      <c r="B211" s="580"/>
      <c r="C211" s="513" t="s">
        <v>389</v>
      </c>
      <c r="D211" s="516" t="s">
        <v>390</v>
      </c>
      <c r="E211" s="504">
        <v>0.14000000000000001</v>
      </c>
      <c r="F211" s="558"/>
      <c r="G211" s="557"/>
      <c r="H211" s="557"/>
      <c r="I211" s="557"/>
      <c r="J211" s="557"/>
      <c r="K211" s="557"/>
      <c r="L211" s="557"/>
      <c r="M211" s="584"/>
    </row>
    <row r="212" spans="2:13" x14ac:dyDescent="0.25">
      <c r="B212" s="580"/>
      <c r="C212" s="558"/>
      <c r="D212" s="559"/>
      <c r="E212" s="558"/>
      <c r="F212" s="558"/>
      <c r="G212" s="557"/>
      <c r="H212" s="557"/>
      <c r="I212" s="557"/>
      <c r="J212" s="557"/>
      <c r="K212" s="557"/>
      <c r="L212" s="557"/>
      <c r="M212" s="584"/>
    </row>
    <row r="213" spans="2:13" x14ac:dyDescent="0.25">
      <c r="B213" s="580"/>
      <c r="C213" s="558"/>
      <c r="D213" s="559"/>
      <c r="E213" s="558"/>
      <c r="F213" s="558"/>
      <c r="G213" s="557"/>
      <c r="H213" s="557"/>
      <c r="I213" s="557"/>
      <c r="J213" s="557"/>
      <c r="K213" s="557"/>
      <c r="L213" s="557"/>
      <c r="M213" s="584"/>
    </row>
    <row r="214" spans="2:13" x14ac:dyDescent="0.25">
      <c r="B214" s="580"/>
      <c r="C214" s="558"/>
      <c r="D214" s="559"/>
      <c r="E214" s="558"/>
      <c r="F214" s="558"/>
      <c r="G214" s="557"/>
      <c r="H214" s="557"/>
      <c r="I214" s="557"/>
      <c r="J214" s="557"/>
      <c r="K214" s="557"/>
      <c r="L214" s="557"/>
      <c r="M214" s="584"/>
    </row>
    <row r="215" spans="2:13" x14ac:dyDescent="0.25">
      <c r="B215" s="580"/>
      <c r="C215" s="558"/>
      <c r="D215" s="559"/>
      <c r="E215" s="558"/>
      <c r="F215" s="558"/>
      <c r="G215" s="557"/>
      <c r="H215" s="557"/>
      <c r="I215" s="557"/>
      <c r="J215" s="557"/>
      <c r="K215" s="557"/>
      <c r="L215" s="557"/>
      <c r="M215" s="584"/>
    </row>
    <row r="216" spans="2:13" x14ac:dyDescent="0.25">
      <c r="B216" s="580"/>
      <c r="C216" s="558"/>
      <c r="D216" s="559"/>
      <c r="E216" s="558"/>
      <c r="F216" s="558"/>
      <c r="G216" s="557"/>
      <c r="H216" s="557"/>
      <c r="I216" s="557"/>
      <c r="J216" s="557"/>
      <c r="K216" s="557"/>
      <c r="L216" s="557"/>
      <c r="M216" s="584"/>
    </row>
    <row r="217" spans="2:13" x14ac:dyDescent="0.25">
      <c r="B217" s="580"/>
      <c r="C217" s="558"/>
      <c r="D217" s="559"/>
      <c r="E217" s="558"/>
      <c r="F217" s="558"/>
      <c r="G217" s="557"/>
      <c r="H217" s="557"/>
      <c r="I217" s="557"/>
      <c r="J217" s="557"/>
      <c r="K217" s="557"/>
      <c r="L217" s="557"/>
      <c r="M217" s="584"/>
    </row>
    <row r="218" spans="2:13" x14ac:dyDescent="0.25">
      <c r="B218" s="580"/>
      <c r="C218" s="558"/>
      <c r="D218" s="559"/>
      <c r="E218" s="558"/>
      <c r="F218" s="558"/>
      <c r="G218" s="557"/>
      <c r="H218" s="557"/>
      <c r="I218" s="557"/>
      <c r="J218" s="557"/>
      <c r="K218" s="557"/>
      <c r="L218" s="557"/>
      <c r="M218" s="584"/>
    </row>
    <row r="219" spans="2:13" x14ac:dyDescent="0.25">
      <c r="B219" s="580"/>
      <c r="C219" s="558"/>
      <c r="D219" s="559"/>
      <c r="E219" s="558"/>
      <c r="F219" s="558"/>
      <c r="G219" s="557"/>
      <c r="H219" s="557"/>
      <c r="I219" s="557"/>
      <c r="J219" s="557"/>
      <c r="K219" s="557"/>
      <c r="L219" s="557"/>
      <c r="M219" s="584"/>
    </row>
    <row r="220" spans="2:13" x14ac:dyDescent="0.25">
      <c r="B220" s="580"/>
      <c r="C220" s="558"/>
      <c r="D220" s="559"/>
      <c r="E220" s="558"/>
      <c r="F220" s="558"/>
      <c r="G220" s="557"/>
      <c r="H220" s="557"/>
      <c r="I220" s="557"/>
      <c r="J220" s="557"/>
      <c r="K220" s="557"/>
      <c r="L220" s="557"/>
      <c r="M220" s="584"/>
    </row>
    <row r="221" spans="2:13" x14ac:dyDescent="0.25">
      <c r="B221" s="580"/>
      <c r="C221" s="558"/>
      <c r="D221" s="559"/>
      <c r="E221" s="558"/>
      <c r="F221" s="558"/>
      <c r="G221" s="557"/>
      <c r="H221" s="557"/>
      <c r="I221" s="557"/>
      <c r="J221" s="557"/>
      <c r="K221" s="557"/>
      <c r="L221" s="557"/>
      <c r="M221" s="584"/>
    </row>
    <row r="222" spans="2:13" x14ac:dyDescent="0.25">
      <c r="B222" s="580"/>
      <c r="C222" s="558"/>
      <c r="D222" s="559"/>
      <c r="E222" s="558"/>
      <c r="F222" s="558"/>
      <c r="G222" s="557"/>
      <c r="H222" s="557"/>
      <c r="I222" s="557"/>
      <c r="J222" s="557"/>
      <c r="K222" s="557"/>
      <c r="L222" s="557"/>
      <c r="M222" s="584"/>
    </row>
    <row r="223" spans="2:13" ht="28.5" customHeight="1" thickBot="1" x14ac:dyDescent="0.3">
      <c r="B223" s="580"/>
      <c r="C223" s="581" t="s">
        <v>65</v>
      </c>
      <c r="D223" s="582" t="s">
        <v>151</v>
      </c>
      <c r="E223" s="586" t="s">
        <v>651</v>
      </c>
      <c r="F223" s="583" t="s">
        <v>1273</v>
      </c>
      <c r="G223" s="557"/>
      <c r="H223" s="557"/>
      <c r="I223" s="557"/>
      <c r="J223" s="557"/>
      <c r="K223" s="557"/>
      <c r="L223" s="557"/>
      <c r="M223" s="584"/>
    </row>
    <row r="224" spans="2:13" ht="16.5" customHeight="1" x14ac:dyDescent="0.25">
      <c r="B224" s="580"/>
      <c r="C224" s="517" t="s">
        <v>531</v>
      </c>
      <c r="D224" s="506" t="s">
        <v>271</v>
      </c>
      <c r="E224" s="518">
        <v>5</v>
      </c>
      <c r="F224" s="519">
        <f t="shared" ref="F224:F255" si="0">$E$285/E224</f>
        <v>0.4</v>
      </c>
      <c r="G224" s="557"/>
      <c r="H224" s="557"/>
      <c r="I224" s="557"/>
      <c r="J224" s="993" t="s">
        <v>157</v>
      </c>
      <c r="K224" s="993"/>
      <c r="L224" s="993"/>
      <c r="M224" s="585" t="s">
        <v>461</v>
      </c>
    </row>
    <row r="225" spans="2:13" ht="16.5" customHeight="1" x14ac:dyDescent="0.25">
      <c r="B225" s="580"/>
      <c r="C225" s="520" t="s">
        <v>488</v>
      </c>
      <c r="D225" s="508" t="s">
        <v>582</v>
      </c>
      <c r="E225" s="521">
        <v>0.01</v>
      </c>
      <c r="F225" s="522">
        <f t="shared" si="0"/>
        <v>200</v>
      </c>
      <c r="G225" s="557"/>
      <c r="H225" s="557"/>
      <c r="I225" s="557"/>
      <c r="J225" s="993" t="s">
        <v>158</v>
      </c>
      <c r="K225" s="993"/>
      <c r="L225" s="993"/>
      <c r="M225" s="584">
        <f>IF(ISNA(VLOOKUP(M224,D224:F346,3,FALSE))=TRUE,0,VLOOKUP(M224,D224:F346,3,FALSE))</f>
        <v>0.16666666666666666</v>
      </c>
    </row>
    <row r="226" spans="2:13" ht="16.5" customHeight="1" x14ac:dyDescent="0.25">
      <c r="B226" s="580"/>
      <c r="C226" s="520" t="s">
        <v>614</v>
      </c>
      <c r="D226" s="508" t="s">
        <v>613</v>
      </c>
      <c r="E226" s="521">
        <v>12</v>
      </c>
      <c r="F226" s="522">
        <f t="shared" si="0"/>
        <v>0.16666666666666666</v>
      </c>
      <c r="G226" s="557"/>
      <c r="H226" s="557"/>
      <c r="I226" s="557"/>
      <c r="J226" s="557"/>
      <c r="K226" s="557"/>
      <c r="L226" s="557"/>
      <c r="M226" s="584"/>
    </row>
    <row r="227" spans="2:13" ht="16.5" customHeight="1" x14ac:dyDescent="0.25">
      <c r="B227" s="580"/>
      <c r="C227" s="520" t="s">
        <v>480</v>
      </c>
      <c r="D227" s="508" t="s">
        <v>479</v>
      </c>
      <c r="E227" s="521">
        <v>0.03</v>
      </c>
      <c r="F227" s="522">
        <f t="shared" si="0"/>
        <v>66.666666666666671</v>
      </c>
      <c r="G227" s="557"/>
      <c r="H227" s="557"/>
      <c r="I227" s="557"/>
      <c r="J227" s="557"/>
      <c r="K227" s="557"/>
      <c r="L227" s="557"/>
      <c r="M227" s="584"/>
    </row>
    <row r="228" spans="2:13" ht="16.5" customHeight="1" x14ac:dyDescent="0.25">
      <c r="B228" s="580"/>
      <c r="C228" s="520" t="s">
        <v>640</v>
      </c>
      <c r="D228" s="508" t="s">
        <v>481</v>
      </c>
      <c r="E228" s="521">
        <v>1</v>
      </c>
      <c r="F228" s="522">
        <f t="shared" si="0"/>
        <v>2</v>
      </c>
      <c r="G228" s="557"/>
      <c r="H228" s="557"/>
      <c r="I228" s="557"/>
      <c r="J228" s="557"/>
      <c r="K228" s="557"/>
      <c r="L228" s="557"/>
      <c r="M228" s="584"/>
    </row>
    <row r="229" spans="2:13" ht="16.5" customHeight="1" x14ac:dyDescent="0.25">
      <c r="B229" s="580"/>
      <c r="C229" s="520" t="s">
        <v>419</v>
      </c>
      <c r="D229" s="508" t="s">
        <v>418</v>
      </c>
      <c r="E229" s="521">
        <v>40</v>
      </c>
      <c r="F229" s="522">
        <f t="shared" si="0"/>
        <v>0.05</v>
      </c>
      <c r="G229" s="557"/>
      <c r="H229" s="557"/>
      <c r="I229" s="557"/>
      <c r="J229" s="557"/>
      <c r="K229" s="557"/>
      <c r="L229" s="557"/>
      <c r="M229" s="584"/>
    </row>
    <row r="230" spans="2:13" ht="16.5" customHeight="1" x14ac:dyDescent="0.25">
      <c r="B230" s="580"/>
      <c r="C230" s="520" t="s">
        <v>515</v>
      </c>
      <c r="D230" s="508" t="s">
        <v>514</v>
      </c>
      <c r="E230" s="521">
        <v>400</v>
      </c>
      <c r="F230" s="522">
        <f t="shared" si="0"/>
        <v>5.0000000000000001E-3</v>
      </c>
      <c r="G230" s="557"/>
      <c r="H230" s="557"/>
      <c r="I230" s="557"/>
      <c r="J230" s="557"/>
      <c r="K230" s="557"/>
      <c r="L230" s="557"/>
      <c r="M230" s="584"/>
    </row>
    <row r="231" spans="2:13" ht="16.5" customHeight="1" x14ac:dyDescent="0.25">
      <c r="B231" s="580"/>
      <c r="C231" s="520" t="s">
        <v>506</v>
      </c>
      <c r="D231" s="508" t="s">
        <v>505</v>
      </c>
      <c r="E231" s="521">
        <v>1</v>
      </c>
      <c r="F231" s="522">
        <f t="shared" si="0"/>
        <v>2</v>
      </c>
      <c r="G231" s="557"/>
      <c r="H231" s="557"/>
      <c r="I231" s="557"/>
      <c r="J231" s="557"/>
      <c r="K231" s="557"/>
      <c r="L231" s="557"/>
      <c r="M231" s="584"/>
    </row>
    <row r="232" spans="2:13" ht="16.5" customHeight="1" x14ac:dyDescent="0.25">
      <c r="B232" s="580"/>
      <c r="C232" s="520" t="s">
        <v>502</v>
      </c>
      <c r="D232" s="508" t="s">
        <v>501</v>
      </c>
      <c r="E232" s="521">
        <v>0.03</v>
      </c>
      <c r="F232" s="522">
        <f t="shared" si="0"/>
        <v>66.666666666666671</v>
      </c>
      <c r="G232" s="557"/>
      <c r="H232" s="557"/>
      <c r="I232" s="557"/>
      <c r="J232" s="557"/>
      <c r="K232" s="557"/>
      <c r="L232" s="557"/>
      <c r="M232" s="584"/>
    </row>
    <row r="233" spans="2:13" ht="16.5" customHeight="1" x14ac:dyDescent="0.25">
      <c r="B233" s="580"/>
      <c r="C233" s="520" t="s">
        <v>500</v>
      </c>
      <c r="D233" s="508" t="s">
        <v>499</v>
      </c>
      <c r="E233" s="521">
        <v>1E-3</v>
      </c>
      <c r="F233" s="522">
        <f t="shared" si="0"/>
        <v>2000</v>
      </c>
      <c r="G233" s="557"/>
      <c r="H233" s="557"/>
      <c r="I233" s="557"/>
      <c r="J233" s="557"/>
      <c r="K233" s="557"/>
      <c r="L233" s="557"/>
      <c r="M233" s="584"/>
    </row>
    <row r="234" spans="2:13" ht="16.5" customHeight="1" x14ac:dyDescent="0.25">
      <c r="B234" s="580"/>
      <c r="C234" s="520" t="s">
        <v>462</v>
      </c>
      <c r="D234" s="508" t="s">
        <v>461</v>
      </c>
      <c r="E234" s="521">
        <v>12</v>
      </c>
      <c r="F234" s="522">
        <f t="shared" si="0"/>
        <v>0.16666666666666666</v>
      </c>
      <c r="G234" s="557"/>
      <c r="H234" s="557"/>
      <c r="I234" s="557"/>
      <c r="J234" s="557"/>
      <c r="K234" s="557"/>
      <c r="L234" s="557"/>
      <c r="M234" s="584"/>
    </row>
    <row r="235" spans="2:13" ht="16.5" customHeight="1" x14ac:dyDescent="0.25">
      <c r="B235" s="580"/>
      <c r="C235" s="520" t="s">
        <v>440</v>
      </c>
      <c r="D235" s="508" t="s">
        <v>239</v>
      </c>
      <c r="E235" s="521">
        <v>30</v>
      </c>
      <c r="F235" s="522">
        <f t="shared" si="0"/>
        <v>6.6666666666666666E-2</v>
      </c>
      <c r="G235" s="557"/>
      <c r="H235" s="557"/>
      <c r="I235" s="557"/>
      <c r="J235" s="557"/>
      <c r="K235" s="557"/>
      <c r="L235" s="557"/>
      <c r="M235" s="584"/>
    </row>
    <row r="236" spans="2:13" ht="16.5" customHeight="1" x14ac:dyDescent="0.25">
      <c r="B236" s="580"/>
      <c r="C236" s="520" t="s">
        <v>406</v>
      </c>
      <c r="D236" s="508" t="s">
        <v>340</v>
      </c>
      <c r="E236" s="521">
        <v>100</v>
      </c>
      <c r="F236" s="522">
        <f t="shared" si="0"/>
        <v>0.02</v>
      </c>
      <c r="G236" s="557"/>
      <c r="H236" s="557"/>
      <c r="I236" s="557"/>
      <c r="J236" s="557"/>
      <c r="K236" s="557"/>
      <c r="L236" s="557"/>
      <c r="M236" s="584"/>
    </row>
    <row r="237" spans="2:13" ht="16.5" customHeight="1" x14ac:dyDescent="0.25">
      <c r="B237" s="580"/>
      <c r="C237" s="520" t="s">
        <v>519</v>
      </c>
      <c r="D237" s="508" t="s">
        <v>518</v>
      </c>
      <c r="E237" s="521">
        <v>5.0000000000000001E-3</v>
      </c>
      <c r="F237" s="522">
        <f t="shared" si="0"/>
        <v>400</v>
      </c>
      <c r="G237" s="557"/>
      <c r="H237" s="557"/>
      <c r="I237" s="557"/>
      <c r="J237" s="557"/>
      <c r="K237" s="557"/>
      <c r="L237" s="557"/>
      <c r="M237" s="584"/>
    </row>
    <row r="238" spans="2:13" ht="16.5" customHeight="1" x14ac:dyDescent="0.25">
      <c r="B238" s="580"/>
      <c r="C238" s="520" t="s">
        <v>498</v>
      </c>
      <c r="D238" s="508" t="s">
        <v>338</v>
      </c>
      <c r="E238" s="521">
        <v>2000</v>
      </c>
      <c r="F238" s="522">
        <f t="shared" si="0"/>
        <v>1E-3</v>
      </c>
      <c r="G238" s="557"/>
      <c r="H238" s="557"/>
      <c r="I238" s="557"/>
      <c r="J238" s="557"/>
      <c r="K238" s="557"/>
      <c r="L238" s="557"/>
      <c r="M238" s="584"/>
    </row>
    <row r="239" spans="2:13" ht="16.5" customHeight="1" x14ac:dyDescent="0.25">
      <c r="B239" s="580"/>
      <c r="C239" s="520" t="s">
        <v>408</v>
      </c>
      <c r="D239" s="508" t="s">
        <v>407</v>
      </c>
      <c r="E239" s="521">
        <v>400</v>
      </c>
      <c r="F239" s="522">
        <f t="shared" si="0"/>
        <v>5.0000000000000001E-3</v>
      </c>
      <c r="G239" s="557"/>
      <c r="H239" s="557"/>
      <c r="I239" s="557"/>
      <c r="J239" s="557"/>
      <c r="K239" s="557"/>
      <c r="L239" s="557"/>
      <c r="M239" s="584"/>
    </row>
    <row r="240" spans="2:13" ht="16.5" customHeight="1" x14ac:dyDescent="0.25">
      <c r="B240" s="580"/>
      <c r="C240" s="520" t="s">
        <v>630</v>
      </c>
      <c r="D240" s="508" t="s">
        <v>344</v>
      </c>
      <c r="E240" s="521">
        <v>10</v>
      </c>
      <c r="F240" s="522">
        <f t="shared" si="0"/>
        <v>0.2</v>
      </c>
      <c r="G240" s="557"/>
      <c r="H240" s="557"/>
      <c r="I240" s="557"/>
      <c r="J240" s="557"/>
      <c r="K240" s="557"/>
      <c r="L240" s="557"/>
      <c r="M240" s="584"/>
    </row>
    <row r="241" spans="2:13" ht="16.5" customHeight="1" x14ac:dyDescent="0.25">
      <c r="B241" s="580"/>
      <c r="C241" s="520" t="s">
        <v>493</v>
      </c>
      <c r="D241" s="508" t="s">
        <v>492</v>
      </c>
      <c r="E241" s="521">
        <v>200</v>
      </c>
      <c r="F241" s="522">
        <f t="shared" si="0"/>
        <v>0.01</v>
      </c>
      <c r="G241" s="557"/>
      <c r="H241" s="557"/>
      <c r="I241" s="557"/>
      <c r="J241" s="557"/>
      <c r="K241" s="557"/>
      <c r="L241" s="557"/>
      <c r="M241" s="584"/>
    </row>
    <row r="242" spans="2:13" ht="16.5" customHeight="1" x14ac:dyDescent="0.25">
      <c r="B242" s="580"/>
      <c r="C242" s="520" t="s">
        <v>487</v>
      </c>
      <c r="D242" s="508" t="s">
        <v>486</v>
      </c>
      <c r="E242" s="521">
        <v>8</v>
      </c>
      <c r="F242" s="522">
        <f t="shared" si="0"/>
        <v>0.25</v>
      </c>
      <c r="G242" s="557"/>
      <c r="H242" s="557"/>
      <c r="I242" s="557"/>
      <c r="J242" s="557"/>
      <c r="K242" s="557"/>
      <c r="L242" s="557"/>
      <c r="M242" s="584"/>
    </row>
    <row r="243" spans="2:13" ht="16.5" customHeight="1" x14ac:dyDescent="0.25">
      <c r="B243" s="580"/>
      <c r="C243" s="520" t="s">
        <v>437</v>
      </c>
      <c r="D243" s="508" t="s">
        <v>436</v>
      </c>
      <c r="E243" s="521">
        <v>20</v>
      </c>
      <c r="F243" s="522">
        <f t="shared" si="0"/>
        <v>0.1</v>
      </c>
      <c r="G243" s="557"/>
      <c r="H243" s="557"/>
      <c r="I243" s="557"/>
      <c r="J243" s="557"/>
      <c r="K243" s="557"/>
      <c r="L243" s="557"/>
      <c r="M243" s="584"/>
    </row>
    <row r="244" spans="2:13" ht="16.5" customHeight="1" x14ac:dyDescent="0.25">
      <c r="B244" s="580"/>
      <c r="C244" s="520" t="s">
        <v>435</v>
      </c>
      <c r="D244" s="508" t="s">
        <v>434</v>
      </c>
      <c r="E244" s="521">
        <v>0.01</v>
      </c>
      <c r="F244" s="522">
        <f t="shared" si="0"/>
        <v>200</v>
      </c>
      <c r="G244" s="557"/>
      <c r="H244" s="557"/>
      <c r="I244" s="557"/>
      <c r="J244" s="557"/>
      <c r="K244" s="557"/>
      <c r="L244" s="557"/>
      <c r="M244" s="584"/>
    </row>
    <row r="245" spans="2:13" ht="16.5" customHeight="1" x14ac:dyDescent="0.25">
      <c r="B245" s="580"/>
      <c r="C245" s="520" t="s">
        <v>535</v>
      </c>
      <c r="D245" s="508" t="s">
        <v>534</v>
      </c>
      <c r="E245" s="521">
        <v>0.1</v>
      </c>
      <c r="F245" s="522">
        <f t="shared" si="0"/>
        <v>20</v>
      </c>
      <c r="G245" s="557"/>
      <c r="H245" s="557"/>
      <c r="I245" s="557"/>
      <c r="J245" s="557"/>
      <c r="K245" s="557"/>
      <c r="L245" s="557"/>
      <c r="M245" s="584"/>
    </row>
    <row r="246" spans="2:13" ht="16.5" customHeight="1" x14ac:dyDescent="0.25">
      <c r="B246" s="580"/>
      <c r="C246" s="520" t="s">
        <v>588</v>
      </c>
      <c r="D246" s="508" t="s">
        <v>587</v>
      </c>
      <c r="E246" s="521">
        <v>2</v>
      </c>
      <c r="F246" s="522">
        <f t="shared" si="0"/>
        <v>1</v>
      </c>
      <c r="G246" s="557"/>
      <c r="H246" s="557"/>
      <c r="I246" s="557"/>
      <c r="J246" s="557"/>
      <c r="K246" s="557"/>
      <c r="L246" s="557"/>
      <c r="M246" s="584"/>
    </row>
    <row r="247" spans="2:13" ht="16.5" customHeight="1" x14ac:dyDescent="0.25">
      <c r="B247" s="580"/>
      <c r="C247" s="520" t="s">
        <v>571</v>
      </c>
      <c r="D247" s="508" t="s">
        <v>570</v>
      </c>
      <c r="E247" s="521">
        <v>5</v>
      </c>
      <c r="F247" s="522">
        <f t="shared" si="0"/>
        <v>0.4</v>
      </c>
      <c r="G247" s="557"/>
      <c r="H247" s="557"/>
      <c r="I247" s="557"/>
      <c r="J247" s="557"/>
      <c r="K247" s="557"/>
      <c r="L247" s="557"/>
      <c r="M247" s="584"/>
    </row>
    <row r="248" spans="2:13" ht="16.5" customHeight="1" x14ac:dyDescent="0.25">
      <c r="B248" s="580"/>
      <c r="C248" s="520" t="s">
        <v>442</v>
      </c>
      <c r="D248" s="508" t="s">
        <v>441</v>
      </c>
      <c r="E248" s="521">
        <v>25</v>
      </c>
      <c r="F248" s="522">
        <f t="shared" si="0"/>
        <v>0.08</v>
      </c>
      <c r="G248" s="557"/>
      <c r="H248" s="557"/>
      <c r="I248" s="557"/>
      <c r="J248" s="557"/>
      <c r="K248" s="557"/>
      <c r="L248" s="557"/>
      <c r="M248" s="584"/>
    </row>
    <row r="249" spans="2:13" ht="16.5" customHeight="1" x14ac:dyDescent="0.25">
      <c r="B249" s="580"/>
      <c r="C249" s="520" t="s">
        <v>565</v>
      </c>
      <c r="D249" s="508" t="s">
        <v>564</v>
      </c>
      <c r="E249" s="521">
        <v>20</v>
      </c>
      <c r="F249" s="522">
        <f t="shared" si="0"/>
        <v>0.1</v>
      </c>
      <c r="G249" s="557"/>
      <c r="H249" s="557"/>
      <c r="I249" s="557"/>
      <c r="J249" s="557"/>
      <c r="K249" s="557"/>
      <c r="L249" s="557"/>
      <c r="M249" s="584"/>
    </row>
    <row r="250" spans="2:13" ht="16.5" customHeight="1" x14ac:dyDescent="0.25">
      <c r="B250" s="580"/>
      <c r="C250" s="520" t="s">
        <v>654</v>
      </c>
      <c r="D250" s="508" t="s">
        <v>653</v>
      </c>
      <c r="E250" s="521">
        <v>1</v>
      </c>
      <c r="F250" s="522">
        <f t="shared" si="0"/>
        <v>2</v>
      </c>
      <c r="G250" s="557"/>
      <c r="H250" s="557"/>
      <c r="I250" s="557"/>
      <c r="J250" s="557"/>
      <c r="K250" s="557"/>
      <c r="L250" s="557"/>
      <c r="M250" s="584"/>
    </row>
    <row r="251" spans="2:13" ht="16.5" customHeight="1" x14ac:dyDescent="0.25">
      <c r="B251" s="580"/>
      <c r="C251" s="520" t="s">
        <v>563</v>
      </c>
      <c r="D251" s="508" t="s">
        <v>562</v>
      </c>
      <c r="E251" s="521">
        <v>12</v>
      </c>
      <c r="F251" s="522">
        <f t="shared" si="0"/>
        <v>0.16666666666666666</v>
      </c>
      <c r="G251" s="557"/>
      <c r="H251" s="557"/>
      <c r="I251" s="557"/>
      <c r="J251" s="557"/>
      <c r="K251" s="557"/>
      <c r="L251" s="557"/>
      <c r="M251" s="584"/>
    </row>
    <row r="252" spans="2:13" ht="16.5" customHeight="1" x14ac:dyDescent="0.25">
      <c r="B252" s="580"/>
      <c r="C252" s="520" t="s">
        <v>411</v>
      </c>
      <c r="D252" s="508" t="s">
        <v>410</v>
      </c>
      <c r="E252" s="521">
        <v>40</v>
      </c>
      <c r="F252" s="522">
        <f t="shared" si="0"/>
        <v>0.05</v>
      </c>
      <c r="G252" s="557"/>
      <c r="H252" s="557"/>
      <c r="I252" s="557"/>
      <c r="J252" s="557"/>
      <c r="K252" s="557"/>
      <c r="L252" s="557"/>
      <c r="M252" s="584"/>
    </row>
    <row r="253" spans="2:13" ht="16.5" customHeight="1" x14ac:dyDescent="0.25">
      <c r="B253" s="580"/>
      <c r="C253" s="520" t="s">
        <v>645</v>
      </c>
      <c r="D253" s="508" t="s">
        <v>243</v>
      </c>
      <c r="E253" s="521">
        <v>30</v>
      </c>
      <c r="F253" s="522">
        <f t="shared" si="0"/>
        <v>6.6666666666666666E-2</v>
      </c>
      <c r="G253" s="557"/>
      <c r="H253" s="557"/>
      <c r="I253" s="557"/>
      <c r="J253" s="557"/>
      <c r="K253" s="557"/>
      <c r="L253" s="557"/>
      <c r="M253" s="584"/>
    </row>
    <row r="254" spans="2:13" ht="16.5" customHeight="1" x14ac:dyDescent="0.25">
      <c r="B254" s="580"/>
      <c r="C254" s="520" t="s">
        <v>642</v>
      </c>
      <c r="D254" s="523" t="s">
        <v>649</v>
      </c>
      <c r="E254" s="521">
        <v>100</v>
      </c>
      <c r="F254" s="522">
        <f t="shared" si="0"/>
        <v>0.02</v>
      </c>
      <c r="G254" s="557"/>
      <c r="H254" s="557"/>
      <c r="I254" s="557"/>
      <c r="J254" s="557"/>
      <c r="K254" s="557"/>
      <c r="L254" s="557"/>
      <c r="M254" s="584"/>
    </row>
    <row r="255" spans="2:13" ht="16.5" customHeight="1" x14ac:dyDescent="0.25">
      <c r="B255" s="580"/>
      <c r="C255" s="520" t="s">
        <v>415</v>
      </c>
      <c r="D255" s="508" t="s">
        <v>414</v>
      </c>
      <c r="E255" s="521">
        <v>50</v>
      </c>
      <c r="F255" s="522">
        <f t="shared" si="0"/>
        <v>0.04</v>
      </c>
      <c r="G255" s="557"/>
      <c r="H255" s="557"/>
      <c r="I255" s="557"/>
      <c r="J255" s="557"/>
      <c r="K255" s="557"/>
      <c r="L255" s="557"/>
      <c r="M255" s="584"/>
    </row>
    <row r="256" spans="2:13" ht="16.5" customHeight="1" x14ac:dyDescent="0.25">
      <c r="B256" s="580"/>
      <c r="C256" s="520" t="s">
        <v>520</v>
      </c>
      <c r="D256" s="508" t="s">
        <v>249</v>
      </c>
      <c r="E256" s="521">
        <v>20</v>
      </c>
      <c r="F256" s="522">
        <f t="shared" ref="F256:F287" si="1">$E$285/E256</f>
        <v>0.1</v>
      </c>
      <c r="G256" s="557"/>
      <c r="H256" s="557"/>
      <c r="I256" s="557"/>
      <c r="J256" s="557"/>
      <c r="K256" s="557"/>
      <c r="L256" s="557"/>
      <c r="M256" s="584"/>
    </row>
    <row r="257" spans="2:13" ht="16.5" customHeight="1" x14ac:dyDescent="0.25">
      <c r="B257" s="580"/>
      <c r="C257" s="520" t="s">
        <v>606</v>
      </c>
      <c r="D257" s="508" t="s">
        <v>153</v>
      </c>
      <c r="E257" s="521">
        <v>50</v>
      </c>
      <c r="F257" s="522">
        <f t="shared" si="1"/>
        <v>0.04</v>
      </c>
      <c r="G257" s="557"/>
      <c r="H257" s="557"/>
      <c r="I257" s="557"/>
      <c r="J257" s="557"/>
      <c r="K257" s="557"/>
      <c r="L257" s="557"/>
      <c r="M257" s="584"/>
    </row>
    <row r="258" spans="2:13" ht="16.5" customHeight="1" x14ac:dyDescent="0.25">
      <c r="B258" s="580"/>
      <c r="C258" s="520" t="s">
        <v>470</v>
      </c>
      <c r="D258" s="508" t="s">
        <v>469</v>
      </c>
      <c r="E258" s="521">
        <v>10</v>
      </c>
      <c r="F258" s="522">
        <f t="shared" si="1"/>
        <v>0.2</v>
      </c>
      <c r="G258" s="557"/>
      <c r="H258" s="557"/>
      <c r="I258" s="557"/>
      <c r="J258" s="557"/>
      <c r="K258" s="557"/>
      <c r="L258" s="557"/>
      <c r="M258" s="584"/>
    </row>
    <row r="259" spans="2:13" ht="16.5" customHeight="1" x14ac:dyDescent="0.25">
      <c r="B259" s="580"/>
      <c r="C259" s="520" t="s">
        <v>647</v>
      </c>
      <c r="D259" s="508" t="s">
        <v>247</v>
      </c>
      <c r="E259" s="521">
        <v>30</v>
      </c>
      <c r="F259" s="522">
        <f t="shared" si="1"/>
        <v>6.6666666666666666E-2</v>
      </c>
      <c r="G259" s="557"/>
      <c r="H259" s="557"/>
      <c r="I259" s="557"/>
      <c r="J259" s="557"/>
      <c r="K259" s="557"/>
      <c r="L259" s="557"/>
      <c r="M259" s="584"/>
    </row>
    <row r="260" spans="2:13" ht="16.5" customHeight="1" x14ac:dyDescent="0.25">
      <c r="B260" s="580"/>
      <c r="C260" s="520" t="s">
        <v>643</v>
      </c>
      <c r="D260" s="523" t="s">
        <v>650</v>
      </c>
      <c r="E260" s="521">
        <v>100</v>
      </c>
      <c r="F260" s="522">
        <f t="shared" si="1"/>
        <v>0.02</v>
      </c>
      <c r="G260" s="557"/>
      <c r="H260" s="557"/>
      <c r="I260" s="557"/>
      <c r="J260" s="557"/>
      <c r="K260" s="557"/>
      <c r="L260" s="557"/>
      <c r="M260" s="584"/>
    </row>
    <row r="261" spans="2:13" ht="16.5" customHeight="1" x14ac:dyDescent="0.25">
      <c r="B261" s="580"/>
      <c r="C261" s="520" t="s">
        <v>421</v>
      </c>
      <c r="D261" s="508" t="s">
        <v>420</v>
      </c>
      <c r="E261" s="521">
        <v>50</v>
      </c>
      <c r="F261" s="522">
        <f t="shared" si="1"/>
        <v>0.04</v>
      </c>
      <c r="G261" s="557"/>
      <c r="H261" s="557"/>
      <c r="I261" s="557"/>
      <c r="J261" s="557"/>
      <c r="K261" s="557"/>
      <c r="L261" s="557"/>
      <c r="M261" s="584"/>
    </row>
    <row r="262" spans="2:13" ht="16.5" customHeight="1" x14ac:dyDescent="0.25">
      <c r="B262" s="580"/>
      <c r="C262" s="520" t="s">
        <v>409</v>
      </c>
      <c r="D262" s="508" t="s">
        <v>386</v>
      </c>
      <c r="E262" s="521">
        <v>10</v>
      </c>
      <c r="F262" s="522">
        <f t="shared" si="1"/>
        <v>0.2</v>
      </c>
      <c r="G262" s="557"/>
      <c r="H262" s="557"/>
      <c r="I262" s="557"/>
      <c r="J262" s="557"/>
      <c r="K262" s="557"/>
      <c r="L262" s="557"/>
      <c r="M262" s="584"/>
    </row>
    <row r="263" spans="2:13" ht="16.5" customHeight="1" x14ac:dyDescent="0.25">
      <c r="B263" s="580"/>
      <c r="C263" s="520" t="s">
        <v>646</v>
      </c>
      <c r="D263" s="508" t="s">
        <v>245</v>
      </c>
      <c r="E263" s="521">
        <v>30</v>
      </c>
      <c r="F263" s="522">
        <f t="shared" si="1"/>
        <v>6.6666666666666666E-2</v>
      </c>
      <c r="G263" s="557"/>
      <c r="H263" s="557"/>
      <c r="I263" s="557"/>
      <c r="J263" s="557"/>
      <c r="K263" s="557"/>
      <c r="L263" s="557"/>
      <c r="M263" s="584"/>
    </row>
    <row r="264" spans="2:13" ht="16.5" customHeight="1" x14ac:dyDescent="0.25">
      <c r="B264" s="580"/>
      <c r="C264" s="520" t="s">
        <v>641</v>
      </c>
      <c r="D264" s="523" t="s">
        <v>648</v>
      </c>
      <c r="E264" s="521">
        <v>100</v>
      </c>
      <c r="F264" s="522">
        <f t="shared" si="1"/>
        <v>0.02</v>
      </c>
      <c r="G264" s="557"/>
      <c r="H264" s="557"/>
      <c r="I264" s="557"/>
      <c r="J264" s="557"/>
      <c r="K264" s="557"/>
      <c r="L264" s="557"/>
      <c r="M264" s="584"/>
    </row>
    <row r="265" spans="2:13" ht="16.5" customHeight="1" x14ac:dyDescent="0.25">
      <c r="B265" s="580"/>
      <c r="C265" s="520" t="s">
        <v>417</v>
      </c>
      <c r="D265" s="508" t="s">
        <v>416</v>
      </c>
      <c r="E265" s="521">
        <v>50</v>
      </c>
      <c r="F265" s="522">
        <f t="shared" si="1"/>
        <v>0.04</v>
      </c>
      <c r="G265" s="557"/>
      <c r="H265" s="557"/>
      <c r="I265" s="557"/>
      <c r="J265" s="557"/>
      <c r="K265" s="557"/>
      <c r="L265" s="557"/>
      <c r="M265" s="584"/>
    </row>
    <row r="266" spans="2:13" ht="16.5" customHeight="1" x14ac:dyDescent="0.25">
      <c r="B266" s="580"/>
      <c r="C266" s="520" t="s">
        <v>619</v>
      </c>
      <c r="D266" s="508" t="s">
        <v>241</v>
      </c>
      <c r="E266" s="521">
        <v>40</v>
      </c>
      <c r="F266" s="522">
        <f t="shared" si="1"/>
        <v>0.05</v>
      </c>
      <c r="G266" s="557"/>
      <c r="H266" s="557"/>
      <c r="I266" s="557"/>
      <c r="J266" s="557"/>
      <c r="K266" s="557"/>
      <c r="L266" s="557"/>
      <c r="M266" s="584"/>
    </row>
    <row r="267" spans="2:13" ht="16.5" customHeight="1" x14ac:dyDescent="0.25">
      <c r="B267" s="580"/>
      <c r="C267" s="520" t="s">
        <v>591</v>
      </c>
      <c r="D267" s="508" t="s">
        <v>396</v>
      </c>
      <c r="E267" s="521">
        <v>30</v>
      </c>
      <c r="F267" s="522">
        <f t="shared" si="1"/>
        <v>6.6666666666666666E-2</v>
      </c>
      <c r="G267" s="557"/>
      <c r="H267" s="557"/>
      <c r="I267" s="557"/>
      <c r="J267" s="557"/>
      <c r="K267" s="557"/>
      <c r="L267" s="557"/>
      <c r="M267" s="584"/>
    </row>
    <row r="268" spans="2:13" ht="16.5" customHeight="1" x14ac:dyDescent="0.25">
      <c r="B268" s="580"/>
      <c r="C268" s="520" t="s">
        <v>517</v>
      </c>
      <c r="D268" s="508" t="s">
        <v>516</v>
      </c>
      <c r="E268" s="521">
        <v>3.0000000000000001E-3</v>
      </c>
      <c r="F268" s="522">
        <f t="shared" si="1"/>
        <v>666.66666666666663</v>
      </c>
      <c r="G268" s="557"/>
      <c r="H268" s="557"/>
      <c r="I268" s="557"/>
      <c r="J268" s="557"/>
      <c r="K268" s="557"/>
      <c r="L268" s="557"/>
      <c r="M268" s="584"/>
    </row>
    <row r="269" spans="2:13" ht="16.5" customHeight="1" x14ac:dyDescent="0.25">
      <c r="B269" s="580"/>
      <c r="C269" s="520" t="s">
        <v>611</v>
      </c>
      <c r="D269" s="508" t="s">
        <v>610</v>
      </c>
      <c r="E269" s="521">
        <v>1</v>
      </c>
      <c r="F269" s="522">
        <f t="shared" si="1"/>
        <v>2</v>
      </c>
      <c r="G269" s="557"/>
      <c r="H269" s="557"/>
      <c r="I269" s="557"/>
      <c r="J269" s="557"/>
      <c r="K269" s="557"/>
      <c r="L269" s="557"/>
      <c r="M269" s="584"/>
    </row>
    <row r="270" spans="2:13" ht="16.5" customHeight="1" x14ac:dyDescent="0.25">
      <c r="B270" s="580"/>
      <c r="C270" s="520" t="s">
        <v>511</v>
      </c>
      <c r="D270" s="508" t="s">
        <v>489</v>
      </c>
      <c r="E270" s="521">
        <v>20</v>
      </c>
      <c r="F270" s="522">
        <f t="shared" si="1"/>
        <v>0.1</v>
      </c>
      <c r="G270" s="557"/>
      <c r="H270" s="557"/>
      <c r="I270" s="557"/>
      <c r="J270" s="557"/>
      <c r="K270" s="557"/>
      <c r="L270" s="557"/>
      <c r="M270" s="584"/>
    </row>
    <row r="271" spans="2:13" ht="16.5" customHeight="1" x14ac:dyDescent="0.25">
      <c r="B271" s="580"/>
      <c r="C271" s="520" t="s">
        <v>533</v>
      </c>
      <c r="D271" s="508" t="s">
        <v>532</v>
      </c>
      <c r="E271" s="521">
        <v>0.03</v>
      </c>
      <c r="F271" s="522">
        <f t="shared" si="1"/>
        <v>66.666666666666671</v>
      </c>
      <c r="G271" s="557"/>
      <c r="H271" s="557"/>
      <c r="I271" s="557"/>
      <c r="J271" s="557"/>
      <c r="K271" s="557"/>
      <c r="L271" s="557"/>
      <c r="M271" s="584"/>
    </row>
    <row r="272" spans="2:13" ht="16.5" customHeight="1" x14ac:dyDescent="0.25">
      <c r="B272" s="580"/>
      <c r="C272" s="520" t="s">
        <v>413</v>
      </c>
      <c r="D272" s="508" t="s">
        <v>412</v>
      </c>
      <c r="E272" s="521">
        <v>20</v>
      </c>
      <c r="F272" s="522">
        <f t="shared" si="1"/>
        <v>0.1</v>
      </c>
      <c r="G272" s="557"/>
      <c r="H272" s="557"/>
      <c r="I272" s="557"/>
      <c r="J272" s="557"/>
      <c r="K272" s="557"/>
      <c r="L272" s="557"/>
      <c r="M272" s="584"/>
    </row>
    <row r="273" spans="2:13" ht="16.5" customHeight="1" x14ac:dyDescent="0.25">
      <c r="B273" s="580"/>
      <c r="C273" s="520" t="s">
        <v>556</v>
      </c>
      <c r="D273" s="508" t="s">
        <v>555</v>
      </c>
      <c r="E273" s="521">
        <v>0.01</v>
      </c>
      <c r="F273" s="522">
        <f t="shared" si="1"/>
        <v>200</v>
      </c>
      <c r="G273" s="557"/>
      <c r="H273" s="557"/>
      <c r="I273" s="557"/>
      <c r="J273" s="557"/>
      <c r="K273" s="557"/>
      <c r="L273" s="557"/>
      <c r="M273" s="584"/>
    </row>
    <row r="274" spans="2:13" ht="16.5" customHeight="1" x14ac:dyDescent="0.25">
      <c r="B274" s="580"/>
      <c r="C274" s="520" t="s">
        <v>524</v>
      </c>
      <c r="D274" s="508" t="s">
        <v>523</v>
      </c>
      <c r="E274" s="521">
        <v>0.01</v>
      </c>
      <c r="F274" s="522">
        <f t="shared" si="1"/>
        <v>200</v>
      </c>
      <c r="G274" s="557"/>
      <c r="H274" s="557"/>
      <c r="I274" s="557"/>
      <c r="J274" s="557"/>
      <c r="K274" s="557"/>
      <c r="L274" s="557"/>
      <c r="M274" s="584"/>
    </row>
    <row r="275" spans="2:13" ht="16.5" customHeight="1" x14ac:dyDescent="0.25">
      <c r="B275" s="580"/>
      <c r="C275" s="520" t="s">
        <v>605</v>
      </c>
      <c r="D275" s="508" t="s">
        <v>604</v>
      </c>
      <c r="E275" s="521">
        <v>2</v>
      </c>
      <c r="F275" s="522">
        <f t="shared" si="1"/>
        <v>1</v>
      </c>
      <c r="G275" s="557"/>
      <c r="H275" s="557"/>
      <c r="I275" s="557"/>
      <c r="J275" s="557"/>
      <c r="K275" s="557"/>
      <c r="L275" s="557"/>
      <c r="M275" s="584"/>
    </row>
    <row r="276" spans="2:13" ht="16.5" customHeight="1" x14ac:dyDescent="0.25">
      <c r="B276" s="580"/>
      <c r="C276" s="520" t="s">
        <v>625</v>
      </c>
      <c r="D276" s="508" t="s">
        <v>624</v>
      </c>
      <c r="E276" s="521">
        <v>50</v>
      </c>
      <c r="F276" s="522">
        <f t="shared" si="1"/>
        <v>0.04</v>
      </c>
      <c r="G276" s="557"/>
      <c r="H276" s="557"/>
      <c r="I276" s="557"/>
      <c r="J276" s="557"/>
      <c r="K276" s="557"/>
      <c r="L276" s="557"/>
      <c r="M276" s="584"/>
    </row>
    <row r="277" spans="2:13" ht="16.5" customHeight="1" x14ac:dyDescent="0.25">
      <c r="B277" s="580"/>
      <c r="C277" s="520" t="s">
        <v>612</v>
      </c>
      <c r="D277" s="508" t="s">
        <v>342</v>
      </c>
      <c r="E277" s="521">
        <v>10</v>
      </c>
      <c r="F277" s="522">
        <f t="shared" si="1"/>
        <v>0.2</v>
      </c>
      <c r="G277" s="557"/>
      <c r="H277" s="557"/>
      <c r="I277" s="557"/>
      <c r="J277" s="557"/>
      <c r="K277" s="557"/>
      <c r="L277" s="557"/>
      <c r="M277" s="584"/>
    </row>
    <row r="278" spans="2:13" ht="16.5" customHeight="1" x14ac:dyDescent="0.25">
      <c r="B278" s="580"/>
      <c r="C278" s="520" t="s">
        <v>510</v>
      </c>
      <c r="D278" s="508" t="s">
        <v>509</v>
      </c>
      <c r="E278" s="521">
        <v>800</v>
      </c>
      <c r="F278" s="522">
        <f t="shared" si="1"/>
        <v>2.5000000000000001E-3</v>
      </c>
      <c r="G278" s="557"/>
      <c r="H278" s="557"/>
      <c r="I278" s="557"/>
      <c r="J278" s="557"/>
      <c r="K278" s="557"/>
      <c r="L278" s="557"/>
      <c r="M278" s="584"/>
    </row>
    <row r="279" spans="2:13" ht="16.5" customHeight="1" x14ac:dyDescent="0.25">
      <c r="B279" s="580"/>
      <c r="C279" s="520" t="s">
        <v>577</v>
      </c>
      <c r="D279" s="508" t="s">
        <v>576</v>
      </c>
      <c r="E279" s="521">
        <v>1000</v>
      </c>
      <c r="F279" s="522">
        <f t="shared" si="1"/>
        <v>2E-3</v>
      </c>
      <c r="G279" s="557"/>
      <c r="H279" s="557"/>
      <c r="I279" s="557"/>
      <c r="J279" s="557"/>
      <c r="K279" s="557"/>
      <c r="L279" s="557"/>
      <c r="M279" s="584"/>
    </row>
    <row r="280" spans="2:13" ht="16.5" customHeight="1" x14ac:dyDescent="0.25">
      <c r="B280" s="580"/>
      <c r="C280" s="520" t="s">
        <v>616</v>
      </c>
      <c r="D280" s="508" t="s">
        <v>615</v>
      </c>
      <c r="E280" s="521">
        <v>5</v>
      </c>
      <c r="F280" s="522">
        <f t="shared" si="1"/>
        <v>0.4</v>
      </c>
      <c r="G280" s="557"/>
      <c r="H280" s="557"/>
      <c r="I280" s="557"/>
      <c r="J280" s="557"/>
      <c r="K280" s="557"/>
      <c r="L280" s="557"/>
      <c r="M280" s="584"/>
    </row>
    <row r="281" spans="2:13" ht="16.5" customHeight="1" x14ac:dyDescent="0.25">
      <c r="B281" s="580"/>
      <c r="C281" s="520" t="s">
        <v>528</v>
      </c>
      <c r="D281" s="508" t="s">
        <v>527</v>
      </c>
      <c r="E281" s="521">
        <v>2E-3</v>
      </c>
      <c r="F281" s="522">
        <f t="shared" si="1"/>
        <v>1000</v>
      </c>
      <c r="G281" s="557"/>
      <c r="H281" s="557"/>
      <c r="I281" s="557"/>
      <c r="J281" s="557"/>
      <c r="K281" s="557"/>
      <c r="L281" s="557"/>
      <c r="M281" s="584"/>
    </row>
    <row r="282" spans="2:13" ht="16.5" customHeight="1" x14ac:dyDescent="0.25">
      <c r="B282" s="580"/>
      <c r="C282" s="520" t="s">
        <v>522</v>
      </c>
      <c r="D282" s="508" t="s">
        <v>521</v>
      </c>
      <c r="E282" s="521">
        <v>0.03</v>
      </c>
      <c r="F282" s="522">
        <f t="shared" si="1"/>
        <v>66.666666666666671</v>
      </c>
      <c r="G282" s="557"/>
      <c r="H282" s="557"/>
      <c r="I282" s="557"/>
      <c r="J282" s="557"/>
      <c r="K282" s="557"/>
      <c r="L282" s="557"/>
      <c r="M282" s="584"/>
    </row>
    <row r="283" spans="2:13" ht="16.5" customHeight="1" x14ac:dyDescent="0.25">
      <c r="B283" s="580"/>
      <c r="C283" s="520" t="s">
        <v>427</v>
      </c>
      <c r="D283" s="508" t="s">
        <v>426</v>
      </c>
      <c r="E283" s="521">
        <v>0.03</v>
      </c>
      <c r="F283" s="522">
        <f t="shared" si="1"/>
        <v>66.666666666666671</v>
      </c>
      <c r="G283" s="557"/>
      <c r="H283" s="557"/>
      <c r="I283" s="557"/>
      <c r="J283" s="557"/>
      <c r="K283" s="557"/>
      <c r="L283" s="557"/>
      <c r="M283" s="584"/>
    </row>
    <row r="284" spans="2:13" ht="16.5" customHeight="1" x14ac:dyDescent="0.25">
      <c r="B284" s="580"/>
      <c r="C284" s="520" t="s">
        <v>508</v>
      </c>
      <c r="D284" s="508" t="s">
        <v>507</v>
      </c>
      <c r="E284" s="521">
        <v>2</v>
      </c>
      <c r="F284" s="522">
        <f t="shared" si="1"/>
        <v>1</v>
      </c>
      <c r="G284" s="557"/>
      <c r="H284" s="557"/>
      <c r="I284" s="557"/>
      <c r="J284" s="557"/>
      <c r="K284" s="557"/>
      <c r="L284" s="557"/>
      <c r="M284" s="584"/>
    </row>
    <row r="285" spans="2:13" ht="16.5" customHeight="1" x14ac:dyDescent="0.25">
      <c r="B285" s="580"/>
      <c r="C285" s="520" t="s">
        <v>552</v>
      </c>
      <c r="D285" s="508" t="s">
        <v>551</v>
      </c>
      <c r="E285" s="521">
        <v>2</v>
      </c>
      <c r="F285" s="522">
        <f t="shared" si="1"/>
        <v>1</v>
      </c>
      <c r="G285" s="557"/>
      <c r="H285" s="557"/>
      <c r="I285" s="557"/>
      <c r="J285" s="557"/>
      <c r="K285" s="557"/>
      <c r="L285" s="557"/>
      <c r="M285" s="584"/>
    </row>
    <row r="286" spans="2:13" ht="16.5" customHeight="1" x14ac:dyDescent="0.25">
      <c r="B286" s="580"/>
      <c r="C286" s="520" t="s">
        <v>495</v>
      </c>
      <c r="D286" s="508" t="s">
        <v>494</v>
      </c>
      <c r="E286" s="521">
        <v>0.03</v>
      </c>
      <c r="F286" s="522">
        <f t="shared" si="1"/>
        <v>66.666666666666671</v>
      </c>
      <c r="G286" s="557"/>
      <c r="H286" s="557"/>
      <c r="I286" s="557"/>
      <c r="J286" s="557"/>
      <c r="K286" s="557"/>
      <c r="L286" s="557"/>
      <c r="M286" s="584"/>
    </row>
    <row r="287" spans="2:13" ht="16.5" customHeight="1" x14ac:dyDescent="0.25">
      <c r="B287" s="580"/>
      <c r="C287" s="520" t="s">
        <v>526</v>
      </c>
      <c r="D287" s="508" t="s">
        <v>525</v>
      </c>
      <c r="E287" s="521">
        <v>1</v>
      </c>
      <c r="F287" s="522">
        <f t="shared" si="1"/>
        <v>2</v>
      </c>
      <c r="G287" s="557"/>
      <c r="H287" s="557"/>
      <c r="I287" s="557"/>
      <c r="J287" s="557"/>
      <c r="K287" s="557"/>
      <c r="L287" s="557"/>
      <c r="M287" s="584"/>
    </row>
    <row r="288" spans="2:13" ht="16.5" customHeight="1" x14ac:dyDescent="0.25">
      <c r="B288" s="580"/>
      <c r="C288" s="520" t="s">
        <v>526</v>
      </c>
      <c r="D288" s="508" t="s">
        <v>525</v>
      </c>
      <c r="E288" s="521">
        <v>0.05</v>
      </c>
      <c r="F288" s="522">
        <f t="shared" ref="F288:F319" si="2">$E$285/E288</f>
        <v>40</v>
      </c>
      <c r="G288" s="557"/>
      <c r="H288" s="557"/>
      <c r="I288" s="557"/>
      <c r="J288" s="557"/>
      <c r="K288" s="557"/>
      <c r="L288" s="557"/>
      <c r="M288" s="584"/>
    </row>
    <row r="289" spans="2:13" ht="16.5" customHeight="1" x14ac:dyDescent="0.25">
      <c r="B289" s="580"/>
      <c r="C289" s="520" t="s">
        <v>544</v>
      </c>
      <c r="D289" s="508" t="s">
        <v>543</v>
      </c>
      <c r="E289" s="521">
        <v>0.03</v>
      </c>
      <c r="F289" s="522">
        <f t="shared" si="2"/>
        <v>66.666666666666671</v>
      </c>
      <c r="G289" s="557"/>
      <c r="H289" s="557"/>
      <c r="I289" s="557"/>
      <c r="J289" s="557"/>
      <c r="K289" s="557"/>
      <c r="L289" s="557"/>
      <c r="M289" s="584"/>
    </row>
    <row r="290" spans="2:13" ht="16.5" customHeight="1" x14ac:dyDescent="0.25">
      <c r="B290" s="580"/>
      <c r="C290" s="520" t="s">
        <v>456</v>
      </c>
      <c r="D290" s="508" t="s">
        <v>455</v>
      </c>
      <c r="E290" s="521">
        <v>0.03</v>
      </c>
      <c r="F290" s="522">
        <f t="shared" si="2"/>
        <v>66.666666666666671</v>
      </c>
      <c r="G290" s="557"/>
      <c r="H290" s="557"/>
      <c r="I290" s="557"/>
      <c r="J290" s="557"/>
      <c r="K290" s="557"/>
      <c r="L290" s="557"/>
      <c r="M290" s="584"/>
    </row>
    <row r="291" spans="2:13" ht="16.5" customHeight="1" x14ac:dyDescent="0.25">
      <c r="B291" s="580"/>
      <c r="C291" s="520" t="s">
        <v>537</v>
      </c>
      <c r="D291" s="508" t="s">
        <v>536</v>
      </c>
      <c r="E291" s="521">
        <v>0.02</v>
      </c>
      <c r="F291" s="522">
        <f t="shared" si="2"/>
        <v>100</v>
      </c>
      <c r="G291" s="557"/>
      <c r="H291" s="557"/>
      <c r="I291" s="557"/>
      <c r="J291" s="557"/>
      <c r="K291" s="557"/>
      <c r="L291" s="557"/>
      <c r="M291" s="584"/>
    </row>
    <row r="292" spans="2:13" ht="16.5" customHeight="1" x14ac:dyDescent="0.25">
      <c r="B292" s="580"/>
      <c r="C292" s="520" t="s">
        <v>634</v>
      </c>
      <c r="D292" s="508" t="s">
        <v>633</v>
      </c>
      <c r="E292" s="521">
        <v>8.0000000000000002E-3</v>
      </c>
      <c r="F292" s="522">
        <f t="shared" si="2"/>
        <v>250</v>
      </c>
      <c r="G292" s="557"/>
      <c r="H292" s="557"/>
      <c r="I292" s="557"/>
      <c r="J292" s="557"/>
      <c r="K292" s="557"/>
      <c r="L292" s="557"/>
      <c r="M292" s="584"/>
    </row>
    <row r="293" spans="2:13" ht="16.5" customHeight="1" x14ac:dyDescent="0.25">
      <c r="B293" s="580"/>
      <c r="C293" s="520" t="s">
        <v>581</v>
      </c>
      <c r="D293" s="508" t="s">
        <v>580</v>
      </c>
      <c r="E293" s="521">
        <v>0.01</v>
      </c>
      <c r="F293" s="522">
        <f t="shared" si="2"/>
        <v>200</v>
      </c>
      <c r="G293" s="557"/>
      <c r="H293" s="557"/>
      <c r="I293" s="557"/>
      <c r="J293" s="557"/>
      <c r="K293" s="557"/>
      <c r="L293" s="557"/>
      <c r="M293" s="584"/>
    </row>
    <row r="294" spans="2:13" ht="16.5" customHeight="1" x14ac:dyDescent="0.25">
      <c r="B294" s="580"/>
      <c r="C294" s="520" t="s">
        <v>644</v>
      </c>
      <c r="D294" s="508" t="s">
        <v>637</v>
      </c>
      <c r="E294" s="521">
        <v>30</v>
      </c>
      <c r="F294" s="522">
        <f t="shared" si="2"/>
        <v>6.6666666666666666E-2</v>
      </c>
      <c r="G294" s="557"/>
      <c r="H294" s="557"/>
      <c r="I294" s="557"/>
      <c r="J294" s="557"/>
      <c r="K294" s="557"/>
      <c r="L294" s="557"/>
      <c r="M294" s="584"/>
    </row>
    <row r="295" spans="2:13" ht="16.5" customHeight="1" x14ac:dyDescent="0.25">
      <c r="B295" s="580"/>
      <c r="C295" s="520" t="s">
        <v>632</v>
      </c>
      <c r="D295" s="508" t="s">
        <v>631</v>
      </c>
      <c r="E295" s="521">
        <v>0.1</v>
      </c>
      <c r="F295" s="522">
        <f t="shared" si="2"/>
        <v>20</v>
      </c>
      <c r="G295" s="557"/>
      <c r="H295" s="557"/>
      <c r="I295" s="557"/>
      <c r="J295" s="557"/>
      <c r="K295" s="557"/>
      <c r="L295" s="557"/>
      <c r="M295" s="584"/>
    </row>
    <row r="296" spans="2:13" ht="16.5" customHeight="1" x14ac:dyDescent="0.25">
      <c r="B296" s="580"/>
      <c r="C296" s="520" t="s">
        <v>540</v>
      </c>
      <c r="D296" s="508" t="s">
        <v>539</v>
      </c>
      <c r="E296" s="521">
        <v>10</v>
      </c>
      <c r="F296" s="522">
        <f t="shared" si="2"/>
        <v>0.2</v>
      </c>
      <c r="G296" s="557"/>
      <c r="H296" s="557"/>
      <c r="I296" s="557"/>
      <c r="J296" s="557"/>
      <c r="K296" s="557"/>
      <c r="L296" s="557"/>
      <c r="M296" s="584"/>
    </row>
    <row r="297" spans="2:13" ht="16.5" customHeight="1" x14ac:dyDescent="0.25">
      <c r="B297" s="580"/>
      <c r="C297" s="520" t="s">
        <v>448</v>
      </c>
      <c r="D297" s="508" t="s">
        <v>447</v>
      </c>
      <c r="E297" s="521">
        <v>100</v>
      </c>
      <c r="F297" s="522">
        <f t="shared" si="2"/>
        <v>0.02</v>
      </c>
      <c r="G297" s="557"/>
      <c r="H297" s="557"/>
      <c r="I297" s="557"/>
      <c r="J297" s="557"/>
      <c r="K297" s="557"/>
      <c r="L297" s="557"/>
      <c r="M297" s="584"/>
    </row>
    <row r="298" spans="2:13" ht="16.5" customHeight="1" x14ac:dyDescent="0.25">
      <c r="B298" s="580"/>
      <c r="C298" s="520" t="s">
        <v>579</v>
      </c>
      <c r="D298" s="508" t="s">
        <v>578</v>
      </c>
      <c r="E298" s="521">
        <v>1</v>
      </c>
      <c r="F298" s="522">
        <f t="shared" si="2"/>
        <v>2</v>
      </c>
      <c r="G298" s="557"/>
      <c r="H298" s="557"/>
      <c r="I298" s="557"/>
      <c r="J298" s="557"/>
      <c r="K298" s="557"/>
      <c r="L298" s="557"/>
      <c r="M298" s="584"/>
    </row>
    <row r="299" spans="2:13" ht="16.5" customHeight="1" x14ac:dyDescent="0.25">
      <c r="B299" s="580"/>
      <c r="C299" s="520" t="s">
        <v>466</v>
      </c>
      <c r="D299" s="508" t="s">
        <v>465</v>
      </c>
      <c r="E299" s="521">
        <v>0.1</v>
      </c>
      <c r="F299" s="522">
        <f t="shared" si="2"/>
        <v>20</v>
      </c>
      <c r="G299" s="557"/>
      <c r="H299" s="557"/>
      <c r="I299" s="557"/>
      <c r="J299" s="557"/>
      <c r="K299" s="557"/>
      <c r="L299" s="557"/>
      <c r="M299" s="584"/>
    </row>
    <row r="300" spans="2:13" ht="16.5" customHeight="1" x14ac:dyDescent="0.25">
      <c r="B300" s="580"/>
      <c r="C300" s="520" t="s">
        <v>431</v>
      </c>
      <c r="D300" s="508" t="s">
        <v>430</v>
      </c>
      <c r="E300" s="521">
        <v>2</v>
      </c>
      <c r="F300" s="522">
        <f t="shared" si="2"/>
        <v>1</v>
      </c>
      <c r="G300" s="557"/>
      <c r="H300" s="557"/>
      <c r="I300" s="557"/>
      <c r="J300" s="557"/>
      <c r="K300" s="557"/>
      <c r="L300" s="557"/>
      <c r="M300" s="584"/>
    </row>
    <row r="301" spans="2:13" ht="16.5" customHeight="1" x14ac:dyDescent="0.25">
      <c r="B301" s="580"/>
      <c r="C301" s="520" t="s">
        <v>569</v>
      </c>
      <c r="D301" s="508" t="s">
        <v>568</v>
      </c>
      <c r="E301" s="521">
        <v>0.01</v>
      </c>
      <c r="F301" s="522">
        <f t="shared" si="2"/>
        <v>200</v>
      </c>
      <c r="G301" s="557"/>
      <c r="H301" s="557"/>
      <c r="I301" s="557"/>
      <c r="J301" s="557"/>
      <c r="K301" s="557"/>
      <c r="L301" s="557"/>
      <c r="M301" s="584"/>
    </row>
    <row r="302" spans="2:13" ht="16.5" customHeight="1" x14ac:dyDescent="0.25">
      <c r="B302" s="580"/>
      <c r="C302" s="520" t="s">
        <v>621</v>
      </c>
      <c r="D302" s="508" t="s">
        <v>620</v>
      </c>
      <c r="E302" s="521">
        <v>0.25</v>
      </c>
      <c r="F302" s="522">
        <f t="shared" si="2"/>
        <v>8</v>
      </c>
      <c r="G302" s="557"/>
      <c r="H302" s="557"/>
      <c r="I302" s="557"/>
      <c r="J302" s="557"/>
      <c r="K302" s="557"/>
      <c r="L302" s="557"/>
      <c r="M302" s="584"/>
    </row>
    <row r="303" spans="2:13" ht="16.5" customHeight="1" x14ac:dyDescent="0.25">
      <c r="B303" s="580"/>
      <c r="C303" s="520" t="s">
        <v>554</v>
      </c>
      <c r="D303" s="508" t="s">
        <v>553</v>
      </c>
      <c r="E303" s="521">
        <v>0.5</v>
      </c>
      <c r="F303" s="522">
        <f t="shared" si="2"/>
        <v>4</v>
      </c>
      <c r="G303" s="557"/>
      <c r="H303" s="557"/>
      <c r="I303" s="557"/>
      <c r="J303" s="557"/>
      <c r="K303" s="557"/>
      <c r="L303" s="557"/>
      <c r="M303" s="584"/>
    </row>
    <row r="304" spans="2:13" ht="16.5" customHeight="1" x14ac:dyDescent="0.25">
      <c r="B304" s="580"/>
      <c r="C304" s="520" t="s">
        <v>472</v>
      </c>
      <c r="D304" s="508" t="s">
        <v>471</v>
      </c>
      <c r="E304" s="521">
        <v>1E-3</v>
      </c>
      <c r="F304" s="522">
        <f t="shared" si="2"/>
        <v>2000</v>
      </c>
      <c r="G304" s="557"/>
      <c r="H304" s="557"/>
      <c r="I304" s="557"/>
      <c r="J304" s="557"/>
      <c r="K304" s="557"/>
      <c r="L304" s="557"/>
      <c r="M304" s="584"/>
    </row>
    <row r="305" spans="2:13" ht="16.5" customHeight="1" x14ac:dyDescent="0.25">
      <c r="B305" s="580"/>
      <c r="C305" s="520" t="s">
        <v>607</v>
      </c>
      <c r="D305" s="508" t="s">
        <v>657</v>
      </c>
      <c r="E305" s="521">
        <v>0.05</v>
      </c>
      <c r="F305" s="522">
        <f t="shared" si="2"/>
        <v>40</v>
      </c>
      <c r="G305" s="557"/>
      <c r="H305" s="557"/>
      <c r="I305" s="557"/>
      <c r="J305" s="557"/>
      <c r="K305" s="557"/>
      <c r="L305" s="557"/>
      <c r="M305" s="584"/>
    </row>
    <row r="306" spans="2:13" ht="16.5" customHeight="1" x14ac:dyDescent="0.25">
      <c r="B306" s="580"/>
      <c r="C306" s="520" t="s">
        <v>607</v>
      </c>
      <c r="D306" s="508" t="s">
        <v>657</v>
      </c>
      <c r="E306" s="521">
        <v>25</v>
      </c>
      <c r="F306" s="522">
        <f t="shared" si="2"/>
        <v>0.08</v>
      </c>
      <c r="G306" s="557"/>
      <c r="H306" s="557"/>
      <c r="I306" s="557"/>
      <c r="J306" s="557"/>
      <c r="K306" s="557"/>
      <c r="L306" s="557"/>
      <c r="M306" s="584"/>
    </row>
    <row r="307" spans="2:13" ht="16.5" customHeight="1" x14ac:dyDescent="0.25">
      <c r="B307" s="580"/>
      <c r="C307" s="520" t="s">
        <v>618</v>
      </c>
      <c r="D307" s="508" t="s">
        <v>617</v>
      </c>
      <c r="E307" s="521">
        <v>10</v>
      </c>
      <c r="F307" s="522">
        <f t="shared" si="2"/>
        <v>0.2</v>
      </c>
      <c r="G307" s="557"/>
      <c r="H307" s="557"/>
      <c r="I307" s="557"/>
      <c r="J307" s="557"/>
      <c r="K307" s="557"/>
      <c r="L307" s="557"/>
      <c r="M307" s="584"/>
    </row>
    <row r="308" spans="2:13" ht="16.5" customHeight="1" x14ac:dyDescent="0.25">
      <c r="B308" s="580"/>
      <c r="C308" s="520" t="s">
        <v>364</v>
      </c>
      <c r="D308" s="508" t="s">
        <v>365</v>
      </c>
      <c r="E308" s="521">
        <v>15</v>
      </c>
      <c r="F308" s="522">
        <f t="shared" si="2"/>
        <v>0.13333333333333333</v>
      </c>
      <c r="G308" s="557"/>
      <c r="H308" s="557"/>
      <c r="I308" s="557"/>
      <c r="J308" s="557"/>
      <c r="K308" s="557"/>
      <c r="L308" s="557"/>
      <c r="M308" s="584"/>
    </row>
    <row r="309" spans="2:13" ht="16.5" customHeight="1" x14ac:dyDescent="0.25">
      <c r="B309" s="580"/>
      <c r="C309" s="520" t="s">
        <v>446</v>
      </c>
      <c r="D309" s="508" t="s">
        <v>445</v>
      </c>
      <c r="E309" s="521">
        <v>2</v>
      </c>
      <c r="F309" s="522">
        <f t="shared" si="2"/>
        <v>1</v>
      </c>
      <c r="G309" s="557"/>
      <c r="H309" s="557"/>
      <c r="I309" s="557"/>
      <c r="J309" s="557"/>
      <c r="K309" s="557"/>
      <c r="L309" s="557"/>
      <c r="M309" s="584"/>
    </row>
    <row r="310" spans="2:13" ht="16.5" customHeight="1" x14ac:dyDescent="0.25">
      <c r="B310" s="580"/>
      <c r="C310" s="520" t="s">
        <v>460</v>
      </c>
      <c r="D310" s="508" t="s">
        <v>459</v>
      </c>
      <c r="E310" s="521">
        <v>2</v>
      </c>
      <c r="F310" s="522">
        <f t="shared" si="2"/>
        <v>1</v>
      </c>
      <c r="G310" s="557"/>
      <c r="H310" s="557"/>
      <c r="I310" s="557"/>
      <c r="J310" s="557"/>
      <c r="K310" s="557"/>
      <c r="L310" s="557"/>
      <c r="M310" s="584"/>
    </row>
    <row r="311" spans="2:13" ht="16.5" customHeight="1" x14ac:dyDescent="0.25">
      <c r="B311" s="580"/>
      <c r="C311" s="520" t="s">
        <v>538</v>
      </c>
      <c r="D311" s="508" t="s">
        <v>655</v>
      </c>
      <c r="E311" s="521">
        <v>0.25</v>
      </c>
      <c r="F311" s="522">
        <f t="shared" si="2"/>
        <v>8</v>
      </c>
      <c r="G311" s="557"/>
      <c r="H311" s="557"/>
      <c r="I311" s="557"/>
      <c r="J311" s="557"/>
      <c r="K311" s="557"/>
      <c r="L311" s="557"/>
      <c r="M311" s="584"/>
    </row>
    <row r="312" spans="2:13" ht="16.5" customHeight="1" x14ac:dyDescent="0.25">
      <c r="B312" s="580"/>
      <c r="C312" s="520" t="s">
        <v>557</v>
      </c>
      <c r="D312" s="508" t="s">
        <v>656</v>
      </c>
      <c r="E312" s="521">
        <v>2</v>
      </c>
      <c r="F312" s="522">
        <f t="shared" si="2"/>
        <v>1</v>
      </c>
      <c r="G312" s="557"/>
      <c r="H312" s="557"/>
      <c r="I312" s="557"/>
      <c r="J312" s="557"/>
      <c r="K312" s="557"/>
      <c r="L312" s="557"/>
      <c r="M312" s="584"/>
    </row>
    <row r="313" spans="2:13" ht="16.5" customHeight="1" x14ac:dyDescent="0.25">
      <c r="B313" s="580"/>
      <c r="C313" s="520" t="s">
        <v>491</v>
      </c>
      <c r="D313" s="508" t="s">
        <v>490</v>
      </c>
      <c r="E313" s="521">
        <v>0.5</v>
      </c>
      <c r="F313" s="522">
        <f t="shared" si="2"/>
        <v>4</v>
      </c>
      <c r="G313" s="557"/>
      <c r="H313" s="557"/>
      <c r="I313" s="557"/>
      <c r="J313" s="557"/>
      <c r="K313" s="557"/>
      <c r="L313" s="557"/>
      <c r="M313" s="584"/>
    </row>
    <row r="314" spans="2:13" ht="16.5" customHeight="1" x14ac:dyDescent="0.25">
      <c r="B314" s="580"/>
      <c r="C314" s="520" t="s">
        <v>454</v>
      </c>
      <c r="D314" s="508" t="s">
        <v>453</v>
      </c>
      <c r="E314" s="521">
        <v>0.1</v>
      </c>
      <c r="F314" s="522">
        <f t="shared" si="2"/>
        <v>20</v>
      </c>
      <c r="G314" s="557"/>
      <c r="H314" s="557"/>
      <c r="I314" s="557"/>
      <c r="J314" s="557"/>
      <c r="K314" s="557"/>
      <c r="L314" s="557"/>
      <c r="M314" s="584"/>
    </row>
    <row r="315" spans="2:13" ht="16.5" customHeight="1" x14ac:dyDescent="0.25">
      <c r="B315" s="580"/>
      <c r="C315" s="520" t="s">
        <v>629</v>
      </c>
      <c r="D315" s="508" t="s">
        <v>628</v>
      </c>
      <c r="E315" s="521">
        <v>0.4</v>
      </c>
      <c r="F315" s="522">
        <f t="shared" si="2"/>
        <v>5</v>
      </c>
      <c r="G315" s="557"/>
      <c r="H315" s="557"/>
      <c r="I315" s="557"/>
      <c r="J315" s="557"/>
      <c r="K315" s="557"/>
      <c r="L315" s="557"/>
      <c r="M315" s="584"/>
    </row>
    <row r="316" spans="2:13" ht="16.5" customHeight="1" x14ac:dyDescent="0.25">
      <c r="B316" s="580"/>
      <c r="C316" s="520" t="s">
        <v>559</v>
      </c>
      <c r="D316" s="508" t="s">
        <v>558</v>
      </c>
      <c r="E316" s="521">
        <v>3</v>
      </c>
      <c r="F316" s="522">
        <f t="shared" si="2"/>
        <v>0.66666666666666663</v>
      </c>
      <c r="G316" s="557"/>
      <c r="H316" s="557"/>
      <c r="I316" s="557"/>
      <c r="J316" s="557"/>
      <c r="K316" s="557"/>
      <c r="L316" s="557"/>
      <c r="M316" s="584"/>
    </row>
    <row r="317" spans="2:13" ht="16.5" customHeight="1" x14ac:dyDescent="0.25">
      <c r="B317" s="580"/>
      <c r="C317" s="520" t="s">
        <v>609</v>
      </c>
      <c r="D317" s="508" t="s">
        <v>608</v>
      </c>
      <c r="E317" s="521">
        <v>400000</v>
      </c>
      <c r="F317" s="522">
        <f t="shared" si="2"/>
        <v>5.0000000000000004E-6</v>
      </c>
      <c r="G317" s="557"/>
      <c r="H317" s="557"/>
      <c r="I317" s="557"/>
      <c r="J317" s="557"/>
      <c r="K317" s="557"/>
      <c r="L317" s="557"/>
      <c r="M317" s="584"/>
    </row>
    <row r="318" spans="2:13" ht="16.5" customHeight="1" x14ac:dyDescent="0.25">
      <c r="B318" s="580"/>
      <c r="C318" s="520" t="s">
        <v>468</v>
      </c>
      <c r="D318" s="508" t="s">
        <v>467</v>
      </c>
      <c r="E318" s="521">
        <v>2</v>
      </c>
      <c r="F318" s="522">
        <f t="shared" si="2"/>
        <v>1</v>
      </c>
      <c r="G318" s="557"/>
      <c r="H318" s="557"/>
      <c r="I318" s="557"/>
      <c r="J318" s="557"/>
      <c r="K318" s="557"/>
      <c r="L318" s="557"/>
      <c r="M318" s="584"/>
    </row>
    <row r="319" spans="2:13" ht="16.5" customHeight="1" x14ac:dyDescent="0.25">
      <c r="B319" s="580"/>
      <c r="C319" s="520" t="s">
        <v>425</v>
      </c>
      <c r="D319" s="508" t="s">
        <v>424</v>
      </c>
      <c r="E319" s="521">
        <v>0.02</v>
      </c>
      <c r="F319" s="522">
        <f t="shared" si="2"/>
        <v>100</v>
      </c>
      <c r="G319" s="557"/>
      <c r="H319" s="557"/>
      <c r="I319" s="557"/>
      <c r="J319" s="557"/>
      <c r="K319" s="557"/>
      <c r="L319" s="557"/>
      <c r="M319" s="584"/>
    </row>
    <row r="320" spans="2:13" ht="16.5" customHeight="1" x14ac:dyDescent="0.25">
      <c r="B320" s="580"/>
      <c r="C320" s="520" t="s">
        <v>458</v>
      </c>
      <c r="D320" s="508" t="s">
        <v>457</v>
      </c>
      <c r="E320" s="521">
        <v>250000</v>
      </c>
      <c r="F320" s="522">
        <f t="shared" ref="F320:F345" si="3">$E$285/E320</f>
        <v>7.9999999999999996E-6</v>
      </c>
      <c r="G320" s="557"/>
      <c r="H320" s="557"/>
      <c r="I320" s="557"/>
      <c r="J320" s="557"/>
      <c r="K320" s="557"/>
      <c r="L320" s="557"/>
      <c r="M320" s="584"/>
    </row>
    <row r="321" spans="2:13" ht="16.5" customHeight="1" x14ac:dyDescent="0.25">
      <c r="B321" s="580"/>
      <c r="C321" s="520" t="s">
        <v>530</v>
      </c>
      <c r="D321" s="508" t="s">
        <v>529</v>
      </c>
      <c r="E321" s="521">
        <v>1000</v>
      </c>
      <c r="F321" s="522">
        <f t="shared" si="3"/>
        <v>2E-3</v>
      </c>
      <c r="G321" s="557"/>
      <c r="H321" s="557"/>
      <c r="I321" s="557"/>
      <c r="J321" s="557"/>
      <c r="K321" s="557"/>
      <c r="L321" s="557"/>
      <c r="M321" s="584"/>
    </row>
    <row r="322" spans="2:13" ht="16.5" customHeight="1" x14ac:dyDescent="0.25">
      <c r="B322" s="580"/>
      <c r="C322" s="520" t="s">
        <v>593</v>
      </c>
      <c r="D322" s="508" t="s">
        <v>592</v>
      </c>
      <c r="E322" s="521">
        <v>1</v>
      </c>
      <c r="F322" s="522">
        <f t="shared" si="3"/>
        <v>2</v>
      </c>
      <c r="G322" s="557"/>
      <c r="H322" s="557"/>
      <c r="I322" s="557"/>
      <c r="J322" s="557"/>
      <c r="K322" s="557"/>
      <c r="L322" s="557"/>
      <c r="M322" s="584"/>
    </row>
    <row r="323" spans="2:13" ht="16.5" customHeight="1" x14ac:dyDescent="0.25">
      <c r="B323" s="580"/>
      <c r="C323" s="520" t="s">
        <v>601</v>
      </c>
      <c r="D323" s="508" t="s">
        <v>600</v>
      </c>
      <c r="E323" s="521">
        <v>100</v>
      </c>
      <c r="F323" s="522">
        <f t="shared" si="3"/>
        <v>0.02</v>
      </c>
      <c r="G323" s="557"/>
      <c r="H323" s="557"/>
      <c r="I323" s="557"/>
      <c r="J323" s="557"/>
      <c r="K323" s="557"/>
      <c r="L323" s="557"/>
      <c r="M323" s="584"/>
    </row>
    <row r="324" spans="2:13" ht="16.5" customHeight="1" x14ac:dyDescent="0.25">
      <c r="B324" s="580"/>
      <c r="C324" s="520" t="s">
        <v>623</v>
      </c>
      <c r="D324" s="508" t="s">
        <v>622</v>
      </c>
      <c r="E324" s="521">
        <v>5.0000000000000001E-3</v>
      </c>
      <c r="F324" s="522">
        <f t="shared" si="3"/>
        <v>400</v>
      </c>
      <c r="G324" s="557"/>
      <c r="H324" s="557"/>
      <c r="I324" s="557"/>
      <c r="J324" s="557"/>
      <c r="K324" s="557"/>
      <c r="L324" s="557"/>
      <c r="M324" s="584"/>
    </row>
    <row r="325" spans="2:13" ht="16.5" customHeight="1" x14ac:dyDescent="0.25">
      <c r="B325" s="580"/>
      <c r="C325" s="520" t="s">
        <v>439</v>
      </c>
      <c r="D325" s="508" t="s">
        <v>438</v>
      </c>
      <c r="E325" s="521">
        <v>500</v>
      </c>
      <c r="F325" s="522">
        <f t="shared" si="3"/>
        <v>4.0000000000000001E-3</v>
      </c>
      <c r="G325" s="557"/>
      <c r="H325" s="557"/>
      <c r="I325" s="557"/>
      <c r="J325" s="557"/>
      <c r="K325" s="557"/>
      <c r="L325" s="557"/>
      <c r="M325" s="584"/>
    </row>
    <row r="326" spans="2:13" ht="16.5" customHeight="1" x14ac:dyDescent="0.25">
      <c r="B326" s="580"/>
      <c r="C326" s="520" t="s">
        <v>575</v>
      </c>
      <c r="D326" s="508" t="s">
        <v>574</v>
      </c>
      <c r="E326" s="521">
        <v>1</v>
      </c>
      <c r="F326" s="522">
        <f t="shared" si="3"/>
        <v>2</v>
      </c>
      <c r="G326" s="557"/>
      <c r="H326" s="557"/>
      <c r="I326" s="557"/>
      <c r="J326" s="557"/>
      <c r="K326" s="557"/>
      <c r="L326" s="557"/>
      <c r="M326" s="584"/>
    </row>
    <row r="327" spans="2:13" ht="16.5" customHeight="1" x14ac:dyDescent="0.25">
      <c r="B327" s="580"/>
      <c r="C327" s="520" t="s">
        <v>497</v>
      </c>
      <c r="D327" s="508" t="s">
        <v>496</v>
      </c>
      <c r="E327" s="521">
        <v>20</v>
      </c>
      <c r="F327" s="522">
        <f t="shared" si="3"/>
        <v>0.1</v>
      </c>
      <c r="G327" s="557"/>
      <c r="H327" s="557"/>
      <c r="I327" s="557"/>
      <c r="J327" s="557"/>
      <c r="K327" s="557"/>
      <c r="L327" s="557"/>
      <c r="M327" s="584"/>
    </row>
    <row r="328" spans="2:13" ht="16.5" customHeight="1" x14ac:dyDescent="0.25">
      <c r="B328" s="580"/>
      <c r="C328" s="520" t="s">
        <v>464</v>
      </c>
      <c r="D328" s="508" t="s">
        <v>463</v>
      </c>
      <c r="E328" s="521">
        <v>10</v>
      </c>
      <c r="F328" s="522">
        <f t="shared" si="3"/>
        <v>0.2</v>
      </c>
      <c r="G328" s="557"/>
      <c r="H328" s="557"/>
      <c r="I328" s="557"/>
      <c r="J328" s="557"/>
      <c r="K328" s="557"/>
      <c r="L328" s="557"/>
      <c r="M328" s="584"/>
    </row>
    <row r="329" spans="2:13" ht="16.5" customHeight="1" x14ac:dyDescent="0.25">
      <c r="B329" s="580"/>
      <c r="C329" s="520" t="s">
        <v>595</v>
      </c>
      <c r="D329" s="508" t="s">
        <v>594</v>
      </c>
      <c r="E329" s="521">
        <v>1.4999999999999999E-2</v>
      </c>
      <c r="F329" s="522">
        <f t="shared" si="3"/>
        <v>133.33333333333334</v>
      </c>
      <c r="G329" s="557"/>
      <c r="H329" s="557"/>
      <c r="I329" s="557"/>
      <c r="J329" s="557"/>
      <c r="K329" s="557"/>
      <c r="L329" s="557"/>
      <c r="M329" s="584"/>
    </row>
    <row r="330" spans="2:13" ht="16.5" customHeight="1" x14ac:dyDescent="0.25">
      <c r="B330" s="580"/>
      <c r="C330" s="520" t="s">
        <v>599</v>
      </c>
      <c r="D330" s="508" t="s">
        <v>598</v>
      </c>
      <c r="E330" s="521">
        <v>0.03</v>
      </c>
      <c r="F330" s="522">
        <f t="shared" si="3"/>
        <v>66.666666666666671</v>
      </c>
      <c r="G330" s="557"/>
      <c r="H330" s="557"/>
      <c r="I330" s="557"/>
      <c r="J330" s="557"/>
      <c r="K330" s="557"/>
      <c r="L330" s="557"/>
      <c r="M330" s="584"/>
    </row>
    <row r="331" spans="2:13" ht="16.5" customHeight="1" x14ac:dyDescent="0.25">
      <c r="B331" s="580"/>
      <c r="C331" s="520" t="s">
        <v>586</v>
      </c>
      <c r="D331" s="508" t="s">
        <v>585</v>
      </c>
      <c r="E331" s="521">
        <v>0.5</v>
      </c>
      <c r="F331" s="522">
        <f t="shared" si="3"/>
        <v>4</v>
      </c>
      <c r="G331" s="557"/>
      <c r="H331" s="557"/>
      <c r="I331" s="557"/>
      <c r="J331" s="557"/>
      <c r="K331" s="557"/>
      <c r="L331" s="557"/>
      <c r="M331" s="584"/>
    </row>
    <row r="332" spans="2:13" ht="16.5" customHeight="1" x14ac:dyDescent="0.25">
      <c r="B332" s="580"/>
      <c r="C332" s="520" t="s">
        <v>546</v>
      </c>
      <c r="D332" s="508" t="s">
        <v>545</v>
      </c>
      <c r="E332" s="521">
        <v>2</v>
      </c>
      <c r="F332" s="522">
        <f t="shared" si="3"/>
        <v>1</v>
      </c>
      <c r="G332" s="557"/>
      <c r="H332" s="557"/>
      <c r="I332" s="557"/>
      <c r="J332" s="557"/>
      <c r="K332" s="557"/>
      <c r="L332" s="557"/>
      <c r="M332" s="584"/>
    </row>
    <row r="333" spans="2:13" ht="16.5" customHeight="1" x14ac:dyDescent="0.25">
      <c r="B333" s="580"/>
      <c r="C333" s="520" t="s">
        <v>504</v>
      </c>
      <c r="D333" s="508" t="s">
        <v>503</v>
      </c>
      <c r="E333" s="521">
        <v>1E-3</v>
      </c>
      <c r="F333" s="522">
        <f t="shared" si="3"/>
        <v>2000</v>
      </c>
      <c r="G333" s="557"/>
      <c r="H333" s="557"/>
      <c r="I333" s="557"/>
      <c r="J333" s="557"/>
      <c r="K333" s="557"/>
      <c r="L333" s="557"/>
      <c r="M333" s="584"/>
    </row>
    <row r="334" spans="2:13" ht="16.5" customHeight="1" x14ac:dyDescent="0.25">
      <c r="B334" s="580"/>
      <c r="C334" s="520" t="s">
        <v>433</v>
      </c>
      <c r="D334" s="508" t="s">
        <v>432</v>
      </c>
      <c r="E334" s="521">
        <v>0.02</v>
      </c>
      <c r="F334" s="522">
        <f t="shared" si="3"/>
        <v>100</v>
      </c>
      <c r="G334" s="557"/>
      <c r="H334" s="557"/>
      <c r="I334" s="557"/>
      <c r="J334" s="557"/>
      <c r="K334" s="557"/>
      <c r="L334" s="557"/>
      <c r="M334" s="584"/>
    </row>
    <row r="335" spans="2:13" ht="16.5" customHeight="1" x14ac:dyDescent="0.25">
      <c r="B335" s="580"/>
      <c r="C335" s="520" t="s">
        <v>584</v>
      </c>
      <c r="D335" s="508" t="s">
        <v>583</v>
      </c>
      <c r="E335" s="521">
        <v>1.5</v>
      </c>
      <c r="F335" s="522">
        <f t="shared" si="3"/>
        <v>1.3333333333333333</v>
      </c>
      <c r="G335" s="557"/>
      <c r="H335" s="557"/>
      <c r="I335" s="557"/>
      <c r="J335" s="557"/>
      <c r="K335" s="557"/>
      <c r="L335" s="557"/>
      <c r="M335" s="584"/>
    </row>
    <row r="336" spans="2:13" ht="16.5" customHeight="1" x14ac:dyDescent="0.25">
      <c r="B336" s="580"/>
      <c r="C336" s="520" t="s">
        <v>485</v>
      </c>
      <c r="D336" s="508" t="s">
        <v>484</v>
      </c>
      <c r="E336" s="521">
        <v>2.0000000000000001E-4</v>
      </c>
      <c r="F336" s="522">
        <f t="shared" si="3"/>
        <v>10000</v>
      </c>
      <c r="G336" s="557"/>
      <c r="H336" s="557"/>
      <c r="I336" s="557"/>
      <c r="J336" s="557"/>
      <c r="K336" s="557"/>
      <c r="L336" s="557"/>
      <c r="M336" s="584"/>
    </row>
    <row r="337" spans="2:13" ht="16.5" customHeight="1" x14ac:dyDescent="0.25">
      <c r="B337" s="580"/>
      <c r="C337" s="520" t="s">
        <v>590</v>
      </c>
      <c r="D337" s="508" t="s">
        <v>589</v>
      </c>
      <c r="E337" s="521">
        <v>0.05</v>
      </c>
      <c r="F337" s="522">
        <f t="shared" si="3"/>
        <v>40</v>
      </c>
      <c r="G337" s="557"/>
      <c r="H337" s="557"/>
      <c r="I337" s="557"/>
      <c r="J337" s="557"/>
      <c r="K337" s="557"/>
      <c r="L337" s="557"/>
      <c r="M337" s="584"/>
    </row>
    <row r="338" spans="2:13" ht="16.5" customHeight="1" x14ac:dyDescent="0.25">
      <c r="B338" s="580"/>
      <c r="C338" s="520" t="s">
        <v>590</v>
      </c>
      <c r="D338" s="508" t="s">
        <v>589</v>
      </c>
      <c r="E338" s="521">
        <v>0.01</v>
      </c>
      <c r="F338" s="522">
        <f t="shared" si="3"/>
        <v>200</v>
      </c>
      <c r="G338" s="557"/>
      <c r="H338" s="557"/>
      <c r="I338" s="557"/>
      <c r="J338" s="557"/>
      <c r="K338" s="557"/>
      <c r="L338" s="557"/>
      <c r="M338" s="584"/>
    </row>
    <row r="339" spans="2:13" ht="16.5" customHeight="1" x14ac:dyDescent="0.25">
      <c r="B339" s="580"/>
      <c r="C339" s="520" t="s">
        <v>627</v>
      </c>
      <c r="D339" s="508" t="s">
        <v>626</v>
      </c>
      <c r="E339" s="521">
        <v>2E-3</v>
      </c>
      <c r="F339" s="522">
        <f t="shared" si="3"/>
        <v>1000</v>
      </c>
      <c r="G339" s="557"/>
      <c r="H339" s="557"/>
      <c r="I339" s="557"/>
      <c r="J339" s="557"/>
      <c r="K339" s="557"/>
      <c r="L339" s="557"/>
      <c r="M339" s="584"/>
    </row>
    <row r="340" spans="2:13" ht="16.5" customHeight="1" x14ac:dyDescent="0.25">
      <c r="B340" s="580"/>
      <c r="C340" s="520" t="s">
        <v>597</v>
      </c>
      <c r="D340" s="508" t="s">
        <v>596</v>
      </c>
      <c r="E340" s="521">
        <v>4</v>
      </c>
      <c r="F340" s="522">
        <f t="shared" si="3"/>
        <v>0.5</v>
      </c>
      <c r="G340" s="557"/>
      <c r="H340" s="557"/>
      <c r="I340" s="557"/>
      <c r="J340" s="557"/>
      <c r="K340" s="557"/>
      <c r="L340" s="557"/>
      <c r="M340" s="584"/>
    </row>
    <row r="341" spans="2:13" ht="16.5" customHeight="1" x14ac:dyDescent="0.25">
      <c r="B341" s="580"/>
      <c r="C341" s="520" t="s">
        <v>483</v>
      </c>
      <c r="D341" s="508" t="s">
        <v>482</v>
      </c>
      <c r="E341" s="521">
        <v>1E-3</v>
      </c>
      <c r="F341" s="522">
        <f t="shared" si="3"/>
        <v>2000</v>
      </c>
      <c r="G341" s="557"/>
      <c r="H341" s="557"/>
      <c r="I341" s="557"/>
      <c r="J341" s="557"/>
      <c r="K341" s="557"/>
      <c r="L341" s="557"/>
      <c r="M341" s="584"/>
    </row>
    <row r="342" spans="2:13" ht="16.5" customHeight="1" x14ac:dyDescent="0.25">
      <c r="B342" s="580"/>
      <c r="C342" s="520" t="s">
        <v>548</v>
      </c>
      <c r="D342" s="508" t="s">
        <v>547</v>
      </c>
      <c r="E342" s="521">
        <v>1E-4</v>
      </c>
      <c r="F342" s="522">
        <f t="shared" si="3"/>
        <v>20000</v>
      </c>
      <c r="G342" s="557"/>
      <c r="H342" s="557"/>
      <c r="I342" s="557"/>
      <c r="J342" s="557"/>
      <c r="K342" s="557"/>
      <c r="L342" s="557"/>
      <c r="M342" s="584"/>
    </row>
    <row r="343" spans="2:13" ht="16.5" customHeight="1" x14ac:dyDescent="0.25">
      <c r="B343" s="580"/>
      <c r="C343" s="520" t="s">
        <v>423</v>
      </c>
      <c r="D343" s="508" t="s">
        <v>422</v>
      </c>
      <c r="E343" s="521">
        <v>0.01</v>
      </c>
      <c r="F343" s="522">
        <f t="shared" si="3"/>
        <v>200</v>
      </c>
      <c r="G343" s="557"/>
      <c r="H343" s="557"/>
      <c r="I343" s="557"/>
      <c r="J343" s="557"/>
      <c r="K343" s="557"/>
      <c r="L343" s="557"/>
      <c r="M343" s="584"/>
    </row>
    <row r="344" spans="2:13" ht="16.5" customHeight="1" x14ac:dyDescent="0.25">
      <c r="B344" s="580"/>
      <c r="C344" s="520" t="s">
        <v>450</v>
      </c>
      <c r="D344" s="508" t="s">
        <v>449</v>
      </c>
      <c r="E344" s="521">
        <v>0.5</v>
      </c>
      <c r="F344" s="522">
        <f t="shared" si="3"/>
        <v>4</v>
      </c>
      <c r="G344" s="557"/>
      <c r="H344" s="557"/>
      <c r="I344" s="557"/>
      <c r="J344" s="557"/>
      <c r="K344" s="557"/>
      <c r="L344" s="557"/>
      <c r="M344" s="584"/>
    </row>
    <row r="345" spans="2:13" ht="16.5" customHeight="1" x14ac:dyDescent="0.25">
      <c r="B345" s="580"/>
      <c r="C345" s="520" t="s">
        <v>513</v>
      </c>
      <c r="D345" s="508" t="s">
        <v>512</v>
      </c>
      <c r="E345" s="521">
        <v>1E-3</v>
      </c>
      <c r="F345" s="522">
        <f t="shared" si="3"/>
        <v>2000</v>
      </c>
      <c r="G345" s="557"/>
      <c r="H345" s="557"/>
      <c r="I345" s="557"/>
      <c r="J345" s="557"/>
      <c r="K345" s="557"/>
      <c r="L345" s="557"/>
      <c r="M345" s="584"/>
    </row>
    <row r="346" spans="2:13" ht="16.5" customHeight="1" thickBot="1" x14ac:dyDescent="0.3">
      <c r="B346" s="580"/>
      <c r="C346" s="524" t="s">
        <v>57</v>
      </c>
      <c r="D346" s="525"/>
      <c r="E346" s="526" t="s">
        <v>652</v>
      </c>
      <c r="F346" s="527"/>
      <c r="G346" s="557"/>
      <c r="H346" s="557"/>
      <c r="I346" s="557"/>
      <c r="J346" s="557"/>
      <c r="K346" s="557"/>
      <c r="L346" s="557"/>
      <c r="M346" s="584"/>
    </row>
    <row r="347" spans="2:13" ht="16.5" customHeight="1" x14ac:dyDescent="0.25">
      <c r="B347" s="580"/>
      <c r="C347" s="558"/>
      <c r="D347" s="559"/>
      <c r="E347" s="558"/>
      <c r="F347" s="558"/>
      <c r="G347" s="557"/>
      <c r="H347" s="557"/>
      <c r="I347" s="557"/>
      <c r="J347" s="557"/>
      <c r="K347" s="557"/>
      <c r="L347" s="557"/>
      <c r="M347" s="584"/>
    </row>
    <row r="348" spans="2:13" ht="16.5" customHeight="1" x14ac:dyDescent="0.25">
      <c r="B348" s="580"/>
      <c r="C348" s="558"/>
      <c r="D348" s="559"/>
      <c r="E348" s="558"/>
      <c r="F348" s="558"/>
      <c r="G348" s="557"/>
      <c r="H348" s="557"/>
      <c r="I348" s="557"/>
      <c r="J348" s="557"/>
      <c r="K348" s="557"/>
      <c r="L348" s="557"/>
      <c r="M348" s="584"/>
    </row>
    <row r="349" spans="2:13" ht="16.5" customHeight="1" x14ac:dyDescent="0.25">
      <c r="B349" s="580"/>
      <c r="C349" s="558"/>
      <c r="D349" s="559"/>
      <c r="E349" s="558"/>
      <c r="F349" s="558"/>
      <c r="G349" s="557"/>
      <c r="H349" s="557"/>
      <c r="I349" s="557"/>
      <c r="J349" s="557"/>
      <c r="K349" s="557"/>
      <c r="L349" s="557"/>
      <c r="M349" s="584"/>
    </row>
    <row r="350" spans="2:13" ht="16.5" customHeight="1" x14ac:dyDescent="0.25">
      <c r="B350" s="580"/>
      <c r="C350" s="558"/>
      <c r="D350" s="559"/>
      <c r="E350" s="558"/>
      <c r="F350" s="558"/>
      <c r="G350" s="557"/>
      <c r="H350" s="557"/>
      <c r="I350" s="557"/>
      <c r="J350" s="557"/>
      <c r="K350" s="557"/>
      <c r="L350" s="557"/>
      <c r="M350" s="584"/>
    </row>
    <row r="351" spans="2:13" ht="16.5" customHeight="1" x14ac:dyDescent="0.25">
      <c r="B351" s="580"/>
      <c r="C351" s="558"/>
      <c r="D351" s="559"/>
      <c r="E351" s="558"/>
      <c r="F351" s="558"/>
      <c r="G351" s="557"/>
      <c r="H351" s="557"/>
      <c r="I351" s="557"/>
      <c r="J351" s="557"/>
      <c r="K351" s="557"/>
      <c r="L351" s="557"/>
      <c r="M351" s="584"/>
    </row>
    <row r="352" spans="2:13" ht="16.5" customHeight="1" x14ac:dyDescent="0.25">
      <c r="B352" s="580"/>
      <c r="C352" s="558"/>
      <c r="D352" s="559"/>
      <c r="E352" s="558"/>
      <c r="F352" s="558"/>
      <c r="G352" s="557"/>
      <c r="H352" s="557"/>
      <c r="I352" s="557"/>
      <c r="J352" s="557"/>
      <c r="K352" s="557"/>
      <c r="L352" s="557"/>
      <c r="M352" s="584"/>
    </row>
    <row r="353" spans="2:13" ht="16.5" customHeight="1" x14ac:dyDescent="0.25">
      <c r="B353" s="580"/>
      <c r="C353" s="558"/>
      <c r="D353" s="559"/>
      <c r="E353" s="558"/>
      <c r="F353" s="558"/>
      <c r="G353" s="557"/>
      <c r="H353" s="557"/>
      <c r="I353" s="557"/>
      <c r="J353" s="557"/>
      <c r="K353" s="557"/>
      <c r="L353" s="557"/>
      <c r="M353" s="584"/>
    </row>
    <row r="354" spans="2:13" ht="16.5" customHeight="1" x14ac:dyDescent="0.25">
      <c r="B354" s="580"/>
      <c r="C354" s="558"/>
      <c r="D354" s="559"/>
      <c r="E354" s="558"/>
      <c r="F354" s="558"/>
      <c r="G354" s="557"/>
      <c r="H354" s="557"/>
      <c r="I354" s="557"/>
      <c r="J354" s="557"/>
      <c r="K354" s="557"/>
      <c r="L354" s="557"/>
      <c r="M354" s="584"/>
    </row>
    <row r="355" spans="2:13" ht="16.5" customHeight="1" x14ac:dyDescent="0.25">
      <c r="B355" s="580"/>
      <c r="C355" s="558"/>
      <c r="D355" s="559"/>
      <c r="E355" s="558"/>
      <c r="F355" s="558"/>
      <c r="G355" s="557"/>
      <c r="H355" s="557"/>
      <c r="I355" s="557"/>
      <c r="J355" s="557"/>
      <c r="K355" s="557"/>
      <c r="L355" s="557"/>
      <c r="M355" s="584"/>
    </row>
    <row r="356" spans="2:13" ht="16.5" customHeight="1" x14ac:dyDescent="0.25">
      <c r="B356" s="580"/>
      <c r="C356" s="558"/>
      <c r="D356" s="559"/>
      <c r="E356" s="558"/>
      <c r="F356" s="558"/>
      <c r="G356" s="557"/>
      <c r="H356" s="557"/>
      <c r="I356" s="557"/>
      <c r="J356" s="557"/>
      <c r="K356" s="557"/>
      <c r="L356" s="557"/>
      <c r="M356" s="584"/>
    </row>
    <row r="357" spans="2:13" ht="16.5" customHeight="1" x14ac:dyDescent="0.25">
      <c r="B357" s="580"/>
      <c r="C357" s="558"/>
      <c r="D357" s="559"/>
      <c r="E357" s="558"/>
      <c r="F357" s="558"/>
      <c r="G357" s="557"/>
      <c r="H357" s="557"/>
      <c r="I357" s="557"/>
      <c r="J357" s="557"/>
      <c r="K357" s="557"/>
      <c r="L357" s="557"/>
      <c r="M357" s="584"/>
    </row>
    <row r="358" spans="2:13" ht="16.5" customHeight="1" x14ac:dyDescent="0.25">
      <c r="B358" s="580"/>
      <c r="C358" s="558"/>
      <c r="D358" s="559"/>
      <c r="E358" s="558"/>
      <c r="F358" s="558"/>
      <c r="G358" s="557"/>
      <c r="H358" s="557"/>
      <c r="I358" s="557"/>
      <c r="J358" s="557"/>
      <c r="K358" s="557"/>
      <c r="L358" s="557"/>
      <c r="M358" s="584"/>
    </row>
    <row r="359" spans="2:13" ht="16.5" customHeight="1" x14ac:dyDescent="0.25">
      <c r="B359" s="580"/>
      <c r="C359" s="558"/>
      <c r="D359" s="559"/>
      <c r="E359" s="558"/>
      <c r="F359" s="558"/>
      <c r="G359" s="557"/>
      <c r="H359" s="557"/>
      <c r="I359" s="557"/>
      <c r="J359" s="557"/>
      <c r="K359" s="557"/>
      <c r="L359" s="557"/>
      <c r="M359" s="584"/>
    </row>
    <row r="360" spans="2:13" ht="28.5" customHeight="1" thickBot="1" x14ac:dyDescent="0.3">
      <c r="B360" s="580"/>
      <c r="C360" s="581" t="s">
        <v>65</v>
      </c>
      <c r="D360" s="582" t="s">
        <v>151</v>
      </c>
      <c r="E360" s="586" t="s">
        <v>651</v>
      </c>
      <c r="F360" s="583" t="s">
        <v>1274</v>
      </c>
      <c r="G360" s="587"/>
      <c r="H360" s="557"/>
      <c r="I360" s="557"/>
      <c r="J360" s="557"/>
      <c r="K360" s="557"/>
      <c r="L360" s="557"/>
      <c r="M360" s="584"/>
    </row>
    <row r="361" spans="2:13" ht="16.5" customHeight="1" x14ac:dyDescent="0.25">
      <c r="B361" s="580"/>
      <c r="C361" s="517" t="s">
        <v>542</v>
      </c>
      <c r="D361" s="506" t="s">
        <v>541</v>
      </c>
      <c r="E361" s="518">
        <v>1000</v>
      </c>
      <c r="F361" s="519">
        <f t="shared" ref="F361:F374" si="4">$E$372/E361</f>
        <v>5.0000000000000001E-3</v>
      </c>
      <c r="G361" s="587" t="s">
        <v>658</v>
      </c>
      <c r="H361" s="557"/>
      <c r="I361" s="557"/>
      <c r="J361" s="993" t="s">
        <v>157</v>
      </c>
      <c r="K361" s="993"/>
      <c r="L361" s="993"/>
      <c r="M361" s="585" t="s">
        <v>566</v>
      </c>
    </row>
    <row r="362" spans="2:13" ht="16.5" customHeight="1" x14ac:dyDescent="0.25">
      <c r="B362" s="580"/>
      <c r="C362" s="520" t="s">
        <v>550</v>
      </c>
      <c r="D362" s="508" t="s">
        <v>549</v>
      </c>
      <c r="E362" s="521">
        <v>25</v>
      </c>
      <c r="F362" s="522">
        <f t="shared" si="4"/>
        <v>0.2</v>
      </c>
      <c r="G362" s="587" t="s">
        <v>658</v>
      </c>
      <c r="H362" s="557"/>
      <c r="I362" s="557"/>
      <c r="J362" s="993" t="s">
        <v>158</v>
      </c>
      <c r="K362" s="993"/>
      <c r="L362" s="993"/>
      <c r="M362" s="584">
        <f>IF(ISNA(VLOOKUP(M361,D361:F374,3,FALSE))=TRUE,0,VLOOKUP(M361,D361:F374,3,FALSE))</f>
        <v>16.666666666666668</v>
      </c>
    </row>
    <row r="363" spans="2:13" ht="16.5" customHeight="1" x14ac:dyDescent="0.25">
      <c r="B363" s="580"/>
      <c r="C363" s="520" t="s">
        <v>561</v>
      </c>
      <c r="D363" s="508" t="s">
        <v>560</v>
      </c>
      <c r="E363" s="521">
        <v>30</v>
      </c>
      <c r="F363" s="522">
        <f t="shared" si="4"/>
        <v>0.16666666666666666</v>
      </c>
      <c r="G363" s="587" t="s">
        <v>658</v>
      </c>
      <c r="H363" s="557"/>
      <c r="I363" s="557"/>
      <c r="J363" s="557"/>
      <c r="K363" s="557"/>
      <c r="L363" s="557"/>
      <c r="M363" s="584"/>
    </row>
    <row r="364" spans="2:13" ht="16.5" customHeight="1" x14ac:dyDescent="0.25">
      <c r="B364" s="580"/>
      <c r="C364" s="520" t="s">
        <v>567</v>
      </c>
      <c r="D364" s="508" t="s">
        <v>566</v>
      </c>
      <c r="E364" s="521">
        <v>0.3</v>
      </c>
      <c r="F364" s="522">
        <f t="shared" si="4"/>
        <v>16.666666666666668</v>
      </c>
      <c r="G364" s="587" t="s">
        <v>658</v>
      </c>
      <c r="H364" s="557"/>
      <c r="I364" s="557"/>
      <c r="J364" s="557"/>
      <c r="K364" s="557"/>
      <c r="L364" s="557"/>
      <c r="M364" s="584"/>
    </row>
    <row r="365" spans="2:13" ht="16.5" customHeight="1" x14ac:dyDescent="0.25">
      <c r="B365" s="580"/>
      <c r="C365" s="520" t="s">
        <v>573</v>
      </c>
      <c r="D365" s="508" t="s">
        <v>572</v>
      </c>
      <c r="E365" s="521">
        <v>30</v>
      </c>
      <c r="F365" s="522">
        <f t="shared" si="4"/>
        <v>0.16666666666666666</v>
      </c>
      <c r="G365" s="587" t="s">
        <v>658</v>
      </c>
      <c r="H365" s="557"/>
      <c r="I365" s="557"/>
      <c r="J365" s="557"/>
      <c r="K365" s="557"/>
      <c r="L365" s="557"/>
      <c r="M365" s="584"/>
    </row>
    <row r="366" spans="2:13" ht="16.5" customHeight="1" x14ac:dyDescent="0.25">
      <c r="B366" s="580"/>
      <c r="C366" s="520" t="s">
        <v>603</v>
      </c>
      <c r="D366" s="508" t="s">
        <v>602</v>
      </c>
      <c r="E366" s="521">
        <v>0.05</v>
      </c>
      <c r="F366" s="522">
        <f t="shared" si="4"/>
        <v>100</v>
      </c>
      <c r="G366" s="587" t="s">
        <v>658</v>
      </c>
      <c r="H366" s="557"/>
      <c r="I366" s="557"/>
      <c r="J366" s="557"/>
      <c r="K366" s="557"/>
      <c r="L366" s="557"/>
      <c r="M366" s="584"/>
    </row>
    <row r="367" spans="2:13" ht="16.5" customHeight="1" x14ac:dyDescent="0.25">
      <c r="B367" s="580"/>
      <c r="C367" s="520" t="s">
        <v>429</v>
      </c>
      <c r="D367" s="508" t="s">
        <v>428</v>
      </c>
      <c r="E367" s="521">
        <v>25</v>
      </c>
      <c r="F367" s="522">
        <f t="shared" si="4"/>
        <v>0.2</v>
      </c>
      <c r="G367" s="587" t="s">
        <v>658</v>
      </c>
      <c r="H367" s="557"/>
      <c r="I367" s="557"/>
      <c r="J367" s="557"/>
      <c r="K367" s="557"/>
      <c r="L367" s="557"/>
      <c r="M367" s="584"/>
    </row>
    <row r="368" spans="2:13" ht="16.5" customHeight="1" x14ac:dyDescent="0.25">
      <c r="B368" s="580"/>
      <c r="C368" s="520" t="s">
        <v>444</v>
      </c>
      <c r="D368" s="508" t="s">
        <v>443</v>
      </c>
      <c r="E368" s="521">
        <v>1000</v>
      </c>
      <c r="F368" s="522">
        <f t="shared" si="4"/>
        <v>5.0000000000000001E-3</v>
      </c>
      <c r="G368" s="587" t="s">
        <v>658</v>
      </c>
      <c r="H368" s="557"/>
      <c r="I368" s="557"/>
      <c r="J368" s="557"/>
      <c r="K368" s="557"/>
      <c r="L368" s="557"/>
      <c r="M368" s="584"/>
    </row>
    <row r="369" spans="2:13" ht="16.5" customHeight="1" x14ac:dyDescent="0.25">
      <c r="B369" s="580"/>
      <c r="C369" s="520" t="s">
        <v>452</v>
      </c>
      <c r="D369" s="508" t="s">
        <v>451</v>
      </c>
      <c r="E369" s="521">
        <v>2.5</v>
      </c>
      <c r="F369" s="522">
        <f t="shared" si="4"/>
        <v>2</v>
      </c>
      <c r="G369" s="587" t="s">
        <v>658</v>
      </c>
      <c r="H369" s="557"/>
      <c r="I369" s="557"/>
      <c r="J369" s="557"/>
      <c r="K369" s="557"/>
      <c r="L369" s="557"/>
      <c r="M369" s="584"/>
    </row>
    <row r="370" spans="2:13" ht="16.5" customHeight="1" x14ac:dyDescent="0.25">
      <c r="B370" s="580"/>
      <c r="C370" s="520" t="s">
        <v>474</v>
      </c>
      <c r="D370" s="508" t="s">
        <v>473</v>
      </c>
      <c r="E370" s="521">
        <v>15</v>
      </c>
      <c r="F370" s="522">
        <f t="shared" si="4"/>
        <v>0.33333333333333331</v>
      </c>
      <c r="G370" s="587" t="s">
        <v>658</v>
      </c>
      <c r="H370" s="557"/>
      <c r="I370" s="557"/>
      <c r="J370" s="557"/>
      <c r="K370" s="557"/>
      <c r="L370" s="557"/>
      <c r="M370" s="584"/>
    </row>
    <row r="371" spans="2:13" ht="16.5" customHeight="1" x14ac:dyDescent="0.25">
      <c r="B371" s="580"/>
      <c r="C371" s="520" t="s">
        <v>476</v>
      </c>
      <c r="D371" s="508" t="s">
        <v>475</v>
      </c>
      <c r="E371" s="521">
        <v>3</v>
      </c>
      <c r="F371" s="522">
        <f t="shared" si="4"/>
        <v>1.6666666666666667</v>
      </c>
      <c r="G371" s="587" t="s">
        <v>658</v>
      </c>
      <c r="H371" s="557"/>
      <c r="I371" s="557"/>
      <c r="J371" s="557"/>
      <c r="K371" s="557"/>
      <c r="L371" s="557"/>
      <c r="M371" s="584"/>
    </row>
    <row r="372" spans="2:13" ht="16.5" customHeight="1" x14ac:dyDescent="0.25">
      <c r="B372" s="580"/>
      <c r="C372" s="520" t="s">
        <v>478</v>
      </c>
      <c r="D372" s="508" t="s">
        <v>477</v>
      </c>
      <c r="E372" s="521">
        <v>5</v>
      </c>
      <c r="F372" s="522">
        <f t="shared" si="4"/>
        <v>1</v>
      </c>
      <c r="G372" s="587" t="s">
        <v>658</v>
      </c>
      <c r="H372" s="557"/>
      <c r="I372" s="557"/>
      <c r="J372" s="557"/>
      <c r="K372" s="557"/>
      <c r="L372" s="557"/>
      <c r="M372" s="584"/>
    </row>
    <row r="373" spans="2:13" ht="16.5" customHeight="1" x14ac:dyDescent="0.25">
      <c r="B373" s="580"/>
      <c r="C373" s="520" t="s">
        <v>636</v>
      </c>
      <c r="D373" s="508" t="s">
        <v>635</v>
      </c>
      <c r="E373" s="521">
        <v>100</v>
      </c>
      <c r="F373" s="522">
        <f t="shared" si="4"/>
        <v>0.05</v>
      </c>
      <c r="G373" s="587" t="s">
        <v>658</v>
      </c>
      <c r="H373" s="557"/>
      <c r="I373" s="557"/>
      <c r="J373" s="557"/>
      <c r="K373" s="557"/>
      <c r="L373" s="557"/>
      <c r="M373" s="584"/>
    </row>
    <row r="374" spans="2:13" ht="16.5" customHeight="1" thickBot="1" x14ac:dyDescent="0.3">
      <c r="B374" s="580"/>
      <c r="C374" s="524" t="s">
        <v>639</v>
      </c>
      <c r="D374" s="511" t="s">
        <v>638</v>
      </c>
      <c r="E374" s="526">
        <v>40</v>
      </c>
      <c r="F374" s="528">
        <f t="shared" si="4"/>
        <v>0.125</v>
      </c>
      <c r="G374" s="587" t="s">
        <v>658</v>
      </c>
      <c r="H374" s="557"/>
      <c r="I374" s="557"/>
      <c r="J374" s="557"/>
      <c r="K374" s="557"/>
      <c r="L374" s="557"/>
      <c r="M374" s="584"/>
    </row>
    <row r="375" spans="2:13" x14ac:dyDescent="0.25">
      <c r="B375" s="580"/>
      <c r="C375" s="558"/>
      <c r="D375" s="559"/>
      <c r="E375" s="558"/>
      <c r="F375" s="558"/>
      <c r="G375" s="557"/>
      <c r="H375" s="557"/>
      <c r="I375" s="557"/>
      <c r="J375" s="557"/>
      <c r="K375" s="557"/>
      <c r="L375" s="557"/>
      <c r="M375" s="584"/>
    </row>
    <row r="376" spans="2:13" x14ac:dyDescent="0.25">
      <c r="B376" s="580"/>
      <c r="C376" s="558"/>
      <c r="D376" s="559"/>
      <c r="E376" s="558"/>
      <c r="F376" s="558"/>
      <c r="G376" s="557"/>
      <c r="H376" s="557"/>
      <c r="I376" s="557"/>
      <c r="J376" s="557"/>
      <c r="K376" s="557"/>
      <c r="L376" s="557"/>
      <c r="M376" s="584"/>
    </row>
    <row r="377" spans="2:13" x14ac:dyDescent="0.25">
      <c r="B377" s="580"/>
      <c r="C377" s="558"/>
      <c r="D377" s="559"/>
      <c r="E377" s="558"/>
      <c r="F377" s="558"/>
      <c r="G377" s="557"/>
      <c r="H377" s="557"/>
      <c r="I377" s="557"/>
      <c r="J377" s="557"/>
      <c r="K377" s="557"/>
      <c r="L377" s="557"/>
      <c r="M377" s="584"/>
    </row>
    <row r="378" spans="2:13" x14ac:dyDescent="0.25">
      <c r="B378" s="580"/>
      <c r="C378" s="558"/>
      <c r="D378" s="559"/>
      <c r="E378" s="558"/>
      <c r="F378" s="558"/>
      <c r="G378" s="557"/>
      <c r="H378" s="557"/>
      <c r="I378" s="557"/>
      <c r="J378" s="557"/>
      <c r="K378" s="557"/>
      <c r="L378" s="557"/>
      <c r="M378" s="584"/>
    </row>
    <row r="379" spans="2:13" x14ac:dyDescent="0.25">
      <c r="B379" s="580"/>
      <c r="C379" s="558"/>
      <c r="D379" s="559"/>
      <c r="E379" s="558"/>
      <c r="F379" s="558"/>
      <c r="G379" s="557"/>
      <c r="H379" s="557"/>
      <c r="I379" s="557"/>
      <c r="J379" s="557"/>
      <c r="K379" s="557"/>
      <c r="L379" s="557"/>
      <c r="M379" s="584"/>
    </row>
    <row r="380" spans="2:13" x14ac:dyDescent="0.25">
      <c r="B380" s="580"/>
      <c r="C380" s="558"/>
      <c r="D380" s="559"/>
      <c r="E380" s="558"/>
      <c r="F380" s="558"/>
      <c r="G380" s="557"/>
      <c r="H380" s="557"/>
      <c r="I380" s="557"/>
      <c r="J380" s="557"/>
      <c r="K380" s="557"/>
      <c r="L380" s="557"/>
      <c r="M380" s="584"/>
    </row>
    <row r="381" spans="2:13" x14ac:dyDescent="0.25">
      <c r="B381" s="580"/>
      <c r="C381" s="558"/>
      <c r="D381" s="559"/>
      <c r="E381" s="558"/>
      <c r="F381" s="558"/>
      <c r="G381" s="557"/>
      <c r="H381" s="557"/>
      <c r="I381" s="557"/>
      <c r="J381" s="557"/>
      <c r="K381" s="557"/>
      <c r="L381" s="557"/>
      <c r="M381" s="584"/>
    </row>
    <row r="382" spans="2:13" x14ac:dyDescent="0.25">
      <c r="B382" s="580"/>
      <c r="C382" s="558"/>
      <c r="D382" s="559"/>
      <c r="E382" s="558"/>
      <c r="F382" s="558"/>
      <c r="G382" s="557"/>
      <c r="H382" s="557"/>
      <c r="I382" s="557"/>
      <c r="J382" s="557"/>
      <c r="K382" s="557"/>
      <c r="L382" s="557"/>
      <c r="M382" s="584"/>
    </row>
    <row r="383" spans="2:13" x14ac:dyDescent="0.25">
      <c r="B383" s="580"/>
      <c r="C383" s="558"/>
      <c r="D383" s="559"/>
      <c r="E383" s="558"/>
      <c r="F383" s="558"/>
      <c r="G383" s="557"/>
      <c r="H383" s="557"/>
      <c r="I383" s="557"/>
      <c r="J383" s="557"/>
      <c r="K383" s="557"/>
      <c r="L383" s="557"/>
      <c r="M383" s="584"/>
    </row>
    <row r="384" spans="2:13" x14ac:dyDescent="0.25">
      <c r="B384" s="580"/>
      <c r="C384" s="558"/>
      <c r="D384" s="559"/>
      <c r="E384" s="558"/>
      <c r="F384" s="558"/>
      <c r="G384" s="557"/>
      <c r="H384" s="557"/>
      <c r="I384" s="557"/>
      <c r="J384" s="557"/>
      <c r="K384" s="557"/>
      <c r="L384" s="557"/>
      <c r="M384" s="584"/>
    </row>
    <row r="385" spans="2:13" x14ac:dyDescent="0.25">
      <c r="B385" s="580"/>
      <c r="C385" s="558"/>
      <c r="D385" s="559"/>
      <c r="E385" s="558"/>
      <c r="F385" s="558"/>
      <c r="G385" s="557"/>
      <c r="H385" s="557"/>
      <c r="I385" s="557"/>
      <c r="J385" s="557"/>
      <c r="K385" s="557"/>
      <c r="L385" s="557"/>
      <c r="M385" s="584"/>
    </row>
    <row r="386" spans="2:13" ht="30.75" thickBot="1" x14ac:dyDescent="0.3">
      <c r="B386" s="580"/>
      <c r="C386" s="581" t="s">
        <v>65</v>
      </c>
      <c r="D386" s="582" t="s">
        <v>151</v>
      </c>
      <c r="E386" s="583" t="s">
        <v>1275</v>
      </c>
      <c r="F386" s="558"/>
      <c r="G386" s="557"/>
      <c r="H386" s="557"/>
      <c r="I386" s="557"/>
      <c r="J386" s="557"/>
      <c r="K386" s="557"/>
      <c r="L386" s="557"/>
      <c r="M386" s="584"/>
    </row>
    <row r="387" spans="2:13" x14ac:dyDescent="0.25">
      <c r="B387" s="580"/>
      <c r="C387" s="505" t="s">
        <v>678</v>
      </c>
      <c r="D387" s="506" t="s">
        <v>679</v>
      </c>
      <c r="E387" s="497">
        <v>1.34</v>
      </c>
      <c r="F387" s="558"/>
      <c r="G387" s="557"/>
      <c r="H387" s="557"/>
      <c r="I387" s="557"/>
      <c r="J387" s="993" t="s">
        <v>157</v>
      </c>
      <c r="K387" s="993"/>
      <c r="L387" s="993"/>
      <c r="M387" s="585" t="s">
        <v>680</v>
      </c>
    </row>
    <row r="388" spans="2:13" x14ac:dyDescent="0.25">
      <c r="B388" s="580"/>
      <c r="C388" s="507" t="s">
        <v>673</v>
      </c>
      <c r="D388" s="508" t="s">
        <v>37</v>
      </c>
      <c r="E388" s="500">
        <v>0.97</v>
      </c>
      <c r="F388" s="558"/>
      <c r="G388" s="557"/>
      <c r="H388" s="557"/>
      <c r="I388" s="557"/>
      <c r="J388" s="993" t="s">
        <v>158</v>
      </c>
      <c r="K388" s="993"/>
      <c r="L388" s="993"/>
      <c r="M388" s="584">
        <f>IF(ISNA(VLOOKUP(M387,D387:E399,2,FALSE))=TRUE,0,VLOOKUP(M387,D387:E399,2,FALSE))</f>
        <v>9.5000000000000001E-2</v>
      </c>
    </row>
    <row r="389" spans="2:13" x14ac:dyDescent="0.25">
      <c r="B389" s="580"/>
      <c r="C389" s="507" t="s">
        <v>364</v>
      </c>
      <c r="D389" s="515" t="s">
        <v>365</v>
      </c>
      <c r="E389" s="500">
        <v>0.33</v>
      </c>
      <c r="F389" s="558"/>
      <c r="G389" s="557"/>
      <c r="H389" s="557"/>
      <c r="I389" s="557"/>
      <c r="J389" s="557"/>
      <c r="K389" s="557"/>
      <c r="L389" s="557"/>
      <c r="M389" s="584"/>
    </row>
    <row r="390" spans="2:13" x14ac:dyDescent="0.25">
      <c r="B390" s="580"/>
      <c r="C390" s="507" t="s">
        <v>672</v>
      </c>
      <c r="D390" s="508" t="s">
        <v>680</v>
      </c>
      <c r="E390" s="500">
        <v>9.5000000000000001E-2</v>
      </c>
      <c r="F390" s="558"/>
      <c r="G390" s="557"/>
      <c r="H390" s="557"/>
      <c r="I390" s="557"/>
      <c r="J390" s="557"/>
      <c r="K390" s="557"/>
      <c r="L390" s="557"/>
      <c r="M390" s="584"/>
    </row>
    <row r="391" spans="2:13" x14ac:dyDescent="0.25">
      <c r="B391" s="580"/>
      <c r="C391" s="507" t="s">
        <v>666</v>
      </c>
      <c r="D391" s="508" t="s">
        <v>667</v>
      </c>
      <c r="E391" s="500">
        <v>3.06</v>
      </c>
      <c r="F391" s="558"/>
      <c r="G391" s="557"/>
      <c r="H391" s="557"/>
      <c r="I391" s="557"/>
      <c r="J391" s="557"/>
      <c r="K391" s="557"/>
      <c r="L391" s="557"/>
      <c r="M391" s="584"/>
    </row>
    <row r="392" spans="2:13" x14ac:dyDescent="0.25">
      <c r="B392" s="580"/>
      <c r="C392" s="507" t="s">
        <v>669</v>
      </c>
      <c r="D392" s="508" t="s">
        <v>354</v>
      </c>
      <c r="E392" s="500">
        <v>0.13</v>
      </c>
      <c r="F392" s="558"/>
      <c r="G392" s="557"/>
      <c r="H392" s="557"/>
      <c r="I392" s="557"/>
      <c r="J392" s="557"/>
      <c r="K392" s="557"/>
      <c r="L392" s="557"/>
      <c r="M392" s="584"/>
    </row>
    <row r="393" spans="2:13" x14ac:dyDescent="0.25">
      <c r="B393" s="580"/>
      <c r="C393" s="507" t="s">
        <v>668</v>
      </c>
      <c r="D393" s="523" t="s">
        <v>356</v>
      </c>
      <c r="E393" s="500">
        <v>0.2</v>
      </c>
      <c r="F393" s="558"/>
      <c r="G393" s="557"/>
      <c r="H393" s="557"/>
      <c r="I393" s="557"/>
      <c r="J393" s="557"/>
      <c r="K393" s="557"/>
      <c r="L393" s="557"/>
      <c r="M393" s="584"/>
    </row>
    <row r="394" spans="2:13" x14ac:dyDescent="0.25">
      <c r="B394" s="580"/>
      <c r="C394" s="507" t="s">
        <v>1276</v>
      </c>
      <c r="D394" s="508" t="s">
        <v>662</v>
      </c>
      <c r="E394" s="500">
        <v>0.13</v>
      </c>
      <c r="F394" s="558"/>
      <c r="G394" s="557"/>
      <c r="H394" s="557"/>
      <c r="I394" s="557"/>
      <c r="J394" s="557"/>
      <c r="K394" s="557"/>
      <c r="L394" s="557"/>
      <c r="M394" s="584"/>
    </row>
    <row r="395" spans="2:13" x14ac:dyDescent="0.25">
      <c r="B395" s="580"/>
      <c r="C395" s="507" t="s">
        <v>670</v>
      </c>
      <c r="D395" s="508" t="s">
        <v>671</v>
      </c>
      <c r="E395" s="500">
        <v>0.1</v>
      </c>
      <c r="F395" s="558"/>
      <c r="G395" s="557"/>
      <c r="H395" s="557"/>
      <c r="I395" s="557"/>
      <c r="J395" s="557"/>
      <c r="K395" s="557"/>
      <c r="L395" s="557"/>
      <c r="M395" s="584"/>
    </row>
    <row r="396" spans="2:13" x14ac:dyDescent="0.25">
      <c r="B396" s="580"/>
      <c r="C396" s="507" t="s">
        <v>663</v>
      </c>
      <c r="D396" s="508" t="s">
        <v>664</v>
      </c>
      <c r="E396" s="500">
        <v>0.42</v>
      </c>
      <c r="F396" s="558"/>
      <c r="G396" s="557"/>
      <c r="H396" s="557"/>
      <c r="I396" s="557"/>
      <c r="J396" s="557"/>
      <c r="K396" s="557"/>
      <c r="L396" s="557"/>
      <c r="M396" s="584"/>
    </row>
    <row r="397" spans="2:13" x14ac:dyDescent="0.25">
      <c r="B397" s="580"/>
      <c r="C397" s="507" t="s">
        <v>1277</v>
      </c>
      <c r="D397" s="508" t="s">
        <v>665</v>
      </c>
      <c r="E397" s="500">
        <v>1</v>
      </c>
      <c r="F397" s="558"/>
      <c r="G397" s="557"/>
      <c r="H397" s="557"/>
      <c r="I397" s="557"/>
      <c r="J397" s="557"/>
      <c r="K397" s="557"/>
      <c r="L397" s="557"/>
      <c r="M397" s="584"/>
    </row>
    <row r="398" spans="2:13" x14ac:dyDescent="0.25">
      <c r="B398" s="580"/>
      <c r="C398" s="507" t="s">
        <v>674</v>
      </c>
      <c r="D398" s="508" t="s">
        <v>675</v>
      </c>
      <c r="E398" s="500">
        <v>2.1999999999999999E-2</v>
      </c>
      <c r="F398" s="558"/>
      <c r="G398" s="557"/>
      <c r="H398" s="557"/>
      <c r="I398" s="557"/>
      <c r="J398" s="557"/>
      <c r="K398" s="557"/>
      <c r="L398" s="557"/>
      <c r="M398" s="584"/>
    </row>
    <row r="399" spans="2:13" ht="15.75" thickBot="1" x14ac:dyDescent="0.3">
      <c r="B399" s="580"/>
      <c r="C399" s="513" t="s">
        <v>676</v>
      </c>
      <c r="D399" s="511" t="s">
        <v>677</v>
      </c>
      <c r="E399" s="504">
        <v>2.1999999999999999E-2</v>
      </c>
      <c r="F399" s="558"/>
      <c r="G399" s="557"/>
      <c r="H399" s="557"/>
      <c r="I399" s="557"/>
      <c r="J399" s="557"/>
      <c r="K399" s="557"/>
      <c r="L399" s="557"/>
      <c r="M399" s="584"/>
    </row>
    <row r="400" spans="2:13" x14ac:dyDescent="0.25">
      <c r="B400" s="580"/>
      <c r="C400" s="558"/>
      <c r="D400" s="559"/>
      <c r="E400" s="558"/>
      <c r="F400" s="558"/>
      <c r="G400" s="557"/>
      <c r="H400" s="557"/>
      <c r="I400" s="557"/>
      <c r="J400" s="557"/>
      <c r="K400" s="557"/>
      <c r="L400" s="557"/>
      <c r="M400" s="584"/>
    </row>
    <row r="401" spans="2:13" x14ac:dyDescent="0.25">
      <c r="B401" s="580"/>
      <c r="C401" s="558"/>
      <c r="D401" s="559"/>
      <c r="E401" s="558"/>
      <c r="F401" s="558"/>
      <c r="G401" s="557"/>
      <c r="H401" s="557"/>
      <c r="I401" s="557"/>
      <c r="J401" s="557"/>
      <c r="K401" s="557"/>
      <c r="L401" s="557"/>
      <c r="M401" s="584"/>
    </row>
    <row r="402" spans="2:13" x14ac:dyDescent="0.25">
      <c r="B402" s="580"/>
      <c r="C402" s="558"/>
      <c r="D402" s="559"/>
      <c r="E402" s="558"/>
      <c r="F402" s="558"/>
      <c r="G402" s="557"/>
      <c r="H402" s="557"/>
      <c r="I402" s="557"/>
      <c r="J402" s="557"/>
      <c r="K402" s="557"/>
      <c r="L402" s="557"/>
      <c r="M402" s="584"/>
    </row>
    <row r="403" spans="2:13" x14ac:dyDescent="0.25">
      <c r="B403" s="580"/>
      <c r="C403" s="558"/>
      <c r="D403" s="559"/>
      <c r="E403" s="558"/>
      <c r="F403" s="558"/>
      <c r="G403" s="557"/>
      <c r="H403" s="557"/>
      <c r="I403" s="557"/>
      <c r="J403" s="557"/>
      <c r="K403" s="557"/>
      <c r="L403" s="557"/>
      <c r="M403" s="584"/>
    </row>
    <row r="404" spans="2:13" x14ac:dyDescent="0.25">
      <c r="B404" s="580"/>
      <c r="C404" s="558"/>
      <c r="D404" s="559"/>
      <c r="E404" s="558"/>
      <c r="F404" s="558"/>
      <c r="G404" s="557"/>
      <c r="H404" s="557"/>
      <c r="I404" s="557"/>
      <c r="J404" s="557"/>
      <c r="K404" s="557"/>
      <c r="L404" s="557"/>
      <c r="M404" s="584"/>
    </row>
    <row r="405" spans="2:13" x14ac:dyDescent="0.25">
      <c r="B405" s="580"/>
      <c r="C405" s="558"/>
      <c r="D405" s="559"/>
      <c r="E405" s="558"/>
      <c r="F405" s="558"/>
      <c r="G405" s="557"/>
      <c r="H405" s="557"/>
      <c r="I405" s="557"/>
      <c r="J405" s="557"/>
      <c r="K405" s="557"/>
      <c r="L405" s="557"/>
      <c r="M405" s="584"/>
    </row>
    <row r="406" spans="2:13" x14ac:dyDescent="0.25">
      <c r="B406" s="580"/>
      <c r="C406" s="558"/>
      <c r="D406" s="559"/>
      <c r="E406" s="558"/>
      <c r="F406" s="558"/>
      <c r="G406" s="557"/>
      <c r="H406" s="557"/>
      <c r="I406" s="557"/>
      <c r="J406" s="557"/>
      <c r="K406" s="557"/>
      <c r="L406" s="557"/>
      <c r="M406" s="584"/>
    </row>
    <row r="407" spans="2:13" x14ac:dyDescent="0.25">
      <c r="B407" s="580"/>
      <c r="C407" s="558"/>
      <c r="D407" s="559"/>
      <c r="E407" s="558"/>
      <c r="F407" s="558"/>
      <c r="G407" s="557"/>
      <c r="H407" s="557"/>
      <c r="I407" s="557"/>
      <c r="J407" s="557"/>
      <c r="K407" s="557"/>
      <c r="L407" s="557"/>
      <c r="M407" s="584"/>
    </row>
    <row r="408" spans="2:13" x14ac:dyDescent="0.25">
      <c r="B408" s="580"/>
      <c r="C408" s="558"/>
      <c r="D408" s="559"/>
      <c r="E408" s="558"/>
      <c r="F408" s="558"/>
      <c r="G408" s="557"/>
      <c r="H408" s="557"/>
      <c r="I408" s="557"/>
      <c r="J408" s="557"/>
      <c r="K408" s="557"/>
      <c r="L408" s="557"/>
      <c r="M408" s="584"/>
    </row>
    <row r="409" spans="2:13" x14ac:dyDescent="0.25">
      <c r="B409" s="580"/>
      <c r="C409" s="558"/>
      <c r="D409" s="559"/>
      <c r="E409" s="558"/>
      <c r="F409" s="558"/>
      <c r="G409" s="557"/>
      <c r="H409" s="557"/>
      <c r="I409" s="557"/>
      <c r="J409" s="557"/>
      <c r="K409" s="557"/>
      <c r="L409" s="557"/>
      <c r="M409" s="584"/>
    </row>
    <row r="410" spans="2:13" ht="15.75" thickBot="1" x14ac:dyDescent="0.3">
      <c r="B410" s="580"/>
      <c r="C410" s="558"/>
      <c r="D410" s="559"/>
      <c r="E410" s="558"/>
      <c r="F410" s="558"/>
      <c r="G410" s="557"/>
      <c r="H410" s="557"/>
      <c r="I410" s="557"/>
      <c r="J410" s="557"/>
      <c r="K410" s="557"/>
      <c r="L410" s="557"/>
      <c r="M410" s="584"/>
    </row>
    <row r="411" spans="2:13" ht="45" x14ac:dyDescent="0.25">
      <c r="B411" s="580"/>
      <c r="C411" s="529" t="s">
        <v>950</v>
      </c>
      <c r="D411" s="530" t="s">
        <v>151</v>
      </c>
      <c r="E411" s="531"/>
      <c r="F411" s="532" t="s">
        <v>43</v>
      </c>
      <c r="G411" s="557"/>
      <c r="H411" s="557"/>
      <c r="I411" s="557"/>
      <c r="J411" s="557"/>
      <c r="K411" s="557"/>
      <c r="L411" s="557"/>
      <c r="M411" s="584"/>
    </row>
    <row r="412" spans="2:13" x14ac:dyDescent="0.25">
      <c r="B412" s="580"/>
      <c r="C412" s="533" t="s">
        <v>951</v>
      </c>
      <c r="D412" s="534" t="s">
        <v>613</v>
      </c>
      <c r="E412" s="535"/>
      <c r="F412" s="536">
        <v>1400</v>
      </c>
      <c r="G412" s="557"/>
      <c r="H412" s="557"/>
      <c r="I412" s="557"/>
      <c r="J412" s="993" t="s">
        <v>157</v>
      </c>
      <c r="K412" s="993"/>
      <c r="L412" s="993"/>
      <c r="M412" s="585" t="s">
        <v>1058</v>
      </c>
    </row>
    <row r="413" spans="2:13" x14ac:dyDescent="0.25">
      <c r="B413" s="580"/>
      <c r="C413" s="533" t="s">
        <v>952</v>
      </c>
      <c r="D413" s="534" t="s">
        <v>340</v>
      </c>
      <c r="E413" s="537" t="s">
        <v>953</v>
      </c>
      <c r="F413" s="536">
        <v>146</v>
      </c>
      <c r="G413" s="557"/>
      <c r="H413" s="557"/>
      <c r="I413" s="557"/>
      <c r="J413" s="993" t="s">
        <v>158</v>
      </c>
      <c r="K413" s="993"/>
      <c r="L413" s="993"/>
      <c r="M413" s="584">
        <f>IF(ISNA(VLOOKUP(M412,D412:F473,3,FALSE))=TRUE,0,VLOOKUP(M412,D412:F473,3,FALSE))</f>
        <v>9810</v>
      </c>
    </row>
    <row r="414" spans="2:13" x14ac:dyDescent="0.25">
      <c r="B414" s="580"/>
      <c r="C414" s="538" t="s">
        <v>954</v>
      </c>
      <c r="D414" s="534" t="s">
        <v>164</v>
      </c>
      <c r="E414" s="537"/>
      <c r="F414" s="536">
        <v>25</v>
      </c>
      <c r="G414" s="557"/>
      <c r="H414" s="557"/>
      <c r="I414" s="557"/>
      <c r="J414" s="557"/>
      <c r="K414" s="557"/>
      <c r="L414" s="557"/>
      <c r="M414" s="584"/>
    </row>
    <row r="415" spans="2:13" x14ac:dyDescent="0.25">
      <c r="B415" s="580"/>
      <c r="C415" s="533" t="s">
        <v>955</v>
      </c>
      <c r="D415" s="534" t="s">
        <v>336</v>
      </c>
      <c r="E415" s="537"/>
      <c r="F415" s="536">
        <v>13</v>
      </c>
      <c r="G415" s="557"/>
      <c r="H415" s="557"/>
      <c r="I415" s="557"/>
      <c r="J415" s="557"/>
      <c r="K415" s="557"/>
      <c r="L415" s="557"/>
      <c r="M415" s="584"/>
    </row>
    <row r="416" spans="2:13" x14ac:dyDescent="0.25">
      <c r="B416" s="580"/>
      <c r="C416" s="538" t="s">
        <v>956</v>
      </c>
      <c r="D416" s="534" t="s">
        <v>1045</v>
      </c>
      <c r="E416" s="537"/>
      <c r="F416" s="536">
        <v>675</v>
      </c>
      <c r="G416" s="557"/>
      <c r="H416" s="557"/>
      <c r="I416" s="557"/>
      <c r="J416" s="557"/>
      <c r="K416" s="557"/>
      <c r="L416" s="557"/>
      <c r="M416" s="584"/>
    </row>
    <row r="417" spans="2:13" x14ac:dyDescent="0.25">
      <c r="B417" s="580"/>
      <c r="C417" s="538" t="s">
        <v>957</v>
      </c>
      <c r="D417" s="534" t="s">
        <v>1046</v>
      </c>
      <c r="E417" s="537" t="s">
        <v>958</v>
      </c>
      <c r="F417" s="536">
        <v>124</v>
      </c>
      <c r="G417" s="557"/>
      <c r="H417" s="557"/>
      <c r="I417" s="557"/>
      <c r="J417" s="557"/>
      <c r="K417" s="557"/>
      <c r="L417" s="557"/>
      <c r="M417" s="584"/>
    </row>
    <row r="418" spans="2:13" x14ac:dyDescent="0.25">
      <c r="B418" s="580"/>
      <c r="C418" s="538" t="s">
        <v>959</v>
      </c>
      <c r="D418" s="534" t="s">
        <v>1047</v>
      </c>
      <c r="E418" s="539" t="s">
        <v>960</v>
      </c>
      <c r="F418" s="536">
        <v>1810</v>
      </c>
      <c r="G418" s="557"/>
      <c r="H418" s="557"/>
      <c r="I418" s="557"/>
      <c r="J418" s="557"/>
      <c r="K418" s="557"/>
      <c r="L418" s="557"/>
      <c r="M418" s="584"/>
    </row>
    <row r="419" spans="2:13" x14ac:dyDescent="0.25">
      <c r="B419" s="580"/>
      <c r="C419" s="538" t="s">
        <v>961</v>
      </c>
      <c r="D419" s="534" t="s">
        <v>1048</v>
      </c>
      <c r="E419" s="537"/>
      <c r="F419" s="536">
        <v>14800</v>
      </c>
      <c r="G419" s="557"/>
      <c r="H419" s="557"/>
      <c r="I419" s="557"/>
      <c r="J419" s="557"/>
      <c r="K419" s="588"/>
      <c r="L419" s="557"/>
      <c r="M419" s="584"/>
    </row>
    <row r="420" spans="2:13" x14ac:dyDescent="0.25">
      <c r="B420" s="580"/>
      <c r="C420" s="538" t="s">
        <v>962</v>
      </c>
      <c r="D420" s="534" t="s">
        <v>1049</v>
      </c>
      <c r="E420" s="537"/>
      <c r="F420" s="536">
        <v>7140</v>
      </c>
      <c r="G420" s="557"/>
      <c r="H420" s="557"/>
      <c r="I420" s="557"/>
      <c r="J420" s="557"/>
      <c r="K420" s="557"/>
      <c r="L420" s="557"/>
      <c r="M420" s="584"/>
    </row>
    <row r="421" spans="2:13" x14ac:dyDescent="0.25">
      <c r="B421" s="580"/>
      <c r="C421" s="538" t="s">
        <v>963</v>
      </c>
      <c r="D421" s="534" t="s">
        <v>1059</v>
      </c>
      <c r="E421" s="537"/>
      <c r="F421" s="536">
        <v>2310</v>
      </c>
      <c r="G421" s="557"/>
      <c r="H421" s="557"/>
      <c r="I421" s="557"/>
      <c r="J421" s="557"/>
      <c r="K421" s="557"/>
      <c r="L421" s="557"/>
      <c r="M421" s="584"/>
    </row>
    <row r="422" spans="2:13" x14ac:dyDescent="0.25">
      <c r="B422" s="580"/>
      <c r="C422" s="538" t="s">
        <v>964</v>
      </c>
      <c r="D422" s="534" t="s">
        <v>1060</v>
      </c>
      <c r="E422" s="539" t="s">
        <v>965</v>
      </c>
      <c r="F422" s="536">
        <v>4750</v>
      </c>
      <c r="G422" s="557"/>
      <c r="H422" s="557"/>
      <c r="I422" s="557"/>
      <c r="J422" s="557"/>
      <c r="K422" s="557"/>
      <c r="L422" s="557"/>
      <c r="M422" s="584"/>
    </row>
    <row r="423" spans="2:13" x14ac:dyDescent="0.25">
      <c r="B423" s="580"/>
      <c r="C423" s="538" t="s">
        <v>966</v>
      </c>
      <c r="D423" s="534" t="s">
        <v>1061</v>
      </c>
      <c r="E423" s="539" t="s">
        <v>967</v>
      </c>
      <c r="F423" s="536">
        <v>10900</v>
      </c>
      <c r="G423" s="557"/>
      <c r="H423" s="557"/>
      <c r="I423" s="557"/>
      <c r="J423" s="557"/>
      <c r="K423" s="557"/>
      <c r="L423" s="557"/>
      <c r="M423" s="584"/>
    </row>
    <row r="424" spans="2:13" x14ac:dyDescent="0.25">
      <c r="B424" s="580"/>
      <c r="C424" s="538" t="s">
        <v>968</v>
      </c>
      <c r="D424" s="534" t="s">
        <v>1062</v>
      </c>
      <c r="E424" s="537"/>
      <c r="F424" s="536">
        <v>14400</v>
      </c>
      <c r="G424" s="557"/>
      <c r="H424" s="557"/>
      <c r="I424" s="557"/>
      <c r="J424" s="557"/>
      <c r="K424" s="557"/>
      <c r="L424" s="557"/>
      <c r="M424" s="584"/>
    </row>
    <row r="425" spans="2:13" x14ac:dyDescent="0.25">
      <c r="B425" s="580"/>
      <c r="C425" s="538" t="s">
        <v>969</v>
      </c>
      <c r="D425" s="534" t="s">
        <v>1063</v>
      </c>
      <c r="E425" s="537" t="s">
        <v>970</v>
      </c>
      <c r="F425" s="536">
        <v>7390</v>
      </c>
      <c r="G425" s="557"/>
      <c r="H425" s="557"/>
      <c r="I425" s="557"/>
      <c r="J425" s="557"/>
      <c r="K425" s="557"/>
      <c r="L425" s="557"/>
      <c r="M425" s="584"/>
    </row>
    <row r="426" spans="2:13" x14ac:dyDescent="0.25">
      <c r="B426" s="580"/>
      <c r="C426" s="538" t="s">
        <v>971</v>
      </c>
      <c r="D426" s="534" t="s">
        <v>1064</v>
      </c>
      <c r="E426" s="539" t="s">
        <v>972</v>
      </c>
      <c r="F426" s="536">
        <v>6130</v>
      </c>
      <c r="G426" s="557"/>
      <c r="H426" s="557"/>
      <c r="I426" s="557"/>
      <c r="J426" s="557"/>
      <c r="K426" s="557"/>
      <c r="L426" s="557"/>
      <c r="M426" s="584"/>
    </row>
    <row r="427" spans="2:13" x14ac:dyDescent="0.25">
      <c r="B427" s="580"/>
      <c r="C427" s="538" t="s">
        <v>973</v>
      </c>
      <c r="D427" s="534" t="s">
        <v>1065</v>
      </c>
      <c r="E427" s="537"/>
      <c r="F427" s="536">
        <v>10000</v>
      </c>
      <c r="G427" s="557"/>
      <c r="H427" s="557"/>
      <c r="I427" s="557"/>
      <c r="J427" s="557"/>
      <c r="K427" s="557"/>
      <c r="L427" s="557"/>
      <c r="M427" s="584"/>
    </row>
    <row r="428" spans="2:13" x14ac:dyDescent="0.25">
      <c r="B428" s="580"/>
      <c r="C428" s="538" t="s">
        <v>974</v>
      </c>
      <c r="D428" s="534" t="s">
        <v>1066</v>
      </c>
      <c r="E428" s="537"/>
      <c r="F428" s="536">
        <v>7370</v>
      </c>
      <c r="G428" s="557"/>
      <c r="H428" s="557"/>
      <c r="I428" s="557"/>
      <c r="J428" s="557"/>
      <c r="K428" s="557"/>
      <c r="L428" s="557"/>
      <c r="M428" s="584"/>
    </row>
    <row r="429" spans="2:13" x14ac:dyDescent="0.25">
      <c r="B429" s="580"/>
      <c r="C429" s="538" t="s">
        <v>975</v>
      </c>
      <c r="D429" s="534" t="s">
        <v>1067</v>
      </c>
      <c r="E429" s="537" t="s">
        <v>976</v>
      </c>
      <c r="F429" s="536">
        <v>12200</v>
      </c>
      <c r="G429" s="557"/>
      <c r="H429" s="557"/>
      <c r="I429" s="557"/>
      <c r="J429" s="557"/>
      <c r="K429" s="557"/>
      <c r="L429" s="557"/>
      <c r="M429" s="584"/>
    </row>
    <row r="430" spans="2:13" x14ac:dyDescent="0.25">
      <c r="B430" s="580"/>
      <c r="C430" s="538" t="s">
        <v>977</v>
      </c>
      <c r="D430" s="534" t="s">
        <v>1068</v>
      </c>
      <c r="E430" s="537" t="s">
        <v>978</v>
      </c>
      <c r="F430" s="536">
        <v>8830</v>
      </c>
      <c r="G430" s="557"/>
      <c r="H430" s="557"/>
      <c r="I430" s="557"/>
      <c r="J430" s="557"/>
      <c r="K430" s="557"/>
      <c r="L430" s="557"/>
      <c r="M430" s="584"/>
    </row>
    <row r="431" spans="2:13" x14ac:dyDescent="0.25">
      <c r="B431" s="580"/>
      <c r="C431" s="538" t="s">
        <v>979</v>
      </c>
      <c r="D431" s="534" t="s">
        <v>1069</v>
      </c>
      <c r="E431" s="537" t="s">
        <v>980</v>
      </c>
      <c r="F431" s="536">
        <v>10300</v>
      </c>
      <c r="G431" s="557"/>
      <c r="H431" s="557"/>
      <c r="I431" s="557"/>
      <c r="J431" s="557"/>
      <c r="K431" s="557"/>
      <c r="L431" s="557"/>
      <c r="M431" s="584"/>
    </row>
    <row r="432" spans="2:13" x14ac:dyDescent="0.25">
      <c r="B432" s="580"/>
      <c r="C432" s="538" t="s">
        <v>981</v>
      </c>
      <c r="D432" s="534" t="s">
        <v>1070</v>
      </c>
      <c r="E432" s="537"/>
      <c r="F432" s="536">
        <v>1</v>
      </c>
      <c r="G432" s="557"/>
      <c r="H432" s="557"/>
      <c r="I432" s="557"/>
      <c r="J432" s="557"/>
      <c r="K432" s="557"/>
      <c r="L432" s="557"/>
      <c r="M432" s="584"/>
    </row>
    <row r="433" spans="2:13" x14ac:dyDescent="0.25">
      <c r="B433" s="580"/>
      <c r="C433" s="538" t="s">
        <v>982</v>
      </c>
      <c r="D433" s="534" t="s">
        <v>1071</v>
      </c>
      <c r="E433" s="537"/>
      <c r="F433" s="536">
        <v>1640</v>
      </c>
      <c r="G433" s="557"/>
      <c r="H433" s="557"/>
      <c r="I433" s="557"/>
      <c r="J433" s="557"/>
      <c r="K433" s="557"/>
      <c r="L433" s="557"/>
      <c r="M433" s="584"/>
    </row>
    <row r="434" spans="2:13" x14ac:dyDescent="0.25">
      <c r="B434" s="580"/>
      <c r="C434" s="538" t="s">
        <v>983</v>
      </c>
      <c r="D434" s="534" t="s">
        <v>1072</v>
      </c>
      <c r="E434" s="539" t="s">
        <v>984</v>
      </c>
      <c r="F434" s="536">
        <v>77</v>
      </c>
      <c r="G434" s="557"/>
      <c r="H434" s="557"/>
      <c r="I434" s="557"/>
      <c r="J434" s="557"/>
      <c r="K434" s="557"/>
      <c r="L434" s="557"/>
      <c r="M434" s="584"/>
    </row>
    <row r="435" spans="2:13" x14ac:dyDescent="0.25">
      <c r="B435" s="580"/>
      <c r="C435" s="538" t="s">
        <v>983</v>
      </c>
      <c r="D435" s="534" t="s">
        <v>1072</v>
      </c>
      <c r="E435" s="539" t="s">
        <v>984</v>
      </c>
      <c r="F435" s="536">
        <v>77</v>
      </c>
      <c r="G435" s="557"/>
      <c r="H435" s="557"/>
      <c r="I435" s="557"/>
      <c r="J435" s="557"/>
      <c r="K435" s="557"/>
      <c r="L435" s="557"/>
      <c r="M435" s="584"/>
    </row>
    <row r="436" spans="2:13" x14ac:dyDescent="0.25">
      <c r="B436" s="580"/>
      <c r="C436" s="538" t="s">
        <v>985</v>
      </c>
      <c r="D436" s="534" t="s">
        <v>1073</v>
      </c>
      <c r="E436" s="537"/>
      <c r="F436" s="536">
        <v>1890</v>
      </c>
      <c r="G436" s="557"/>
      <c r="H436" s="557"/>
      <c r="I436" s="557"/>
      <c r="J436" s="557"/>
      <c r="K436" s="557"/>
      <c r="L436" s="557"/>
      <c r="M436" s="584"/>
    </row>
    <row r="437" spans="2:13" x14ac:dyDescent="0.25">
      <c r="B437" s="580"/>
      <c r="C437" s="538" t="s">
        <v>986</v>
      </c>
      <c r="D437" s="534" t="s">
        <v>1074</v>
      </c>
      <c r="E437" s="537"/>
      <c r="F437" s="536">
        <v>3500</v>
      </c>
      <c r="G437" s="557"/>
      <c r="H437" s="557"/>
      <c r="I437" s="557"/>
      <c r="J437" s="557"/>
      <c r="K437" s="557"/>
      <c r="L437" s="557"/>
      <c r="M437" s="584"/>
    </row>
    <row r="438" spans="2:13" x14ac:dyDescent="0.25">
      <c r="B438" s="580"/>
      <c r="C438" s="538" t="s">
        <v>987</v>
      </c>
      <c r="D438" s="534" t="s">
        <v>1075</v>
      </c>
      <c r="E438" s="537" t="s">
        <v>988</v>
      </c>
      <c r="F438" s="536">
        <v>8860</v>
      </c>
      <c r="G438" s="557"/>
      <c r="H438" s="557"/>
      <c r="I438" s="557"/>
      <c r="J438" s="557"/>
      <c r="K438" s="557"/>
      <c r="L438" s="557"/>
      <c r="M438" s="584"/>
    </row>
    <row r="439" spans="2:13" x14ac:dyDescent="0.25">
      <c r="B439" s="580"/>
      <c r="C439" s="538" t="s">
        <v>989</v>
      </c>
      <c r="D439" s="534" t="s">
        <v>1076</v>
      </c>
      <c r="E439" s="537" t="s">
        <v>990</v>
      </c>
      <c r="F439" s="536">
        <v>9300</v>
      </c>
      <c r="G439" s="557"/>
      <c r="H439" s="557"/>
      <c r="I439" s="557"/>
      <c r="J439" s="557"/>
      <c r="K439" s="557"/>
      <c r="L439" s="557"/>
      <c r="M439" s="584"/>
    </row>
    <row r="440" spans="2:13" x14ac:dyDescent="0.25">
      <c r="B440" s="580"/>
      <c r="C440" s="540" t="s">
        <v>991</v>
      </c>
      <c r="D440" s="534" t="s">
        <v>1077</v>
      </c>
      <c r="E440" s="541"/>
      <c r="F440" s="542">
        <v>1100</v>
      </c>
      <c r="G440" s="557"/>
      <c r="H440" s="557"/>
      <c r="I440" s="557"/>
      <c r="J440" s="557"/>
      <c r="K440" s="557"/>
      <c r="L440" s="557"/>
      <c r="M440" s="584"/>
    </row>
    <row r="441" spans="2:13" x14ac:dyDescent="0.25">
      <c r="B441" s="580"/>
      <c r="C441" s="538" t="s">
        <v>992</v>
      </c>
      <c r="D441" s="534" t="s">
        <v>1078</v>
      </c>
      <c r="E441" s="537" t="s">
        <v>993</v>
      </c>
      <c r="F441" s="543">
        <v>794</v>
      </c>
      <c r="G441" s="557"/>
      <c r="H441" s="557"/>
      <c r="I441" s="557"/>
      <c r="J441" s="557"/>
      <c r="K441" s="557"/>
      <c r="L441" s="557"/>
      <c r="M441" s="584"/>
    </row>
    <row r="442" spans="2:13" x14ac:dyDescent="0.25">
      <c r="B442" s="580"/>
      <c r="C442" s="544" t="s">
        <v>1036</v>
      </c>
      <c r="D442" s="534" t="s">
        <v>1056</v>
      </c>
      <c r="E442" s="545"/>
      <c r="F442" s="536">
        <v>580</v>
      </c>
      <c r="G442" s="557"/>
      <c r="H442" s="557"/>
      <c r="I442" s="557"/>
      <c r="J442" s="557"/>
      <c r="K442" s="557"/>
      <c r="L442" s="557"/>
      <c r="M442" s="584"/>
    </row>
    <row r="443" spans="2:13" x14ac:dyDescent="0.25">
      <c r="B443" s="580"/>
      <c r="C443" s="538" t="s">
        <v>994</v>
      </c>
      <c r="D443" s="534" t="s">
        <v>1079</v>
      </c>
      <c r="E443" s="537"/>
      <c r="F443" s="536">
        <v>4470</v>
      </c>
      <c r="G443" s="557"/>
      <c r="H443" s="557"/>
      <c r="I443" s="557"/>
      <c r="J443" s="557"/>
      <c r="K443" s="557"/>
      <c r="L443" s="557"/>
      <c r="M443" s="584"/>
    </row>
    <row r="444" spans="2:13" x14ac:dyDescent="0.25">
      <c r="B444" s="580"/>
      <c r="C444" s="546" t="s">
        <v>1023</v>
      </c>
      <c r="D444" s="534" t="s">
        <v>1080</v>
      </c>
      <c r="E444" s="545"/>
      <c r="F444" s="536">
        <v>756</v>
      </c>
      <c r="G444" s="557"/>
      <c r="H444" s="557"/>
      <c r="I444" s="557"/>
      <c r="J444" s="557"/>
      <c r="K444" s="557"/>
      <c r="L444" s="557"/>
      <c r="M444" s="584"/>
    </row>
    <row r="445" spans="2:13" x14ac:dyDescent="0.25">
      <c r="B445" s="580"/>
      <c r="C445" s="538" t="s">
        <v>995</v>
      </c>
      <c r="D445" s="534" t="s">
        <v>1081</v>
      </c>
      <c r="E445" s="537" t="s">
        <v>996</v>
      </c>
      <c r="F445" s="536">
        <v>122</v>
      </c>
      <c r="G445" s="557"/>
      <c r="H445" s="557"/>
      <c r="I445" s="557"/>
      <c r="J445" s="557"/>
      <c r="K445" s="557"/>
      <c r="L445" s="557"/>
      <c r="M445" s="584"/>
    </row>
    <row r="446" spans="2:13" x14ac:dyDescent="0.25">
      <c r="B446" s="580"/>
      <c r="C446" s="546" t="s">
        <v>1032</v>
      </c>
      <c r="D446" s="534" t="s">
        <v>1053</v>
      </c>
      <c r="E446" s="545"/>
      <c r="F446" s="536">
        <v>359</v>
      </c>
      <c r="G446" s="557"/>
      <c r="H446" s="557"/>
      <c r="I446" s="557"/>
      <c r="J446" s="557"/>
      <c r="K446" s="557"/>
      <c r="L446" s="557"/>
      <c r="M446" s="584"/>
    </row>
    <row r="447" spans="2:13" x14ac:dyDescent="0.25">
      <c r="B447" s="580"/>
      <c r="C447" s="538" t="s">
        <v>998</v>
      </c>
      <c r="D447" s="534" t="s">
        <v>1082</v>
      </c>
      <c r="E447" s="537"/>
      <c r="F447" s="542">
        <v>330</v>
      </c>
      <c r="G447" s="557"/>
      <c r="H447" s="557"/>
      <c r="I447" s="557"/>
      <c r="J447" s="557"/>
      <c r="K447" s="557"/>
      <c r="L447" s="557"/>
      <c r="M447" s="584"/>
    </row>
    <row r="448" spans="2:13" x14ac:dyDescent="0.25">
      <c r="B448" s="580"/>
      <c r="C448" s="538" t="s">
        <v>999</v>
      </c>
      <c r="D448" s="534" t="s">
        <v>1083</v>
      </c>
      <c r="E448" s="537"/>
      <c r="F448" s="536">
        <v>3220</v>
      </c>
      <c r="G448" s="557"/>
      <c r="H448" s="557"/>
      <c r="I448" s="557"/>
      <c r="J448" s="557"/>
      <c r="K448" s="557"/>
      <c r="L448" s="557"/>
      <c r="M448" s="584"/>
    </row>
    <row r="449" spans="2:13" x14ac:dyDescent="0.25">
      <c r="B449" s="580"/>
      <c r="C449" s="538" t="s">
        <v>1000</v>
      </c>
      <c r="D449" s="534" t="s">
        <v>1084</v>
      </c>
      <c r="E449" s="537" t="s">
        <v>1001</v>
      </c>
      <c r="F449" s="536">
        <v>1030</v>
      </c>
      <c r="G449" s="557"/>
      <c r="H449" s="557"/>
      <c r="I449" s="557"/>
      <c r="J449" s="557"/>
      <c r="K449" s="557"/>
      <c r="L449" s="557"/>
      <c r="M449" s="584"/>
    </row>
    <row r="450" spans="2:13" x14ac:dyDescent="0.25">
      <c r="B450" s="580"/>
      <c r="C450" s="538" t="s">
        <v>1002</v>
      </c>
      <c r="D450" s="534" t="s">
        <v>1085</v>
      </c>
      <c r="E450" s="537" t="s">
        <v>1003</v>
      </c>
      <c r="F450" s="536">
        <v>595</v>
      </c>
      <c r="G450" s="557"/>
      <c r="H450" s="557"/>
      <c r="I450" s="557"/>
      <c r="J450" s="557"/>
      <c r="K450" s="557"/>
      <c r="L450" s="557"/>
      <c r="M450" s="584"/>
    </row>
    <row r="451" spans="2:13" x14ac:dyDescent="0.25">
      <c r="B451" s="580"/>
      <c r="C451" s="538" t="s">
        <v>1004</v>
      </c>
      <c r="D451" s="534" t="s">
        <v>1086</v>
      </c>
      <c r="E451" s="537"/>
      <c r="F451" s="542">
        <v>97</v>
      </c>
      <c r="G451" s="557"/>
      <c r="H451" s="557"/>
      <c r="I451" s="557"/>
      <c r="J451" s="557"/>
      <c r="K451" s="557"/>
      <c r="L451" s="557"/>
      <c r="M451" s="584"/>
    </row>
    <row r="452" spans="2:13" x14ac:dyDescent="0.25">
      <c r="B452" s="580"/>
      <c r="C452" s="546" t="s">
        <v>1005</v>
      </c>
      <c r="D452" s="534" t="s">
        <v>1087</v>
      </c>
      <c r="E452" s="537" t="s">
        <v>1006</v>
      </c>
      <c r="F452" s="536">
        <v>9160</v>
      </c>
      <c r="G452" s="557"/>
      <c r="H452" s="557"/>
      <c r="I452" s="557"/>
      <c r="J452" s="557"/>
      <c r="K452" s="557"/>
      <c r="L452" s="557"/>
      <c r="M452" s="584"/>
    </row>
    <row r="453" spans="2:13" x14ac:dyDescent="0.25">
      <c r="B453" s="580"/>
      <c r="C453" s="538" t="s">
        <v>1007</v>
      </c>
      <c r="D453" s="534" t="s">
        <v>1088</v>
      </c>
      <c r="E453" s="537"/>
      <c r="F453" s="542">
        <v>640</v>
      </c>
      <c r="G453" s="557"/>
      <c r="H453" s="557"/>
      <c r="I453" s="557"/>
      <c r="J453" s="557"/>
      <c r="K453" s="557"/>
      <c r="L453" s="557"/>
      <c r="M453" s="584"/>
    </row>
    <row r="454" spans="2:13" x14ac:dyDescent="0.25">
      <c r="B454" s="580"/>
      <c r="C454" s="538" t="s">
        <v>1008</v>
      </c>
      <c r="D454" s="534" t="s">
        <v>1058</v>
      </c>
      <c r="E454" s="537"/>
      <c r="F454" s="536">
        <v>9810</v>
      </c>
      <c r="G454" s="557"/>
      <c r="H454" s="557"/>
      <c r="I454" s="557"/>
      <c r="J454" s="557"/>
      <c r="K454" s="557"/>
      <c r="L454" s="557"/>
      <c r="M454" s="584"/>
    </row>
    <row r="455" spans="2:13" x14ac:dyDescent="0.25">
      <c r="B455" s="580"/>
      <c r="C455" s="538" t="s">
        <v>1009</v>
      </c>
      <c r="D455" s="534" t="s">
        <v>1089</v>
      </c>
      <c r="E455" s="539" t="s">
        <v>1010</v>
      </c>
      <c r="F455" s="536">
        <v>1430</v>
      </c>
      <c r="G455" s="557"/>
      <c r="H455" s="557"/>
      <c r="I455" s="557"/>
      <c r="J455" s="557"/>
      <c r="K455" s="557"/>
      <c r="L455" s="557"/>
      <c r="M455" s="584"/>
    </row>
    <row r="456" spans="2:13" x14ac:dyDescent="0.25">
      <c r="B456" s="580"/>
      <c r="C456" s="546" t="s">
        <v>1021</v>
      </c>
      <c r="D456" s="534" t="s">
        <v>1090</v>
      </c>
      <c r="E456" s="545"/>
      <c r="F456" s="536">
        <v>6320</v>
      </c>
      <c r="G456" s="557"/>
      <c r="H456" s="557"/>
      <c r="I456" s="557"/>
      <c r="J456" s="557"/>
      <c r="K456" s="557"/>
      <c r="L456" s="557"/>
      <c r="M456" s="584"/>
    </row>
    <row r="457" spans="2:13" x14ac:dyDescent="0.25">
      <c r="B457" s="580"/>
      <c r="C457" s="538" t="s">
        <v>1011</v>
      </c>
      <c r="D457" s="534" t="s">
        <v>1091</v>
      </c>
      <c r="E457" s="539" t="s">
        <v>1012</v>
      </c>
      <c r="F457" s="536">
        <v>725</v>
      </c>
      <c r="G457" s="557"/>
      <c r="H457" s="557"/>
      <c r="I457" s="557"/>
      <c r="J457" s="557"/>
      <c r="K457" s="557"/>
      <c r="L457" s="557"/>
      <c r="M457" s="584"/>
    </row>
    <row r="458" spans="2:13" x14ac:dyDescent="0.25">
      <c r="B458" s="580"/>
      <c r="C458" s="546" t="s">
        <v>1031</v>
      </c>
      <c r="D458" s="534" t="s">
        <v>1052</v>
      </c>
      <c r="E458" s="545"/>
      <c r="F458" s="536">
        <v>659</v>
      </c>
      <c r="G458" s="557"/>
      <c r="H458" s="557"/>
      <c r="I458" s="557"/>
      <c r="J458" s="557"/>
      <c r="K458" s="557"/>
      <c r="L458" s="557"/>
      <c r="M458" s="584"/>
    </row>
    <row r="459" spans="2:13" x14ac:dyDescent="0.25">
      <c r="B459" s="580"/>
      <c r="C459" s="538" t="s">
        <v>1013</v>
      </c>
      <c r="D459" s="534" t="s">
        <v>1092</v>
      </c>
      <c r="E459" s="537" t="s">
        <v>1014</v>
      </c>
      <c r="F459" s="536">
        <v>22800</v>
      </c>
      <c r="G459" s="557"/>
      <c r="H459" s="557"/>
      <c r="I459" s="557"/>
      <c r="J459" s="557"/>
      <c r="K459" s="557"/>
      <c r="L459" s="557"/>
      <c r="M459" s="584"/>
    </row>
    <row r="460" spans="2:13" x14ac:dyDescent="0.25">
      <c r="B460" s="580"/>
      <c r="C460" s="538" t="s">
        <v>1015</v>
      </c>
      <c r="D460" s="534" t="s">
        <v>1093</v>
      </c>
      <c r="E460" s="539" t="s">
        <v>1016</v>
      </c>
      <c r="F460" s="536">
        <v>609</v>
      </c>
      <c r="G460" s="557"/>
      <c r="H460" s="557"/>
      <c r="I460" s="557"/>
      <c r="J460" s="557"/>
      <c r="K460" s="557"/>
      <c r="L460" s="557"/>
      <c r="M460" s="584"/>
    </row>
    <row r="461" spans="2:13" x14ac:dyDescent="0.25">
      <c r="B461" s="580"/>
      <c r="C461" s="546" t="s">
        <v>1022</v>
      </c>
      <c r="D461" s="534" t="s">
        <v>1094</v>
      </c>
      <c r="E461" s="545"/>
      <c r="F461" s="536">
        <v>14900</v>
      </c>
      <c r="G461" s="557"/>
      <c r="H461" s="557"/>
      <c r="I461" s="557"/>
      <c r="J461" s="557"/>
      <c r="K461" s="557"/>
      <c r="L461" s="557"/>
      <c r="M461" s="584"/>
    </row>
    <row r="462" spans="2:13" x14ac:dyDescent="0.25">
      <c r="B462" s="580"/>
      <c r="C462" s="538" t="s">
        <v>1024</v>
      </c>
      <c r="D462" s="534" t="s">
        <v>1095</v>
      </c>
      <c r="E462" s="547" t="s">
        <v>1025</v>
      </c>
      <c r="F462" s="536">
        <v>17200</v>
      </c>
      <c r="G462" s="557"/>
      <c r="H462" s="557"/>
      <c r="I462" s="557"/>
      <c r="J462" s="557"/>
      <c r="K462" s="557"/>
      <c r="L462" s="557"/>
      <c r="M462" s="584"/>
    </row>
    <row r="463" spans="2:13" x14ac:dyDescent="0.25">
      <c r="B463" s="580"/>
      <c r="C463" s="538" t="s">
        <v>1017</v>
      </c>
      <c r="D463" s="534" t="s">
        <v>1096</v>
      </c>
      <c r="E463" s="537"/>
      <c r="F463" s="536">
        <v>298</v>
      </c>
      <c r="G463" s="557"/>
      <c r="H463" s="557"/>
      <c r="I463" s="557"/>
      <c r="J463" s="557"/>
      <c r="K463" s="557"/>
      <c r="L463" s="557"/>
      <c r="M463" s="584"/>
    </row>
    <row r="464" spans="2:13" x14ac:dyDescent="0.25">
      <c r="B464" s="580"/>
      <c r="C464" s="546" t="s">
        <v>1030</v>
      </c>
      <c r="D464" s="534" t="s">
        <v>1051</v>
      </c>
      <c r="E464" s="545"/>
      <c r="F464" s="536">
        <v>708</v>
      </c>
      <c r="G464" s="557"/>
      <c r="H464" s="557"/>
      <c r="I464" s="557"/>
      <c r="J464" s="557"/>
      <c r="K464" s="557"/>
      <c r="L464" s="557"/>
      <c r="M464" s="584"/>
    </row>
    <row r="465" spans="2:13" x14ac:dyDescent="0.25">
      <c r="B465" s="580"/>
      <c r="C465" s="546" t="s">
        <v>1027</v>
      </c>
      <c r="D465" s="534" t="s">
        <v>1042</v>
      </c>
      <c r="E465" s="545"/>
      <c r="F465" s="536">
        <v>350</v>
      </c>
      <c r="G465" s="557"/>
      <c r="H465" s="557"/>
      <c r="I465" s="557"/>
      <c r="J465" s="557"/>
      <c r="K465" s="557"/>
      <c r="L465" s="557"/>
      <c r="M465" s="584"/>
    </row>
    <row r="466" spans="2:13" x14ac:dyDescent="0.25">
      <c r="B466" s="580"/>
      <c r="C466" s="546" t="s">
        <v>1035</v>
      </c>
      <c r="D466" s="534" t="s">
        <v>1055</v>
      </c>
      <c r="E466" s="545"/>
      <c r="F466" s="536">
        <v>575</v>
      </c>
      <c r="G466" s="557"/>
      <c r="H466" s="557"/>
      <c r="I466" s="557"/>
      <c r="J466" s="557"/>
      <c r="K466" s="557"/>
      <c r="L466" s="557"/>
      <c r="M466" s="584"/>
    </row>
    <row r="467" spans="2:13" x14ac:dyDescent="0.25">
      <c r="B467" s="580"/>
      <c r="C467" s="546" t="s">
        <v>1018</v>
      </c>
      <c r="D467" s="534" t="s">
        <v>1097</v>
      </c>
      <c r="E467" s="545"/>
      <c r="F467" s="536">
        <v>7500</v>
      </c>
      <c r="G467" s="557"/>
      <c r="H467" s="557"/>
      <c r="I467" s="557"/>
      <c r="J467" s="557"/>
      <c r="K467" s="557"/>
      <c r="L467" s="557"/>
      <c r="M467" s="584"/>
    </row>
    <row r="468" spans="2:13" x14ac:dyDescent="0.25">
      <c r="B468" s="580"/>
      <c r="C468" s="544" t="s">
        <v>1028</v>
      </c>
      <c r="D468" s="534" t="s">
        <v>1050</v>
      </c>
      <c r="E468" s="548" t="s">
        <v>1029</v>
      </c>
      <c r="F468" s="536">
        <v>2800</v>
      </c>
      <c r="G468" s="557"/>
      <c r="H468" s="557"/>
      <c r="I468" s="557"/>
      <c r="J468" s="557"/>
      <c r="K468" s="557"/>
      <c r="L468" s="557"/>
      <c r="M468" s="584"/>
    </row>
    <row r="469" spans="2:13" x14ac:dyDescent="0.25">
      <c r="B469" s="580"/>
      <c r="C469" s="538" t="s">
        <v>1019</v>
      </c>
      <c r="D469" s="534" t="s">
        <v>1098</v>
      </c>
      <c r="E469" s="537" t="s">
        <v>1020</v>
      </c>
      <c r="F469" s="536">
        <v>1640</v>
      </c>
      <c r="G469" s="557"/>
      <c r="H469" s="557"/>
      <c r="I469" s="557"/>
      <c r="J469" s="557"/>
      <c r="K469" s="557"/>
      <c r="L469" s="557"/>
      <c r="M469" s="584"/>
    </row>
    <row r="470" spans="2:13" x14ac:dyDescent="0.25">
      <c r="B470" s="580"/>
      <c r="C470" s="546" t="s">
        <v>1037</v>
      </c>
      <c r="D470" s="534" t="s">
        <v>1057</v>
      </c>
      <c r="E470" s="545"/>
      <c r="F470" s="536">
        <v>110</v>
      </c>
      <c r="G470" s="557"/>
      <c r="H470" s="557"/>
      <c r="I470" s="557"/>
      <c r="J470" s="557"/>
      <c r="K470" s="557"/>
      <c r="L470" s="557"/>
      <c r="M470" s="584"/>
    </row>
    <row r="471" spans="2:13" x14ac:dyDescent="0.25">
      <c r="B471" s="580"/>
      <c r="C471" s="544" t="s">
        <v>1038</v>
      </c>
      <c r="D471" s="534" t="s">
        <v>1043</v>
      </c>
      <c r="E471" s="545" t="s">
        <v>1039</v>
      </c>
      <c r="F471" s="536">
        <v>59</v>
      </c>
      <c r="G471" s="557"/>
      <c r="H471" s="557"/>
      <c r="I471" s="557"/>
      <c r="J471" s="557"/>
      <c r="K471" s="557"/>
      <c r="L471" s="557"/>
      <c r="M471" s="584"/>
    </row>
    <row r="472" spans="2:13" x14ac:dyDescent="0.25">
      <c r="B472" s="580"/>
      <c r="C472" s="544" t="s">
        <v>1040</v>
      </c>
      <c r="D472" s="534" t="s">
        <v>1044</v>
      </c>
      <c r="E472" s="545" t="s">
        <v>1041</v>
      </c>
      <c r="F472" s="536">
        <v>297</v>
      </c>
      <c r="G472" s="557"/>
      <c r="H472" s="557"/>
      <c r="I472" s="557"/>
      <c r="J472" s="557"/>
      <c r="K472" s="557"/>
      <c r="L472" s="557"/>
      <c r="M472" s="584"/>
    </row>
    <row r="473" spans="2:13" ht="15.75" thickBot="1" x14ac:dyDescent="0.3">
      <c r="B473" s="580"/>
      <c r="C473" s="549" t="s">
        <v>1033</v>
      </c>
      <c r="D473" s="550" t="s">
        <v>1054</v>
      </c>
      <c r="E473" s="551" t="s">
        <v>1034</v>
      </c>
      <c r="F473" s="552">
        <v>1500</v>
      </c>
      <c r="G473" s="557"/>
      <c r="H473" s="557"/>
      <c r="I473" s="557"/>
      <c r="J473" s="557"/>
      <c r="K473" s="557"/>
      <c r="L473" s="557"/>
      <c r="M473" s="584"/>
    </row>
    <row r="474" spans="2:13" x14ac:dyDescent="0.25">
      <c r="B474" s="580"/>
      <c r="C474" s="553"/>
      <c r="D474" s="554"/>
      <c r="E474" s="553"/>
      <c r="F474" s="555"/>
      <c r="G474" s="557"/>
      <c r="H474" s="557"/>
      <c r="I474" s="557"/>
      <c r="J474" s="557"/>
      <c r="K474" s="557"/>
      <c r="L474" s="557"/>
      <c r="M474" s="584"/>
    </row>
    <row r="475" spans="2:13" x14ac:dyDescent="0.25">
      <c r="B475" s="580"/>
      <c r="C475" s="553"/>
      <c r="D475" s="554"/>
      <c r="E475" s="556"/>
      <c r="F475" s="555"/>
      <c r="G475" s="557"/>
      <c r="H475" s="557"/>
      <c r="I475" s="557"/>
      <c r="J475" s="557"/>
      <c r="K475" s="557"/>
      <c r="L475" s="557"/>
      <c r="M475" s="584"/>
    </row>
    <row r="476" spans="2:13" x14ac:dyDescent="0.25">
      <c r="B476" s="580"/>
      <c r="C476" s="553"/>
      <c r="D476" s="554"/>
      <c r="E476" s="553"/>
      <c r="F476" s="555"/>
      <c r="G476" s="557"/>
      <c r="H476" s="557"/>
      <c r="I476" s="557"/>
      <c r="J476" s="557"/>
      <c r="K476" s="557"/>
      <c r="L476" s="557"/>
      <c r="M476" s="584"/>
    </row>
    <row r="477" spans="2:13" x14ac:dyDescent="0.25">
      <c r="B477" s="580"/>
      <c r="C477" s="558"/>
      <c r="D477" s="559"/>
      <c r="E477" s="558"/>
      <c r="F477" s="558"/>
      <c r="G477" s="557"/>
      <c r="H477" s="557"/>
      <c r="I477" s="557"/>
      <c r="J477" s="557"/>
      <c r="K477" s="557"/>
      <c r="L477" s="557"/>
      <c r="M477" s="584"/>
    </row>
    <row r="478" spans="2:13" x14ac:dyDescent="0.25">
      <c r="B478" s="580"/>
      <c r="C478" s="558"/>
      <c r="D478" s="559"/>
      <c r="E478" s="558"/>
      <c r="F478" s="558"/>
      <c r="G478" s="557"/>
      <c r="H478" s="557"/>
      <c r="I478" s="557"/>
      <c r="J478" s="557"/>
      <c r="K478" s="557"/>
      <c r="L478" s="557"/>
      <c r="M478" s="584"/>
    </row>
    <row r="479" spans="2:13" x14ac:dyDescent="0.25">
      <c r="B479" s="580"/>
      <c r="C479" s="558"/>
      <c r="D479" s="559"/>
      <c r="E479" s="558"/>
      <c r="F479" s="558"/>
      <c r="G479" s="557"/>
      <c r="H479" s="557"/>
      <c r="I479" s="557"/>
      <c r="J479" s="557"/>
      <c r="K479" s="557"/>
      <c r="L479" s="557"/>
      <c r="M479" s="584"/>
    </row>
    <row r="480" spans="2:13" x14ac:dyDescent="0.25">
      <c r="B480" s="580"/>
      <c r="C480" s="558"/>
      <c r="D480" s="559"/>
      <c r="E480" s="558"/>
      <c r="F480" s="558"/>
      <c r="G480" s="557"/>
      <c r="H480" s="557"/>
      <c r="I480" s="557"/>
      <c r="J480" s="557"/>
      <c r="K480" s="557"/>
      <c r="L480" s="557"/>
      <c r="M480" s="584"/>
    </row>
    <row r="481" spans="2:13" x14ac:dyDescent="0.25">
      <c r="B481" s="580"/>
      <c r="C481" s="558"/>
      <c r="D481" s="559"/>
      <c r="E481" s="558"/>
      <c r="F481" s="558"/>
      <c r="G481" s="557"/>
      <c r="H481" s="557"/>
      <c r="I481" s="557"/>
      <c r="J481" s="589"/>
      <c r="K481" s="557"/>
      <c r="L481" s="557"/>
      <c r="M481" s="584"/>
    </row>
    <row r="482" spans="2:13" s="52" customFormat="1" x14ac:dyDescent="0.25">
      <c r="B482" s="580"/>
      <c r="C482" s="558"/>
      <c r="D482" s="559"/>
      <c r="E482" s="558"/>
      <c r="F482" s="558"/>
      <c r="G482" s="557"/>
      <c r="H482" s="557"/>
      <c r="I482" s="557"/>
      <c r="J482" s="557"/>
      <c r="K482" s="557"/>
      <c r="L482" s="557"/>
      <c r="M482" s="584"/>
    </row>
    <row r="483" spans="2:13" s="52" customFormat="1" ht="15.75" thickBot="1" x14ac:dyDescent="0.25">
      <c r="B483" s="580"/>
      <c r="C483" s="560"/>
      <c r="D483" s="561"/>
      <c r="E483" s="562"/>
      <c r="F483" s="560"/>
      <c r="G483" s="563"/>
      <c r="H483" s="563"/>
      <c r="I483" s="557"/>
      <c r="J483" s="557"/>
      <c r="K483" s="557"/>
      <c r="L483" s="557"/>
      <c r="M483" s="584"/>
    </row>
    <row r="484" spans="2:13" s="52" customFormat="1" ht="45" x14ac:dyDescent="0.2">
      <c r="B484" s="580"/>
      <c r="C484" s="564" t="s">
        <v>950</v>
      </c>
      <c r="D484" s="565" t="s">
        <v>151</v>
      </c>
      <c r="E484" s="566" t="s">
        <v>1177</v>
      </c>
      <c r="F484" s="567" t="s">
        <v>44</v>
      </c>
      <c r="G484" s="563"/>
      <c r="H484" s="563"/>
      <c r="I484" s="557"/>
      <c r="J484" s="557"/>
      <c r="K484" s="557"/>
      <c r="L484" s="557"/>
      <c r="M484" s="584"/>
    </row>
    <row r="485" spans="2:13" s="52" customFormat="1" x14ac:dyDescent="0.25">
      <c r="B485" s="580"/>
      <c r="C485" s="568" t="s">
        <v>951</v>
      </c>
      <c r="D485" s="569" t="s">
        <v>613</v>
      </c>
      <c r="E485" s="537"/>
      <c r="F485" s="570">
        <v>0.73</v>
      </c>
      <c r="G485" s="571"/>
      <c r="H485" s="571"/>
      <c r="I485" s="572"/>
      <c r="J485" s="993" t="s">
        <v>157</v>
      </c>
      <c r="K485" s="993"/>
      <c r="L485" s="993"/>
      <c r="M485" s="585" t="s">
        <v>1191</v>
      </c>
    </row>
    <row r="486" spans="2:13" s="52" customFormat="1" x14ac:dyDescent="0.25">
      <c r="B486" s="580"/>
      <c r="C486" s="568" t="s">
        <v>952</v>
      </c>
      <c r="D486" s="569" t="s">
        <v>340</v>
      </c>
      <c r="E486" s="537" t="s">
        <v>953</v>
      </c>
      <c r="F486" s="570">
        <v>0.12</v>
      </c>
      <c r="G486" s="571"/>
      <c r="H486" s="571"/>
      <c r="I486" s="572"/>
      <c r="J486" s="993" t="s">
        <v>158</v>
      </c>
      <c r="K486" s="993"/>
      <c r="L486" s="993"/>
      <c r="M486" s="584">
        <f>IF(ISNA(VLOOKUP(M485,D485:F558,3,FALSE))=TRUE,0,VLOOKUP(M485,D485:F558,3,FALSE))</f>
        <v>0.65</v>
      </c>
    </row>
    <row r="487" spans="2:13" s="52" customFormat="1" x14ac:dyDescent="0.25">
      <c r="B487" s="580"/>
      <c r="C487" s="568" t="s">
        <v>1100</v>
      </c>
      <c r="D487" s="569" t="s">
        <v>1178</v>
      </c>
      <c r="E487" s="537"/>
      <c r="F487" s="570">
        <v>0.51</v>
      </c>
      <c r="G487" s="571"/>
      <c r="H487" s="571"/>
      <c r="I487" s="572"/>
      <c r="J487" s="572"/>
      <c r="K487" s="557"/>
      <c r="L487" s="557"/>
      <c r="M487" s="584"/>
    </row>
    <row r="488" spans="2:13" s="52" customFormat="1" x14ac:dyDescent="0.25">
      <c r="B488" s="580"/>
      <c r="C488" s="568" t="s">
        <v>955</v>
      </c>
      <c r="D488" s="569" t="s">
        <v>336</v>
      </c>
      <c r="E488" s="537"/>
      <c r="F488" s="570">
        <v>0.2</v>
      </c>
      <c r="G488" s="571"/>
      <c r="H488" s="571"/>
      <c r="I488" s="572"/>
      <c r="J488" s="572"/>
      <c r="K488" s="557"/>
      <c r="L488" s="557"/>
      <c r="M488" s="584"/>
    </row>
    <row r="489" spans="2:13" s="52" customFormat="1" x14ac:dyDescent="0.25">
      <c r="B489" s="580"/>
      <c r="C489" s="568" t="s">
        <v>1101</v>
      </c>
      <c r="D489" s="569" t="s">
        <v>1179</v>
      </c>
      <c r="E489" s="537" t="s">
        <v>1102</v>
      </c>
      <c r="F489" s="570">
        <v>0.12</v>
      </c>
      <c r="G489" s="571"/>
      <c r="H489" s="571"/>
      <c r="I489" s="572"/>
      <c r="J489" s="572"/>
      <c r="K489" s="557"/>
      <c r="L489" s="557"/>
      <c r="M489" s="584"/>
    </row>
    <row r="490" spans="2:13" s="52" customFormat="1" x14ac:dyDescent="0.25">
      <c r="B490" s="580"/>
      <c r="C490" s="573" t="s">
        <v>1103</v>
      </c>
      <c r="D490" s="569" t="s">
        <v>1180</v>
      </c>
      <c r="E490" s="537"/>
      <c r="F490" s="570">
        <v>0.04</v>
      </c>
      <c r="G490" s="571"/>
      <c r="H490" s="571"/>
      <c r="I490" s="572"/>
      <c r="J490" s="572"/>
      <c r="K490" s="557"/>
      <c r="L490" s="557"/>
      <c r="M490" s="584"/>
    </row>
    <row r="491" spans="2:13" s="52" customFormat="1" x14ac:dyDescent="0.25">
      <c r="B491" s="580"/>
      <c r="C491" s="573" t="s">
        <v>959</v>
      </c>
      <c r="D491" s="569" t="s">
        <v>1047</v>
      </c>
      <c r="E491" s="539" t="s">
        <v>960</v>
      </c>
      <c r="F491" s="570">
        <v>0.05</v>
      </c>
      <c r="G491" s="571"/>
      <c r="H491" s="571"/>
      <c r="I491" s="572"/>
      <c r="J491" s="572"/>
      <c r="K491" s="557"/>
      <c r="L491" s="557"/>
      <c r="M491" s="584"/>
    </row>
    <row r="492" spans="2:13" s="52" customFormat="1" x14ac:dyDescent="0.25">
      <c r="B492" s="580"/>
      <c r="C492" s="573" t="s">
        <v>962</v>
      </c>
      <c r="D492" s="569" t="s">
        <v>1049</v>
      </c>
      <c r="E492" s="537"/>
      <c r="F492" s="570">
        <v>16</v>
      </c>
      <c r="G492" s="571"/>
      <c r="H492" s="571"/>
      <c r="I492" s="572"/>
      <c r="J492" s="572"/>
      <c r="K492" s="557"/>
      <c r="L492" s="557"/>
      <c r="M492" s="584"/>
    </row>
    <row r="493" spans="2:13" s="52" customFormat="1" x14ac:dyDescent="0.25">
      <c r="B493" s="580"/>
      <c r="C493" s="573" t="s">
        <v>963</v>
      </c>
      <c r="D493" s="569" t="s">
        <v>1059</v>
      </c>
      <c r="E493" s="537"/>
      <c r="F493" s="570">
        <v>7.0000000000000007E-2</v>
      </c>
      <c r="G493" s="571"/>
      <c r="H493" s="571"/>
      <c r="I493" s="572"/>
      <c r="J493" s="572"/>
      <c r="K493" s="557"/>
      <c r="L493" s="557"/>
      <c r="M493" s="584"/>
    </row>
    <row r="494" spans="2:13" s="52" customFormat="1" x14ac:dyDescent="0.25">
      <c r="B494" s="580"/>
      <c r="C494" s="573" t="s">
        <v>964</v>
      </c>
      <c r="D494" s="569" t="s">
        <v>1060</v>
      </c>
      <c r="E494" s="539" t="s">
        <v>965</v>
      </c>
      <c r="F494" s="570">
        <v>1</v>
      </c>
      <c r="G494" s="571"/>
      <c r="H494" s="571"/>
      <c r="I494" s="572"/>
      <c r="J494" s="572"/>
      <c r="K494" s="557"/>
      <c r="L494" s="557"/>
      <c r="M494" s="584"/>
    </row>
    <row r="495" spans="2:13" s="52" customFormat="1" x14ac:dyDescent="0.25">
      <c r="B495" s="580"/>
      <c r="C495" s="573" t="s">
        <v>966</v>
      </c>
      <c r="D495" s="569" t="s">
        <v>1061</v>
      </c>
      <c r="E495" s="539" t="s">
        <v>967</v>
      </c>
      <c r="F495" s="570">
        <v>1</v>
      </c>
      <c r="G495" s="571"/>
      <c r="H495" s="571"/>
      <c r="I495" s="572"/>
      <c r="J495" s="572"/>
      <c r="K495" s="557"/>
      <c r="L495" s="557"/>
      <c r="M495" s="584"/>
    </row>
    <row r="496" spans="2:13" s="52" customFormat="1" x14ac:dyDescent="0.25">
      <c r="B496" s="580"/>
      <c r="C496" s="573" t="s">
        <v>968</v>
      </c>
      <c r="D496" s="569" t="s">
        <v>1062</v>
      </c>
      <c r="E496" s="537"/>
      <c r="F496" s="570">
        <v>1</v>
      </c>
      <c r="G496" s="571"/>
      <c r="H496" s="571"/>
      <c r="I496" s="572"/>
      <c r="J496" s="572"/>
      <c r="K496" s="557"/>
      <c r="L496" s="557"/>
      <c r="M496" s="584"/>
    </row>
    <row r="497" spans="2:13" s="52" customFormat="1" x14ac:dyDescent="0.25">
      <c r="B497" s="580"/>
      <c r="C497" s="573" t="s">
        <v>1104</v>
      </c>
      <c r="D497" s="569" t="s">
        <v>1181</v>
      </c>
      <c r="E497" s="537"/>
      <c r="F497" s="570">
        <v>0.85</v>
      </c>
      <c r="G497" s="571"/>
      <c r="H497" s="571"/>
      <c r="I497" s="572"/>
      <c r="J497" s="572"/>
      <c r="K497" s="557"/>
      <c r="L497" s="557"/>
      <c r="M497" s="584"/>
    </row>
    <row r="498" spans="2:13" s="52" customFormat="1" x14ac:dyDescent="0.25">
      <c r="B498" s="580"/>
      <c r="C498" s="573" t="s">
        <v>1105</v>
      </c>
      <c r="D498" s="569" t="s">
        <v>1182</v>
      </c>
      <c r="E498" s="539" t="s">
        <v>1106</v>
      </c>
      <c r="F498" s="570">
        <v>0.04</v>
      </c>
      <c r="G498" s="571"/>
      <c r="H498" s="571"/>
      <c r="I498" s="572"/>
      <c r="J498" s="572"/>
      <c r="K498" s="557"/>
      <c r="L498" s="557"/>
      <c r="M498" s="584"/>
    </row>
    <row r="499" spans="2:13" s="52" customFormat="1" x14ac:dyDescent="0.25">
      <c r="B499" s="580"/>
      <c r="C499" s="573" t="s">
        <v>1107</v>
      </c>
      <c r="D499" s="569" t="s">
        <v>1183</v>
      </c>
      <c r="E499" s="537"/>
      <c r="F499" s="570">
        <v>1</v>
      </c>
      <c r="G499" s="571"/>
      <c r="H499" s="571"/>
      <c r="I499" s="572"/>
      <c r="J499" s="572"/>
      <c r="K499" s="557"/>
      <c r="L499" s="557"/>
      <c r="M499" s="584"/>
    </row>
    <row r="500" spans="2:13" s="52" customFormat="1" x14ac:dyDescent="0.25">
      <c r="B500" s="580"/>
      <c r="C500" s="573" t="s">
        <v>971</v>
      </c>
      <c r="D500" s="569" t="s">
        <v>1064</v>
      </c>
      <c r="E500" s="539" t="s">
        <v>972</v>
      </c>
      <c r="F500" s="570">
        <v>1</v>
      </c>
      <c r="G500" s="571"/>
      <c r="H500" s="571"/>
      <c r="I500" s="572"/>
      <c r="J500" s="572"/>
      <c r="K500" s="557"/>
      <c r="L500" s="557"/>
      <c r="M500" s="584"/>
    </row>
    <row r="501" spans="2:13" s="52" customFormat="1" x14ac:dyDescent="0.25">
      <c r="B501" s="580"/>
      <c r="C501" s="573" t="s">
        <v>973</v>
      </c>
      <c r="D501" s="569" t="s">
        <v>1065</v>
      </c>
      <c r="E501" s="537"/>
      <c r="F501" s="570">
        <v>1</v>
      </c>
      <c r="G501" s="571"/>
      <c r="H501" s="571"/>
      <c r="I501" s="572"/>
      <c r="J501" s="572"/>
      <c r="K501" s="557"/>
      <c r="L501" s="557"/>
      <c r="M501" s="584"/>
    </row>
    <row r="502" spans="2:13" s="52" customFormat="1" x14ac:dyDescent="0.25">
      <c r="B502" s="580"/>
      <c r="C502" s="573" t="s">
        <v>974</v>
      </c>
      <c r="D502" s="569" t="s">
        <v>1066</v>
      </c>
      <c r="E502" s="537"/>
      <c r="F502" s="570">
        <v>0.44</v>
      </c>
      <c r="G502" s="571"/>
      <c r="H502" s="571"/>
      <c r="I502" s="572"/>
      <c r="J502" s="572"/>
      <c r="K502" s="557"/>
      <c r="L502" s="557"/>
      <c r="M502" s="584"/>
    </row>
    <row r="503" spans="2:13" s="52" customFormat="1" x14ac:dyDescent="0.25">
      <c r="B503" s="580"/>
      <c r="C503" s="573" t="s">
        <v>982</v>
      </c>
      <c r="D503" s="569" t="s">
        <v>1071</v>
      </c>
      <c r="E503" s="537"/>
      <c r="F503" s="570">
        <v>11.5</v>
      </c>
      <c r="G503" s="571"/>
      <c r="H503" s="571"/>
      <c r="I503" s="572"/>
      <c r="J503" s="572"/>
      <c r="K503" s="557"/>
      <c r="L503" s="557"/>
      <c r="M503" s="584"/>
    </row>
    <row r="504" spans="2:13" s="52" customFormat="1" x14ac:dyDescent="0.25">
      <c r="B504" s="580"/>
      <c r="C504" s="573" t="s">
        <v>983</v>
      </c>
      <c r="D504" s="569" t="s">
        <v>1072</v>
      </c>
      <c r="E504" s="539" t="s">
        <v>984</v>
      </c>
      <c r="F504" s="570">
        <v>0.02</v>
      </c>
      <c r="G504" s="571"/>
      <c r="H504" s="571"/>
      <c r="I504" s="572"/>
      <c r="J504" s="572"/>
      <c r="K504" s="557"/>
      <c r="L504" s="557"/>
      <c r="M504" s="584"/>
    </row>
    <row r="505" spans="2:13" s="52" customFormat="1" x14ac:dyDescent="0.25">
      <c r="B505" s="580"/>
      <c r="C505" s="573" t="s">
        <v>983</v>
      </c>
      <c r="D505" s="569" t="s">
        <v>1072</v>
      </c>
      <c r="E505" s="539" t="s">
        <v>984</v>
      </c>
      <c r="F505" s="570">
        <v>0.02</v>
      </c>
      <c r="G505" s="571"/>
      <c r="H505" s="571"/>
      <c r="I505" s="572"/>
      <c r="J505" s="572"/>
      <c r="K505" s="557"/>
      <c r="L505" s="557"/>
      <c r="M505" s="584"/>
    </row>
    <row r="506" spans="2:13" s="52" customFormat="1" ht="15" customHeight="1" x14ac:dyDescent="0.25">
      <c r="B506" s="580"/>
      <c r="C506" s="573" t="s">
        <v>1108</v>
      </c>
      <c r="D506" s="569" t="s">
        <v>1184</v>
      </c>
      <c r="E506" s="537"/>
      <c r="F506" s="570">
        <v>0.36</v>
      </c>
      <c r="G506" s="571"/>
      <c r="H506" s="571"/>
      <c r="I506" s="572"/>
      <c r="J506" s="572"/>
      <c r="K506" s="557"/>
      <c r="L506" s="574"/>
      <c r="M506" s="590"/>
    </row>
    <row r="507" spans="2:13" s="52" customFormat="1" ht="15" customHeight="1" x14ac:dyDescent="0.25">
      <c r="B507" s="580"/>
      <c r="C507" s="573" t="s">
        <v>985</v>
      </c>
      <c r="D507" s="569" t="s">
        <v>1073</v>
      </c>
      <c r="E507" s="537"/>
      <c r="F507" s="570">
        <v>7.1</v>
      </c>
      <c r="G507" s="571"/>
      <c r="H507" s="571"/>
      <c r="I507" s="572"/>
      <c r="J507" s="572"/>
      <c r="K507" s="557"/>
      <c r="L507" s="574"/>
      <c r="M507" s="590"/>
    </row>
    <row r="508" spans="2:13" s="52" customFormat="1" ht="15" customHeight="1" x14ac:dyDescent="0.25">
      <c r="B508" s="580"/>
      <c r="C508" s="573" t="s">
        <v>1109</v>
      </c>
      <c r="D508" s="569" t="s">
        <v>1185</v>
      </c>
      <c r="E508" s="537"/>
      <c r="F508" s="570">
        <v>1</v>
      </c>
      <c r="G508" s="571"/>
      <c r="H508" s="571"/>
      <c r="I508" s="572"/>
      <c r="J508" s="572"/>
      <c r="K508" s="557"/>
      <c r="L508" s="574"/>
      <c r="M508" s="590"/>
    </row>
    <row r="509" spans="2:13" s="52" customFormat="1" ht="15" customHeight="1" x14ac:dyDescent="0.25">
      <c r="B509" s="580"/>
      <c r="C509" s="573" t="s">
        <v>1110</v>
      </c>
      <c r="D509" s="569" t="s">
        <v>1186</v>
      </c>
      <c r="E509" s="537"/>
      <c r="F509" s="570">
        <v>0.95</v>
      </c>
      <c r="G509" s="571"/>
      <c r="H509" s="571"/>
      <c r="I509" s="572"/>
      <c r="J509" s="572"/>
      <c r="K509" s="557"/>
      <c r="L509" s="574"/>
      <c r="M509" s="590"/>
    </row>
    <row r="510" spans="2:13" s="52" customFormat="1" ht="15" customHeight="1" x14ac:dyDescent="0.25">
      <c r="B510" s="580"/>
      <c r="C510" s="573" t="s">
        <v>1111</v>
      </c>
      <c r="D510" s="569" t="s">
        <v>1187</v>
      </c>
      <c r="E510" s="537"/>
      <c r="F510" s="570">
        <v>2.5000000000000001E-2</v>
      </c>
      <c r="G510" s="571"/>
      <c r="H510" s="571"/>
      <c r="I510" s="572"/>
      <c r="J510" s="572"/>
      <c r="K510" s="557"/>
      <c r="L510" s="574"/>
      <c r="M510" s="590"/>
    </row>
    <row r="511" spans="2:13" s="52" customFormat="1" ht="15" customHeight="1" x14ac:dyDescent="0.25">
      <c r="B511" s="580"/>
      <c r="C511" s="573" t="s">
        <v>1112</v>
      </c>
      <c r="D511" s="569" t="s">
        <v>1188</v>
      </c>
      <c r="E511" s="537"/>
      <c r="F511" s="570">
        <v>0.05</v>
      </c>
      <c r="G511" s="571"/>
      <c r="H511" s="571"/>
      <c r="I511" s="572"/>
      <c r="J511" s="572"/>
      <c r="K511" s="557"/>
      <c r="L511" s="574"/>
      <c r="M511" s="590"/>
    </row>
    <row r="512" spans="2:13" s="52" customFormat="1" ht="15" customHeight="1" x14ac:dyDescent="0.25">
      <c r="B512" s="580"/>
      <c r="C512" s="573" t="s">
        <v>1113</v>
      </c>
      <c r="D512" s="569" t="s">
        <v>1189</v>
      </c>
      <c r="E512" s="537"/>
      <c r="F512" s="570">
        <v>1</v>
      </c>
      <c r="G512" s="571"/>
      <c r="H512" s="571"/>
      <c r="I512" s="572"/>
      <c r="J512" s="572"/>
      <c r="K512" s="557"/>
      <c r="L512" s="574"/>
      <c r="M512" s="590"/>
    </row>
    <row r="513" spans="2:13" s="52" customFormat="1" ht="15" customHeight="1" x14ac:dyDescent="0.25">
      <c r="B513" s="580"/>
      <c r="C513" s="573" t="s">
        <v>1114</v>
      </c>
      <c r="D513" s="569" t="s">
        <v>1190</v>
      </c>
      <c r="E513" s="537"/>
      <c r="F513" s="570">
        <v>0.9</v>
      </c>
      <c r="G513" s="571"/>
      <c r="H513" s="571"/>
      <c r="I513" s="572"/>
      <c r="J513" s="572"/>
      <c r="K513" s="557"/>
      <c r="L513" s="574"/>
      <c r="M513" s="590"/>
    </row>
    <row r="514" spans="2:13" s="52" customFormat="1" ht="15" customHeight="1" x14ac:dyDescent="0.25">
      <c r="B514" s="580"/>
      <c r="C514" s="573" t="s">
        <v>1115</v>
      </c>
      <c r="D514" s="569" t="s">
        <v>1191</v>
      </c>
      <c r="E514" s="537"/>
      <c r="F514" s="570">
        <v>0.65</v>
      </c>
      <c r="G514" s="571"/>
      <c r="H514" s="571"/>
      <c r="I514" s="572"/>
      <c r="J514" s="572"/>
      <c r="K514" s="557"/>
      <c r="L514" s="574"/>
      <c r="M514" s="590"/>
    </row>
    <row r="515" spans="2:13" s="52" customFormat="1" ht="15" customHeight="1" x14ac:dyDescent="0.25">
      <c r="B515" s="580"/>
      <c r="C515" s="573" t="s">
        <v>1116</v>
      </c>
      <c r="D515" s="569" t="s">
        <v>1192</v>
      </c>
      <c r="E515" s="537"/>
      <c r="F515" s="570">
        <v>2.8500000000000001E-2</v>
      </c>
      <c r="G515" s="571"/>
      <c r="H515" s="571"/>
      <c r="I515" s="572"/>
      <c r="J515" s="572"/>
      <c r="K515" s="557"/>
      <c r="L515" s="574"/>
      <c r="M515" s="590"/>
    </row>
    <row r="516" spans="2:13" s="52" customFormat="1" ht="15" customHeight="1" x14ac:dyDescent="0.25">
      <c r="B516" s="580"/>
      <c r="C516" s="573" t="s">
        <v>1117</v>
      </c>
      <c r="D516" s="569" t="s">
        <v>1193</v>
      </c>
      <c r="E516" s="537"/>
      <c r="F516" s="570">
        <v>0.73</v>
      </c>
      <c r="G516" s="571"/>
      <c r="H516" s="571"/>
      <c r="I516" s="572"/>
      <c r="J516" s="572"/>
      <c r="K516" s="557"/>
      <c r="L516" s="574"/>
      <c r="M516" s="590"/>
    </row>
    <row r="517" spans="2:13" s="52" customFormat="1" ht="15" customHeight="1" x14ac:dyDescent="0.25">
      <c r="B517" s="580"/>
      <c r="C517" s="573" t="s">
        <v>1118</v>
      </c>
      <c r="D517" s="569" t="s">
        <v>1194</v>
      </c>
      <c r="E517" s="537"/>
      <c r="F517" s="570">
        <v>1.0999999999999999E-2</v>
      </c>
      <c r="G517" s="571"/>
      <c r="H517" s="571"/>
      <c r="I517" s="572"/>
      <c r="J517" s="572"/>
      <c r="K517" s="557"/>
      <c r="L517" s="574"/>
      <c r="M517" s="590"/>
    </row>
    <row r="518" spans="2:13" s="52" customFormat="1" ht="15" customHeight="1" x14ac:dyDescent="0.25">
      <c r="B518" s="580"/>
      <c r="C518" s="573" t="s">
        <v>1119</v>
      </c>
      <c r="D518" s="569" t="s">
        <v>1195</v>
      </c>
      <c r="E518" s="537"/>
      <c r="F518" s="570">
        <v>1.1499999999999999</v>
      </c>
      <c r="G518" s="571"/>
      <c r="H518" s="571"/>
      <c r="I518" s="572"/>
      <c r="J518" s="572"/>
      <c r="K518" s="557"/>
      <c r="L518" s="574"/>
      <c r="M518" s="590"/>
    </row>
    <row r="519" spans="2:13" s="52" customFormat="1" ht="15" customHeight="1" x14ac:dyDescent="0.25">
      <c r="B519" s="580"/>
      <c r="C519" s="573" t="s">
        <v>1120</v>
      </c>
      <c r="D519" s="569" t="s">
        <v>1196</v>
      </c>
      <c r="E519" s="537"/>
      <c r="F519" s="570">
        <v>5.6</v>
      </c>
      <c r="G519" s="571"/>
      <c r="H519" s="571"/>
      <c r="I519" s="572"/>
      <c r="J519" s="572"/>
      <c r="K519" s="557"/>
      <c r="L519" s="574"/>
      <c r="M519" s="590"/>
    </row>
    <row r="520" spans="2:13" s="52" customFormat="1" x14ac:dyDescent="0.25">
      <c r="B520" s="580"/>
      <c r="C520" s="573" t="s">
        <v>1121</v>
      </c>
      <c r="D520" s="569" t="s">
        <v>1197</v>
      </c>
      <c r="E520" s="537"/>
      <c r="F520" s="570">
        <v>5.4999999999999997E-3</v>
      </c>
      <c r="G520" s="571"/>
      <c r="H520" s="571"/>
      <c r="I520" s="572"/>
      <c r="J520" s="572"/>
      <c r="K520" s="557"/>
      <c r="L520" s="557"/>
      <c r="M520" s="584"/>
    </row>
    <row r="521" spans="2:13" s="52" customFormat="1" x14ac:dyDescent="0.25">
      <c r="B521" s="580"/>
      <c r="C521" s="573" t="s">
        <v>1122</v>
      </c>
      <c r="D521" s="569" t="s">
        <v>1198</v>
      </c>
      <c r="E521" s="537"/>
      <c r="F521" s="570">
        <v>7.0000000000000007E-2</v>
      </c>
      <c r="G521" s="571"/>
      <c r="H521" s="571"/>
      <c r="I521" s="572"/>
      <c r="J521" s="572"/>
      <c r="K521" s="557"/>
      <c r="L521" s="557"/>
      <c r="M521" s="584"/>
    </row>
    <row r="522" spans="2:13" s="52" customFormat="1" x14ac:dyDescent="0.25">
      <c r="B522" s="580"/>
      <c r="C522" s="573" t="s">
        <v>1123</v>
      </c>
      <c r="D522" s="569" t="s">
        <v>1199</v>
      </c>
      <c r="E522" s="537"/>
      <c r="F522" s="570">
        <v>4.2500000000000003E-2</v>
      </c>
      <c r="G522" s="571"/>
      <c r="H522" s="571"/>
      <c r="I522" s="572"/>
      <c r="J522" s="572"/>
      <c r="K522" s="557"/>
      <c r="L522" s="557"/>
      <c r="M522" s="584"/>
    </row>
    <row r="523" spans="2:13" s="52" customFormat="1" x14ac:dyDescent="0.25">
      <c r="B523" s="580"/>
      <c r="C523" s="573" t="s">
        <v>1124</v>
      </c>
      <c r="D523" s="569" t="s">
        <v>1200</v>
      </c>
      <c r="E523" s="537"/>
      <c r="F523" s="570">
        <v>4.9999999999999996E-2</v>
      </c>
      <c r="G523" s="571"/>
      <c r="H523" s="571"/>
      <c r="I523" s="572"/>
      <c r="J523" s="572"/>
      <c r="K523" s="557"/>
      <c r="L523" s="557"/>
      <c r="M523" s="584"/>
    </row>
    <row r="524" spans="2:13" x14ac:dyDescent="0.25">
      <c r="B524" s="580"/>
      <c r="C524" s="573" t="s">
        <v>1125</v>
      </c>
      <c r="D524" s="569" t="s">
        <v>1201</v>
      </c>
      <c r="E524" s="537"/>
      <c r="F524" s="570">
        <v>4.4999999999999998E-2</v>
      </c>
      <c r="G524" s="571"/>
      <c r="H524" s="571"/>
      <c r="I524" s="572"/>
      <c r="J524" s="572"/>
      <c r="K524" s="557"/>
      <c r="L524" s="557"/>
      <c r="M524" s="584"/>
    </row>
    <row r="525" spans="2:13" x14ac:dyDescent="0.25">
      <c r="B525" s="580"/>
      <c r="C525" s="573" t="s">
        <v>1126</v>
      </c>
      <c r="D525" s="569" t="s">
        <v>1202</v>
      </c>
      <c r="E525" s="537"/>
      <c r="F525" s="570">
        <v>4.9999999999999996E-2</v>
      </c>
      <c r="G525" s="571"/>
      <c r="H525" s="571"/>
      <c r="I525" s="572"/>
      <c r="J525" s="572"/>
      <c r="K525" s="557"/>
      <c r="L525" s="557"/>
      <c r="M525" s="584"/>
    </row>
    <row r="526" spans="2:13" x14ac:dyDescent="0.25">
      <c r="B526" s="580"/>
      <c r="C526" s="573" t="s">
        <v>995</v>
      </c>
      <c r="D526" s="569" t="s">
        <v>1081</v>
      </c>
      <c r="E526" s="537" t="s">
        <v>996</v>
      </c>
      <c r="F526" s="570">
        <v>0.02</v>
      </c>
      <c r="G526" s="571"/>
      <c r="H526" s="571"/>
      <c r="I526" s="572"/>
      <c r="J526" s="572"/>
      <c r="K526" s="557"/>
      <c r="L526" s="557"/>
      <c r="M526" s="584"/>
    </row>
    <row r="527" spans="2:13" x14ac:dyDescent="0.25">
      <c r="B527" s="580"/>
      <c r="C527" s="573" t="s">
        <v>997</v>
      </c>
      <c r="D527" s="569" t="s">
        <v>1203</v>
      </c>
      <c r="E527" s="537"/>
      <c r="F527" s="570">
        <v>1</v>
      </c>
      <c r="G527" s="571"/>
      <c r="H527" s="571"/>
      <c r="I527" s="572"/>
      <c r="J527" s="572"/>
      <c r="K527" s="557"/>
      <c r="L527" s="557"/>
      <c r="M527" s="584"/>
    </row>
    <row r="528" spans="2:13" x14ac:dyDescent="0.25">
      <c r="B528" s="580"/>
      <c r="C528" s="573" t="s">
        <v>1127</v>
      </c>
      <c r="D528" s="569" t="s">
        <v>1204</v>
      </c>
      <c r="E528" s="537"/>
      <c r="F528" s="570">
        <v>1</v>
      </c>
      <c r="G528" s="571"/>
      <c r="H528" s="571"/>
      <c r="I528" s="572"/>
      <c r="J528" s="572"/>
      <c r="K528" s="557"/>
      <c r="L528" s="557"/>
      <c r="M528" s="584"/>
    </row>
    <row r="529" spans="2:13" x14ac:dyDescent="0.25">
      <c r="B529" s="580"/>
      <c r="C529" s="573" t="s">
        <v>1128</v>
      </c>
      <c r="D529" s="569" t="s">
        <v>1205</v>
      </c>
      <c r="E529" s="537"/>
      <c r="F529" s="570">
        <v>0.14500000000000002</v>
      </c>
      <c r="G529" s="571"/>
      <c r="H529" s="571"/>
      <c r="I529" s="572"/>
      <c r="J529" s="572"/>
      <c r="K529" s="557"/>
      <c r="L529" s="557"/>
      <c r="M529" s="584"/>
    </row>
    <row r="530" spans="2:13" x14ac:dyDescent="0.25">
      <c r="B530" s="580"/>
      <c r="C530" s="573" t="s">
        <v>1129</v>
      </c>
      <c r="D530" s="569" t="s">
        <v>1206</v>
      </c>
      <c r="E530" s="537"/>
      <c r="F530" s="570">
        <v>1.55E-2</v>
      </c>
      <c r="G530" s="571"/>
      <c r="H530" s="571"/>
      <c r="I530" s="572"/>
      <c r="J530" s="572"/>
      <c r="K530" s="557"/>
      <c r="L530" s="557"/>
      <c r="M530" s="584"/>
    </row>
    <row r="531" spans="2:13" x14ac:dyDescent="0.25">
      <c r="B531" s="580"/>
      <c r="C531" s="573" t="s">
        <v>1130</v>
      </c>
      <c r="D531" s="569" t="s">
        <v>1207</v>
      </c>
      <c r="E531" s="537"/>
      <c r="F531" s="570">
        <v>2.5</v>
      </c>
      <c r="G531" s="571"/>
      <c r="H531" s="571"/>
      <c r="I531" s="572"/>
      <c r="J531" s="572"/>
      <c r="K531" s="557"/>
      <c r="L531" s="557"/>
      <c r="M531" s="584"/>
    </row>
    <row r="532" spans="2:13" x14ac:dyDescent="0.25">
      <c r="B532" s="580"/>
      <c r="C532" s="573" t="s">
        <v>1131</v>
      </c>
      <c r="D532" s="569" t="s">
        <v>1208</v>
      </c>
      <c r="E532" s="537"/>
      <c r="F532" s="570">
        <v>6.0000000000000005E-2</v>
      </c>
      <c r="G532" s="571"/>
      <c r="H532" s="571"/>
      <c r="I532" s="572"/>
      <c r="J532" s="572"/>
      <c r="K532" s="557"/>
      <c r="L532" s="557"/>
      <c r="M532" s="584"/>
    </row>
    <row r="533" spans="2:13" x14ac:dyDescent="0.25">
      <c r="B533" s="580"/>
      <c r="C533" s="573" t="s">
        <v>1132</v>
      </c>
      <c r="D533" s="569" t="s">
        <v>1209</v>
      </c>
      <c r="E533" s="537"/>
      <c r="F533" s="570">
        <v>0.55000000000000004</v>
      </c>
      <c r="G533" s="571"/>
      <c r="H533" s="571"/>
      <c r="I533" s="572"/>
      <c r="J533" s="572"/>
      <c r="K533" s="557"/>
      <c r="L533" s="557"/>
      <c r="M533" s="584"/>
    </row>
    <row r="534" spans="2:13" x14ac:dyDescent="0.25">
      <c r="B534" s="580"/>
      <c r="C534" s="573" t="s">
        <v>1133</v>
      </c>
      <c r="D534" s="569" t="s">
        <v>1210</v>
      </c>
      <c r="E534" s="537"/>
      <c r="F534" s="570">
        <v>2.9</v>
      </c>
      <c r="G534" s="571"/>
      <c r="H534" s="571"/>
      <c r="I534" s="572"/>
      <c r="J534" s="572"/>
      <c r="K534" s="557"/>
      <c r="L534" s="557"/>
      <c r="M534" s="584"/>
    </row>
    <row r="535" spans="2:13" x14ac:dyDescent="0.25">
      <c r="B535" s="580"/>
      <c r="C535" s="573" t="s">
        <v>1134</v>
      </c>
      <c r="D535" s="569" t="s">
        <v>1211</v>
      </c>
      <c r="E535" s="537"/>
      <c r="F535" s="570">
        <v>1.6500000000000001E-2</v>
      </c>
      <c r="G535" s="571"/>
      <c r="H535" s="571"/>
      <c r="I535" s="572"/>
      <c r="J535" s="572"/>
      <c r="K535" s="557"/>
      <c r="L535" s="557"/>
      <c r="M535" s="584"/>
    </row>
    <row r="536" spans="2:13" x14ac:dyDescent="0.25">
      <c r="B536" s="580"/>
      <c r="C536" s="573" t="s">
        <v>1135</v>
      </c>
      <c r="D536" s="569" t="s">
        <v>1212</v>
      </c>
      <c r="E536" s="537"/>
      <c r="F536" s="570">
        <v>6.7500000000000004E-2</v>
      </c>
      <c r="G536" s="571"/>
      <c r="H536" s="571"/>
      <c r="I536" s="572"/>
      <c r="J536" s="572"/>
      <c r="K536" s="557"/>
      <c r="L536" s="557"/>
      <c r="M536" s="584"/>
    </row>
    <row r="537" spans="2:13" x14ac:dyDescent="0.25">
      <c r="B537" s="580"/>
      <c r="C537" s="573" t="s">
        <v>1136</v>
      </c>
      <c r="D537" s="569" t="s">
        <v>1213</v>
      </c>
      <c r="E537" s="537"/>
      <c r="F537" s="570">
        <v>6.3500000000000001E-2</v>
      </c>
      <c r="G537" s="571"/>
      <c r="H537" s="571"/>
      <c r="I537" s="572"/>
      <c r="J537" s="572"/>
      <c r="K537" s="557"/>
      <c r="L537" s="557"/>
      <c r="M537" s="584"/>
    </row>
    <row r="538" spans="2:13" x14ac:dyDescent="0.25">
      <c r="B538" s="580"/>
      <c r="C538" s="573" t="s">
        <v>1137</v>
      </c>
      <c r="D538" s="569" t="s">
        <v>1214</v>
      </c>
      <c r="E538" s="537"/>
      <c r="F538" s="570">
        <v>5.4000000000000006E-2</v>
      </c>
      <c r="G538" s="571"/>
      <c r="H538" s="571"/>
      <c r="I538" s="572"/>
      <c r="J538" s="572"/>
      <c r="K538" s="557"/>
      <c r="L538" s="557"/>
      <c r="M538" s="584"/>
    </row>
    <row r="539" spans="2:13" x14ac:dyDescent="0.25">
      <c r="B539" s="580"/>
      <c r="C539" s="573" t="s">
        <v>1138</v>
      </c>
      <c r="D539" s="569" t="s">
        <v>1215</v>
      </c>
      <c r="E539" s="537"/>
      <c r="F539" s="570">
        <v>0.27500000000000002</v>
      </c>
      <c r="G539" s="571"/>
      <c r="H539" s="571"/>
      <c r="I539" s="572"/>
      <c r="J539" s="572"/>
      <c r="K539" s="557"/>
      <c r="L539" s="557"/>
      <c r="M539" s="584"/>
    </row>
    <row r="540" spans="2:13" x14ac:dyDescent="0.25">
      <c r="B540" s="580"/>
      <c r="C540" s="573" t="s">
        <v>1002</v>
      </c>
      <c r="D540" s="569" t="s">
        <v>1085</v>
      </c>
      <c r="E540" s="537" t="s">
        <v>1003</v>
      </c>
      <c r="F540" s="570">
        <v>0.03</v>
      </c>
      <c r="G540" s="571"/>
      <c r="H540" s="571"/>
      <c r="I540" s="572"/>
      <c r="J540" s="572"/>
      <c r="K540" s="557"/>
      <c r="L540" s="557"/>
      <c r="M540" s="584"/>
    </row>
    <row r="541" spans="2:13" x14ac:dyDescent="0.25">
      <c r="B541" s="580"/>
      <c r="C541" s="573" t="s">
        <v>1139</v>
      </c>
      <c r="D541" s="569" t="s">
        <v>1216</v>
      </c>
      <c r="E541" s="539" t="s">
        <v>1140</v>
      </c>
      <c r="F541" s="570">
        <v>0.02</v>
      </c>
      <c r="G541" s="571"/>
      <c r="H541" s="571"/>
      <c r="I541" s="572"/>
      <c r="J541" s="572"/>
      <c r="K541" s="557"/>
      <c r="L541" s="557"/>
      <c r="M541" s="584"/>
    </row>
    <row r="542" spans="2:13" x14ac:dyDescent="0.25">
      <c r="B542" s="580"/>
      <c r="C542" s="573" t="s">
        <v>1141</v>
      </c>
      <c r="D542" s="569" t="s">
        <v>1217</v>
      </c>
      <c r="E542" s="537"/>
      <c r="F542" s="570">
        <v>1</v>
      </c>
      <c r="G542" s="571"/>
      <c r="H542" s="571"/>
      <c r="I542" s="572"/>
      <c r="J542" s="572"/>
      <c r="K542" s="557"/>
      <c r="L542" s="557"/>
      <c r="M542" s="584"/>
    </row>
    <row r="543" spans="2:13" x14ac:dyDescent="0.25">
      <c r="B543" s="580"/>
      <c r="C543" s="573" t="s">
        <v>1142</v>
      </c>
      <c r="D543" s="569" t="s">
        <v>1218</v>
      </c>
      <c r="E543" s="537"/>
      <c r="F543" s="570">
        <v>4.7E-2</v>
      </c>
      <c r="G543" s="571"/>
      <c r="H543" s="571"/>
      <c r="I543" s="572"/>
      <c r="J543" s="572"/>
      <c r="K543" s="557"/>
      <c r="L543" s="557"/>
      <c r="M543" s="584"/>
    </row>
    <row r="544" spans="2:13" x14ac:dyDescent="0.25">
      <c r="B544" s="580"/>
      <c r="C544" s="573" t="s">
        <v>1143</v>
      </c>
      <c r="D544" s="569" t="s">
        <v>1219</v>
      </c>
      <c r="E544" s="537"/>
      <c r="F544" s="570">
        <v>8.8499999999999995E-2</v>
      </c>
      <c r="G544" s="571"/>
      <c r="H544" s="571"/>
      <c r="I544" s="572"/>
      <c r="J544" s="572"/>
      <c r="K544" s="557"/>
      <c r="L544" s="557"/>
      <c r="M544" s="584"/>
    </row>
    <row r="545" spans="2:13" x14ac:dyDescent="0.25">
      <c r="B545" s="580"/>
      <c r="C545" s="573" t="s">
        <v>1144</v>
      </c>
      <c r="D545" s="569" t="s">
        <v>1220</v>
      </c>
      <c r="E545" s="537"/>
      <c r="F545" s="570">
        <v>2.2499999999999999E-2</v>
      </c>
      <c r="G545" s="571"/>
      <c r="H545" s="571"/>
      <c r="I545" s="572"/>
      <c r="J545" s="572"/>
      <c r="K545" s="557"/>
      <c r="L545" s="557"/>
      <c r="M545" s="584"/>
    </row>
    <row r="546" spans="2:13" x14ac:dyDescent="0.25">
      <c r="B546" s="580"/>
      <c r="C546" s="573" t="s">
        <v>1145</v>
      </c>
      <c r="D546" s="569" t="s">
        <v>1221</v>
      </c>
      <c r="E546" s="537"/>
      <c r="F546" s="570">
        <v>0.74</v>
      </c>
      <c r="G546" s="571"/>
      <c r="H546" s="571"/>
      <c r="I546" s="572"/>
      <c r="J546" s="572"/>
      <c r="K546" s="557"/>
      <c r="L546" s="557"/>
      <c r="M546" s="584"/>
    </row>
    <row r="547" spans="2:13" x14ac:dyDescent="0.25">
      <c r="B547" s="580"/>
      <c r="C547" s="573" t="s">
        <v>1146</v>
      </c>
      <c r="D547" s="569" t="s">
        <v>1222</v>
      </c>
      <c r="E547" s="537"/>
      <c r="F547" s="570">
        <v>1</v>
      </c>
      <c r="G547" s="571"/>
      <c r="H547" s="571"/>
      <c r="I547" s="572"/>
      <c r="J547" s="572"/>
      <c r="K547" s="557"/>
      <c r="L547" s="557"/>
      <c r="M547" s="584"/>
    </row>
    <row r="548" spans="2:13" x14ac:dyDescent="0.25">
      <c r="B548" s="580"/>
      <c r="C548" s="573" t="s">
        <v>1147</v>
      </c>
      <c r="D548" s="569" t="s">
        <v>1223</v>
      </c>
      <c r="E548" s="537"/>
      <c r="F548" s="570">
        <v>2.9000000000000001E-2</v>
      </c>
      <c r="G548" s="571"/>
      <c r="H548" s="571"/>
      <c r="I548" s="572"/>
      <c r="J548" s="572"/>
      <c r="K548" s="557"/>
      <c r="L548" s="557"/>
      <c r="M548" s="584"/>
    </row>
    <row r="549" spans="2:13" x14ac:dyDescent="0.25">
      <c r="B549" s="580"/>
      <c r="C549" s="573" t="s">
        <v>1011</v>
      </c>
      <c r="D549" s="569" t="s">
        <v>1091</v>
      </c>
      <c r="E549" s="539" t="s">
        <v>1012</v>
      </c>
      <c r="F549" s="570">
        <v>0.12</v>
      </c>
      <c r="G549" s="571"/>
      <c r="H549" s="571"/>
      <c r="I549" s="572"/>
      <c r="J549" s="572"/>
      <c r="K549" s="557"/>
      <c r="L549" s="557"/>
      <c r="M549" s="584"/>
    </row>
    <row r="550" spans="2:13" x14ac:dyDescent="0.25">
      <c r="B550" s="580"/>
      <c r="C550" s="573" t="s">
        <v>1148</v>
      </c>
      <c r="D550" s="569" t="s">
        <v>1224</v>
      </c>
      <c r="E550" s="537"/>
      <c r="F550" s="570">
        <v>1</v>
      </c>
      <c r="G550" s="571"/>
      <c r="H550" s="571"/>
      <c r="I550" s="572"/>
      <c r="J550" s="572"/>
      <c r="K550" s="557"/>
      <c r="L550" s="557"/>
      <c r="M550" s="584"/>
    </row>
    <row r="551" spans="2:13" x14ac:dyDescent="0.25">
      <c r="B551" s="580"/>
      <c r="C551" s="573" t="s">
        <v>1149</v>
      </c>
      <c r="D551" s="569" t="s">
        <v>1225</v>
      </c>
      <c r="E551" s="537"/>
      <c r="F551" s="570">
        <v>3.3</v>
      </c>
      <c r="G551" s="571"/>
      <c r="H551" s="571"/>
      <c r="I551" s="572"/>
      <c r="J551" s="572"/>
      <c r="K551" s="557"/>
      <c r="L551" s="557"/>
      <c r="M551" s="584"/>
    </row>
    <row r="552" spans="2:13" x14ac:dyDescent="0.25">
      <c r="B552" s="580"/>
      <c r="C552" s="573" t="s">
        <v>1150</v>
      </c>
      <c r="D552" s="569">
        <v>165977</v>
      </c>
      <c r="E552" s="537"/>
      <c r="F552" s="570">
        <v>1</v>
      </c>
      <c r="G552" s="571"/>
      <c r="H552" s="571"/>
      <c r="I552" s="572"/>
      <c r="J552" s="572"/>
      <c r="K552" s="557"/>
      <c r="L552" s="557"/>
      <c r="M552" s="584"/>
    </row>
    <row r="553" spans="2:13" x14ac:dyDescent="0.25">
      <c r="B553" s="580"/>
      <c r="C553" s="573" t="s">
        <v>1015</v>
      </c>
      <c r="D553" s="569" t="s">
        <v>1093</v>
      </c>
      <c r="E553" s="539" t="s">
        <v>1016</v>
      </c>
      <c r="F553" s="570">
        <v>2.1999999999999999E-2</v>
      </c>
      <c r="G553" s="571"/>
      <c r="H553" s="571"/>
      <c r="I553" s="572"/>
      <c r="J553" s="572"/>
      <c r="K553" s="557"/>
      <c r="L553" s="557"/>
      <c r="M553" s="584"/>
    </row>
    <row r="554" spans="2:13" x14ac:dyDescent="0.25">
      <c r="B554" s="580"/>
      <c r="C554" s="573" t="s">
        <v>1151</v>
      </c>
      <c r="D554" s="569" t="s">
        <v>1226</v>
      </c>
      <c r="E554" s="537"/>
      <c r="F554" s="570">
        <v>1</v>
      </c>
      <c r="G554" s="571"/>
      <c r="H554" s="571"/>
      <c r="I554" s="572"/>
      <c r="J554" s="572"/>
      <c r="K554" s="557"/>
      <c r="L554" s="557"/>
      <c r="M554" s="584"/>
    </row>
    <row r="555" spans="2:13" x14ac:dyDescent="0.25">
      <c r="B555" s="580"/>
      <c r="C555" s="573" t="s">
        <v>1152</v>
      </c>
      <c r="D555" s="569" t="s">
        <v>1227</v>
      </c>
      <c r="E555" s="537"/>
      <c r="F555" s="570">
        <v>1.0999999999999999E-2</v>
      </c>
      <c r="G555" s="571"/>
      <c r="H555" s="571"/>
      <c r="I555" s="572"/>
      <c r="J555" s="572"/>
      <c r="K555" s="557"/>
      <c r="L555" s="557"/>
      <c r="M555" s="584"/>
    </row>
    <row r="556" spans="2:13" x14ac:dyDescent="0.25">
      <c r="B556" s="580"/>
      <c r="C556" s="573" t="s">
        <v>1153</v>
      </c>
      <c r="D556" s="569" t="s">
        <v>1228</v>
      </c>
      <c r="E556" s="537"/>
      <c r="F556" s="570">
        <v>0.11850000000000001</v>
      </c>
      <c r="G556" s="571"/>
      <c r="H556" s="571"/>
      <c r="I556" s="572"/>
      <c r="J556" s="572"/>
      <c r="K556" s="557"/>
      <c r="L556" s="557"/>
      <c r="M556" s="584"/>
    </row>
    <row r="557" spans="2:13" x14ac:dyDescent="0.25">
      <c r="B557" s="580"/>
      <c r="C557" s="573" t="s">
        <v>1154</v>
      </c>
      <c r="D557" s="569" t="s">
        <v>1229</v>
      </c>
      <c r="E557" s="537"/>
      <c r="F557" s="570">
        <v>1</v>
      </c>
      <c r="G557" s="571"/>
      <c r="H557" s="571"/>
      <c r="I557" s="572"/>
      <c r="J557" s="572"/>
      <c r="K557" s="557"/>
      <c r="L557" s="557"/>
      <c r="M557" s="584"/>
    </row>
    <row r="558" spans="2:13" x14ac:dyDescent="0.25">
      <c r="B558" s="580"/>
      <c r="C558" s="573" t="s">
        <v>1155</v>
      </c>
      <c r="D558" s="569" t="s">
        <v>1230</v>
      </c>
      <c r="E558" s="537"/>
      <c r="F558" s="570">
        <v>7.4500000000000011E-2</v>
      </c>
      <c r="G558" s="571"/>
      <c r="H558" s="571"/>
      <c r="I558" s="572"/>
      <c r="J558" s="572"/>
      <c r="K558" s="557"/>
      <c r="L558" s="557"/>
      <c r="M558" s="584"/>
    </row>
    <row r="559" spans="2:13" x14ac:dyDescent="0.25">
      <c r="B559" s="580"/>
      <c r="C559" s="573" t="s">
        <v>1156</v>
      </c>
      <c r="D559" s="537" t="s">
        <v>1026</v>
      </c>
      <c r="E559" s="537"/>
      <c r="F559" s="570">
        <v>0.60000000000000009</v>
      </c>
      <c r="G559" s="571"/>
      <c r="H559" s="571"/>
      <c r="I559" s="572"/>
      <c r="J559" s="572"/>
      <c r="K559" s="557"/>
      <c r="L559" s="557"/>
      <c r="M559" s="584"/>
    </row>
    <row r="560" spans="2:13" x14ac:dyDescent="0.25">
      <c r="B560" s="580"/>
      <c r="C560" s="573" t="s">
        <v>1157</v>
      </c>
      <c r="D560" s="537" t="s">
        <v>1026</v>
      </c>
      <c r="E560" s="537"/>
      <c r="F560" s="570">
        <v>1.1499999999999999</v>
      </c>
      <c r="G560" s="571"/>
      <c r="H560" s="571"/>
      <c r="I560" s="572"/>
      <c r="J560" s="572"/>
      <c r="K560" s="557"/>
      <c r="L560" s="557"/>
      <c r="M560" s="584"/>
    </row>
    <row r="561" spans="2:13" x14ac:dyDescent="0.25">
      <c r="B561" s="580"/>
      <c r="C561" s="573" t="s">
        <v>1158</v>
      </c>
      <c r="D561" s="537" t="s">
        <v>1026</v>
      </c>
      <c r="E561" s="537"/>
      <c r="F561" s="570">
        <v>0.55000000000000004</v>
      </c>
      <c r="G561" s="571"/>
      <c r="H561" s="571"/>
      <c r="I561" s="572"/>
      <c r="J561" s="572"/>
      <c r="K561" s="557"/>
      <c r="L561" s="557"/>
      <c r="M561" s="584"/>
    </row>
    <row r="562" spans="2:13" x14ac:dyDescent="0.25">
      <c r="B562" s="580"/>
      <c r="C562" s="573" t="s">
        <v>1159</v>
      </c>
      <c r="D562" s="537" t="s">
        <v>1026</v>
      </c>
      <c r="E562" s="537"/>
      <c r="F562" s="570">
        <v>1.1500000000000001</v>
      </c>
      <c r="G562" s="571"/>
      <c r="H562" s="571"/>
      <c r="I562" s="572"/>
      <c r="J562" s="572"/>
      <c r="K562" s="557"/>
      <c r="L562" s="557"/>
      <c r="M562" s="584"/>
    </row>
    <row r="563" spans="2:13" x14ac:dyDescent="0.25">
      <c r="B563" s="580"/>
      <c r="C563" s="573" t="s">
        <v>1160</v>
      </c>
      <c r="D563" s="537" t="s">
        <v>1026</v>
      </c>
      <c r="E563" s="537"/>
      <c r="F563" s="570">
        <v>3.9</v>
      </c>
      <c r="G563" s="571"/>
      <c r="H563" s="571"/>
      <c r="I563" s="572"/>
      <c r="J563" s="572"/>
      <c r="K563" s="557"/>
      <c r="L563" s="557"/>
      <c r="M563" s="584"/>
    </row>
    <row r="564" spans="2:13" x14ac:dyDescent="0.25">
      <c r="B564" s="580"/>
      <c r="C564" s="573" t="s">
        <v>1161</v>
      </c>
      <c r="D564" s="537" t="s">
        <v>1026</v>
      </c>
      <c r="E564" s="537"/>
      <c r="F564" s="570">
        <v>0.52</v>
      </c>
      <c r="G564" s="571"/>
      <c r="H564" s="571"/>
      <c r="I564" s="572"/>
      <c r="J564" s="572"/>
      <c r="K564" s="557"/>
      <c r="L564" s="557"/>
      <c r="M564" s="584"/>
    </row>
    <row r="565" spans="2:13" x14ac:dyDescent="0.25">
      <c r="B565" s="580"/>
      <c r="C565" s="573" t="s">
        <v>1162</v>
      </c>
      <c r="D565" s="537" t="s">
        <v>1026</v>
      </c>
      <c r="E565" s="537"/>
      <c r="F565" s="570">
        <v>1.9</v>
      </c>
      <c r="G565" s="571"/>
      <c r="H565" s="571"/>
      <c r="I565" s="572"/>
      <c r="J565" s="572"/>
      <c r="K565" s="557"/>
      <c r="L565" s="557"/>
      <c r="M565" s="584"/>
    </row>
    <row r="566" spans="2:13" x14ac:dyDescent="0.25">
      <c r="B566" s="580"/>
      <c r="C566" s="573" t="s">
        <v>1163</v>
      </c>
      <c r="D566" s="537" t="s">
        <v>1026</v>
      </c>
      <c r="E566" s="537"/>
      <c r="F566" s="570">
        <v>1.6</v>
      </c>
      <c r="G566" s="571"/>
      <c r="H566" s="571"/>
      <c r="I566" s="572"/>
      <c r="J566" s="572"/>
      <c r="K566" s="557"/>
      <c r="L566" s="557"/>
      <c r="M566" s="584"/>
    </row>
    <row r="567" spans="2:13" x14ac:dyDescent="0.25">
      <c r="B567" s="580"/>
      <c r="C567" s="573" t="s">
        <v>1164</v>
      </c>
      <c r="D567" s="537" t="s">
        <v>1026</v>
      </c>
      <c r="E567" s="537"/>
      <c r="F567" s="570">
        <v>1.3</v>
      </c>
      <c r="G567" s="571"/>
      <c r="H567" s="571"/>
      <c r="I567" s="572"/>
      <c r="J567" s="572"/>
      <c r="K567" s="557"/>
      <c r="L567" s="557"/>
      <c r="M567" s="584"/>
    </row>
    <row r="568" spans="2:13" x14ac:dyDescent="0.25">
      <c r="B568" s="580"/>
      <c r="C568" s="573" t="s">
        <v>1165</v>
      </c>
      <c r="D568" s="537" t="s">
        <v>1026</v>
      </c>
      <c r="E568" s="537"/>
      <c r="F568" s="570">
        <v>2.35</v>
      </c>
      <c r="G568" s="571"/>
      <c r="H568" s="571"/>
      <c r="I568" s="572"/>
      <c r="J568" s="572"/>
      <c r="K568" s="557"/>
      <c r="L568" s="557"/>
      <c r="M568" s="584"/>
    </row>
    <row r="569" spans="2:13" x14ac:dyDescent="0.25">
      <c r="B569" s="580"/>
      <c r="C569" s="573" t="s">
        <v>1166</v>
      </c>
      <c r="D569" s="537" t="s">
        <v>1026</v>
      </c>
      <c r="E569" s="537"/>
      <c r="F569" s="570">
        <v>0.99</v>
      </c>
      <c r="G569" s="571"/>
      <c r="H569" s="571"/>
      <c r="I569" s="572"/>
      <c r="J569" s="572"/>
      <c r="K569" s="557"/>
      <c r="L569" s="557"/>
      <c r="M569" s="584"/>
    </row>
    <row r="570" spans="2:13" x14ac:dyDescent="0.25">
      <c r="B570" s="580"/>
      <c r="C570" s="573" t="s">
        <v>1167</v>
      </c>
      <c r="D570" s="537" t="s">
        <v>1026</v>
      </c>
      <c r="E570" s="537"/>
      <c r="F570" s="570">
        <v>0.43500000000000005</v>
      </c>
      <c r="G570" s="571"/>
      <c r="H570" s="571"/>
      <c r="I570" s="572"/>
      <c r="J570" s="572"/>
      <c r="K570" s="557"/>
      <c r="L570" s="557"/>
      <c r="M570" s="584"/>
    </row>
    <row r="571" spans="2:13" x14ac:dyDescent="0.25">
      <c r="B571" s="580"/>
      <c r="C571" s="573" t="s">
        <v>1168</v>
      </c>
      <c r="D571" s="537" t="s">
        <v>1026</v>
      </c>
      <c r="E571" s="537"/>
      <c r="F571" s="570">
        <v>0.16499999999999998</v>
      </c>
      <c r="G571" s="571"/>
      <c r="H571" s="571"/>
      <c r="I571" s="572"/>
      <c r="J571" s="572"/>
      <c r="K571" s="557"/>
      <c r="L571" s="557"/>
      <c r="M571" s="584"/>
    </row>
    <row r="572" spans="2:13" x14ac:dyDescent="0.25">
      <c r="B572" s="580"/>
      <c r="C572" s="573" t="s">
        <v>1169</v>
      </c>
      <c r="D572" s="537" t="s">
        <v>1026</v>
      </c>
      <c r="E572" s="537"/>
      <c r="F572" s="570">
        <v>0.43500000000000005</v>
      </c>
      <c r="G572" s="571"/>
      <c r="H572" s="571"/>
      <c r="I572" s="572"/>
      <c r="J572" s="572"/>
      <c r="K572" s="557"/>
      <c r="L572" s="557"/>
      <c r="M572" s="584"/>
    </row>
    <row r="573" spans="2:13" x14ac:dyDescent="0.25">
      <c r="B573" s="580"/>
      <c r="C573" s="573" t="s">
        <v>1170</v>
      </c>
      <c r="D573" s="537" t="s">
        <v>1026</v>
      </c>
      <c r="E573" s="537"/>
      <c r="F573" s="570">
        <v>0.22</v>
      </c>
      <c r="G573" s="571"/>
      <c r="H573" s="571"/>
      <c r="I573" s="572"/>
      <c r="J573" s="572"/>
      <c r="K573" s="557"/>
      <c r="L573" s="557"/>
      <c r="M573" s="584"/>
    </row>
    <row r="574" spans="2:13" x14ac:dyDescent="0.25">
      <c r="B574" s="580"/>
      <c r="C574" s="573" t="s">
        <v>1171</v>
      </c>
      <c r="D574" s="537" t="s">
        <v>1026</v>
      </c>
      <c r="E574" s="537"/>
      <c r="F574" s="570">
        <v>1.05</v>
      </c>
      <c r="G574" s="571"/>
      <c r="H574" s="571"/>
      <c r="I574" s="572"/>
      <c r="J574" s="572"/>
      <c r="K574" s="557"/>
      <c r="L574" s="557"/>
      <c r="M574" s="584"/>
    </row>
    <row r="575" spans="2:13" x14ac:dyDescent="0.25">
      <c r="B575" s="580"/>
      <c r="C575" s="573" t="s">
        <v>1172</v>
      </c>
      <c r="D575" s="537" t="s">
        <v>1026</v>
      </c>
      <c r="E575" s="537"/>
      <c r="F575" s="570">
        <v>1.05</v>
      </c>
      <c r="G575" s="571"/>
      <c r="H575" s="571"/>
      <c r="I575" s="572"/>
      <c r="J575" s="572"/>
      <c r="K575" s="557"/>
      <c r="L575" s="557"/>
      <c r="M575" s="584"/>
    </row>
    <row r="576" spans="2:13" x14ac:dyDescent="0.25">
      <c r="B576" s="580"/>
      <c r="C576" s="573" t="s">
        <v>1173</v>
      </c>
      <c r="D576" s="537" t="s">
        <v>1026</v>
      </c>
      <c r="E576" s="537"/>
      <c r="F576" s="570">
        <v>1.35</v>
      </c>
      <c r="G576" s="571"/>
      <c r="H576" s="571"/>
      <c r="I576" s="572"/>
      <c r="J576" s="572"/>
      <c r="K576" s="557"/>
      <c r="L576" s="557"/>
      <c r="M576" s="584"/>
    </row>
    <row r="577" spans="2:13" x14ac:dyDescent="0.25">
      <c r="B577" s="580"/>
      <c r="C577" s="573" t="s">
        <v>1174</v>
      </c>
      <c r="D577" s="537" t="s">
        <v>1026</v>
      </c>
      <c r="E577" s="537"/>
      <c r="F577" s="570">
        <v>1.45</v>
      </c>
      <c r="G577" s="571"/>
      <c r="H577" s="571"/>
      <c r="I577" s="572"/>
      <c r="J577" s="572"/>
      <c r="K577" s="557"/>
      <c r="L577" s="557"/>
      <c r="M577" s="584"/>
    </row>
    <row r="578" spans="2:13" x14ac:dyDescent="0.25">
      <c r="B578" s="580"/>
      <c r="C578" s="573" t="s">
        <v>1175</v>
      </c>
      <c r="D578" s="537" t="s">
        <v>1026</v>
      </c>
      <c r="E578" s="537"/>
      <c r="F578" s="570">
        <v>2</v>
      </c>
      <c r="G578" s="571"/>
      <c r="H578" s="571"/>
      <c r="I578" s="572"/>
      <c r="J578" s="572"/>
      <c r="K578" s="557"/>
      <c r="L578" s="557"/>
      <c r="M578" s="584"/>
    </row>
    <row r="579" spans="2:13" ht="15.75" thickBot="1" x14ac:dyDescent="0.3">
      <c r="B579" s="580"/>
      <c r="C579" s="575" t="s">
        <v>1176</v>
      </c>
      <c r="D579" s="576" t="s">
        <v>1026</v>
      </c>
      <c r="E579" s="576"/>
      <c r="F579" s="577">
        <v>0.9</v>
      </c>
      <c r="G579" s="571"/>
      <c r="H579" s="571"/>
      <c r="I579" s="572"/>
      <c r="J579" s="572"/>
      <c r="K579" s="557"/>
      <c r="L579" s="557"/>
      <c r="M579" s="584"/>
    </row>
    <row r="580" spans="2:13" ht="15.75" thickBot="1" x14ac:dyDescent="0.3">
      <c r="B580" s="591"/>
      <c r="C580" s="592"/>
      <c r="D580" s="593"/>
      <c r="E580" s="592"/>
      <c r="F580" s="592"/>
      <c r="G580" s="594"/>
      <c r="H580" s="594"/>
      <c r="I580" s="594"/>
      <c r="J580" s="594"/>
      <c r="K580" s="594"/>
      <c r="L580" s="594"/>
      <c r="M580" s="595"/>
    </row>
  </sheetData>
  <sortState ref="D224:G345">
    <sortCondition ref="D224:D345"/>
  </sortState>
  <mergeCells count="19">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 ref="J413:L413"/>
    <mergeCell ref="J485:L485"/>
    <mergeCell ref="J486:L486"/>
    <mergeCell ref="J387:L387"/>
    <mergeCell ref="J388:L388"/>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CN244"/>
  <sheetViews>
    <sheetView topLeftCell="F1" zoomScale="85" zoomScaleNormal="85" workbookViewId="0">
      <selection activeCell="H37" sqref="H37"/>
    </sheetView>
  </sheetViews>
  <sheetFormatPr defaultRowHeight="12.75" x14ac:dyDescent="0.2"/>
  <cols>
    <col min="2" max="7" width="21.85546875" customWidth="1"/>
    <col min="8" max="18" width="25" customWidth="1"/>
    <col min="19" max="51" width="42" customWidth="1"/>
  </cols>
  <sheetData>
    <row r="1" spans="2:92" ht="13.5" thickBot="1" x14ac:dyDescent="0.25"/>
    <row r="2" spans="2:92" ht="27" thickBot="1" x14ac:dyDescent="0.3">
      <c r="B2" s="997" t="s">
        <v>1320</v>
      </c>
      <c r="C2" s="998"/>
      <c r="D2" s="998"/>
      <c r="E2" s="998"/>
      <c r="F2" s="998"/>
      <c r="G2" s="998"/>
      <c r="H2" s="998"/>
      <c r="I2" s="999"/>
      <c r="J2" s="606"/>
      <c r="K2" s="606"/>
      <c r="L2" s="607"/>
      <c r="M2" s="608"/>
      <c r="N2" s="606"/>
      <c r="O2" s="607"/>
      <c r="P2" s="607"/>
      <c r="Q2" s="606"/>
      <c r="R2" s="609"/>
      <c r="S2" s="708"/>
      <c r="T2" s="708"/>
      <c r="U2" s="707"/>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32"/>
      <c r="BB2" s="632"/>
      <c r="BC2" s="632"/>
      <c r="BD2" s="632"/>
      <c r="BE2" s="632"/>
      <c r="BF2" s="632"/>
      <c r="BG2" s="632"/>
      <c r="BH2" s="632"/>
      <c r="BI2" s="632"/>
      <c r="BJ2" s="632"/>
      <c r="BK2" s="632"/>
      <c r="BL2" s="632"/>
      <c r="BM2" s="632"/>
      <c r="BN2" s="632"/>
      <c r="BO2" s="632"/>
      <c r="BP2" s="632"/>
      <c r="BQ2" s="632"/>
      <c r="BR2" s="632"/>
      <c r="BS2" s="632"/>
      <c r="BT2" s="632"/>
      <c r="BU2" s="632"/>
      <c r="BV2" s="632"/>
      <c r="BW2" s="632"/>
      <c r="BX2" s="632"/>
      <c r="BY2" s="632"/>
      <c r="BZ2" s="632"/>
      <c r="CA2" s="632"/>
      <c r="CB2" s="632"/>
      <c r="CC2" s="632"/>
      <c r="CD2" s="632"/>
      <c r="CE2" s="632"/>
      <c r="CF2" s="632"/>
      <c r="CG2" s="632"/>
      <c r="CH2" s="632"/>
      <c r="CI2" s="632"/>
      <c r="CJ2" s="632"/>
      <c r="CK2" s="632"/>
      <c r="CL2" s="632"/>
      <c r="CM2" s="632"/>
      <c r="CN2" s="706"/>
    </row>
    <row r="3" spans="2:92" ht="27" thickBot="1" x14ac:dyDescent="0.25">
      <c r="B3" s="610"/>
      <c r="C3" s="336"/>
      <c r="D3" s="611"/>
      <c r="E3" s="612"/>
      <c r="F3" s="612"/>
      <c r="G3" s="612"/>
      <c r="H3" s="1018" t="s">
        <v>1321</v>
      </c>
      <c r="I3" s="1019"/>
      <c r="J3" s="1019"/>
      <c r="K3" s="1019"/>
      <c r="L3" s="1019"/>
      <c r="M3" s="1019"/>
      <c r="N3" s="1019"/>
      <c r="O3" s="1019"/>
      <c r="P3" s="1019"/>
      <c r="Q3" s="1019"/>
      <c r="R3" s="1020"/>
      <c r="S3" s="634"/>
      <c r="T3" s="633"/>
      <c r="U3" s="336"/>
      <c r="V3" s="336"/>
      <c r="W3" s="336"/>
      <c r="X3" s="336"/>
      <c r="Y3" s="336"/>
      <c r="Z3" s="336"/>
      <c r="AA3" s="336"/>
      <c r="AB3" s="336"/>
      <c r="AC3" s="336"/>
      <c r="AD3" s="336"/>
      <c r="AE3" s="336"/>
      <c r="AF3" s="336"/>
      <c r="AG3" s="336"/>
      <c r="AH3" s="336"/>
      <c r="AI3" s="336"/>
      <c r="AJ3" s="336"/>
      <c r="AK3" s="336"/>
      <c r="AL3" s="336"/>
      <c r="AM3" s="336"/>
      <c r="AN3" s="336"/>
      <c r="AO3" s="336"/>
      <c r="AP3" s="336"/>
      <c r="AQ3" s="336"/>
      <c r="AR3" s="336"/>
      <c r="AS3" s="336"/>
      <c r="AT3" s="336"/>
      <c r="AU3" s="336"/>
      <c r="AV3" s="336"/>
      <c r="AW3" s="336"/>
      <c r="AX3" s="336"/>
      <c r="AY3" s="336"/>
      <c r="AZ3" s="336"/>
      <c r="BA3" s="632"/>
      <c r="BB3" s="632"/>
      <c r="BC3" s="632"/>
      <c r="BD3" s="632"/>
      <c r="BE3" s="632"/>
      <c r="BF3" s="632"/>
      <c r="BG3" s="632"/>
      <c r="BH3" s="632"/>
      <c r="BI3" s="632"/>
      <c r="BJ3" s="632"/>
      <c r="BK3" s="632"/>
      <c r="BL3" s="632"/>
      <c r="BM3" s="632"/>
      <c r="BN3" s="632"/>
      <c r="BO3" s="632"/>
      <c r="BP3" s="632"/>
      <c r="BQ3" s="632"/>
      <c r="BR3" s="632"/>
      <c r="BS3" s="632"/>
      <c r="BT3" s="632"/>
      <c r="BU3" s="632"/>
      <c r="BV3" s="632"/>
      <c r="BW3" s="632"/>
      <c r="BX3" s="632"/>
      <c r="BY3" s="632"/>
      <c r="BZ3" s="632"/>
      <c r="CA3" s="632"/>
      <c r="CB3" s="632"/>
      <c r="CC3" s="632"/>
      <c r="CD3" s="632"/>
      <c r="CE3" s="632"/>
      <c r="CF3" s="632"/>
      <c r="CG3" s="632"/>
      <c r="CH3" s="632"/>
      <c r="CI3" s="632"/>
      <c r="CJ3" s="632"/>
      <c r="CK3" s="632"/>
      <c r="CL3" s="632"/>
      <c r="CM3" s="632"/>
      <c r="CN3" s="631"/>
    </row>
    <row r="4" spans="2:92" ht="47.25" x14ac:dyDescent="0.25">
      <c r="B4" s="610"/>
      <c r="C4" s="336"/>
      <c r="D4" s="611"/>
      <c r="E4" s="612"/>
      <c r="F4" s="612"/>
      <c r="G4" s="612"/>
      <c r="H4" s="613" t="s">
        <v>768</v>
      </c>
      <c r="I4" s="614" t="s">
        <v>65</v>
      </c>
      <c r="J4" s="614" t="s">
        <v>682</v>
      </c>
      <c r="K4" s="615" t="s">
        <v>683</v>
      </c>
      <c r="L4" s="1023" t="s">
        <v>1322</v>
      </c>
      <c r="M4" s="1023"/>
      <c r="N4" s="614" t="s">
        <v>1323</v>
      </c>
      <c r="O4" s="616" t="s">
        <v>1324</v>
      </c>
      <c r="P4" s="705" t="s">
        <v>1325</v>
      </c>
      <c r="Q4" s="614" t="s">
        <v>1326</v>
      </c>
      <c r="R4" s="617" t="s">
        <v>1327</v>
      </c>
      <c r="S4" s="634"/>
      <c r="T4" s="633"/>
      <c r="U4" s="336"/>
      <c r="V4" s="336"/>
      <c r="W4" s="336"/>
      <c r="X4" s="336"/>
      <c r="Y4" s="336"/>
      <c r="Z4" s="336"/>
      <c r="AA4" s="336"/>
      <c r="AB4" s="336"/>
      <c r="AC4" s="336"/>
      <c r="AD4" s="336"/>
      <c r="AE4" s="336"/>
      <c r="AF4" s="336"/>
      <c r="AG4" s="336"/>
      <c r="AH4" s="336"/>
      <c r="AI4" s="336"/>
      <c r="AJ4" s="336"/>
      <c r="AK4" s="336"/>
      <c r="AL4" s="336"/>
      <c r="AM4" s="336"/>
      <c r="AN4" s="336"/>
      <c r="AO4" s="336"/>
      <c r="AP4" s="336"/>
      <c r="AQ4" s="336"/>
      <c r="AR4" s="336"/>
      <c r="AS4" s="336"/>
      <c r="AT4" s="336"/>
      <c r="AU4" s="336"/>
      <c r="AV4" s="336"/>
      <c r="AW4" s="336"/>
      <c r="AX4" s="336"/>
      <c r="AY4" s="336"/>
      <c r="AZ4" s="336"/>
      <c r="BA4" s="632"/>
      <c r="BB4" s="632"/>
      <c r="BC4" s="632"/>
      <c r="BD4" s="632"/>
      <c r="BE4" s="632"/>
      <c r="BF4" s="632"/>
      <c r="BG4" s="632"/>
      <c r="BH4" s="632"/>
      <c r="BI4" s="632"/>
      <c r="BJ4" s="632"/>
      <c r="BK4" s="632"/>
      <c r="BL4" s="632"/>
      <c r="BM4" s="632"/>
      <c r="BN4" s="632"/>
      <c r="BO4" s="632"/>
      <c r="BP4" s="632"/>
      <c r="BQ4" s="632"/>
      <c r="BR4" s="632"/>
      <c r="BS4" s="632"/>
      <c r="BT4" s="632"/>
      <c r="BU4" s="632"/>
      <c r="BV4" s="632"/>
      <c r="BW4" s="632"/>
      <c r="BX4" s="632"/>
      <c r="BY4" s="632"/>
      <c r="BZ4" s="632"/>
      <c r="CA4" s="632"/>
      <c r="CB4" s="632"/>
      <c r="CC4" s="632"/>
      <c r="CD4" s="632"/>
      <c r="CE4" s="632"/>
      <c r="CF4" s="632"/>
      <c r="CG4" s="632"/>
      <c r="CH4" s="632"/>
      <c r="CI4" s="632"/>
      <c r="CJ4" s="632"/>
      <c r="CK4" s="632"/>
      <c r="CL4" s="632"/>
      <c r="CM4" s="632"/>
      <c r="CN4" s="631"/>
    </row>
    <row r="5" spans="2:92" ht="15.75" x14ac:dyDescent="0.25">
      <c r="B5" s="610"/>
      <c r="C5" s="336"/>
      <c r="D5" s="611"/>
      <c r="E5" s="612"/>
      <c r="F5" s="612"/>
      <c r="G5" s="612"/>
      <c r="H5" s="618">
        <f>'I. Stream &amp; Compound Data'!C32</f>
        <v>1</v>
      </c>
      <c r="I5" s="704" t="str">
        <f>IF('I. Stream &amp; Compound Data'!G262&lt;&gt;"",'I. Stream &amp; Compound Data'!G262,"")</f>
        <v>FAME (Methyl oleate)</v>
      </c>
      <c r="J5" s="703">
        <f>IF('I. Stream &amp; Compound Data'!V262&lt;&gt;"",'I. Stream &amp; Compound Data'!V262,"")</f>
        <v>0</v>
      </c>
      <c r="K5" s="703">
        <f>IF('I. Stream &amp; Compound Data'!U262&lt;&gt;"",'I. Stream &amp; Compound Data'!U262,"")</f>
        <v>1</v>
      </c>
      <c r="L5" s="619">
        <f>IF(H5&gt;'I. Stream &amp; Compound Data'!$F$18,"",IF(J5="","N/A",IF(J5=0,0,1)))</f>
        <v>0</v>
      </c>
      <c r="M5" s="620">
        <f>IF(H5&gt;'I. Stream &amp; Compound Data'!$F$18,"",IF(L5=0,K5,0))</f>
        <v>1</v>
      </c>
      <c r="N5" s="621">
        <f>IF(H5&gt;'I. Stream &amp; Compound Data'!$F$18,"",IF(L5&lt;&gt;0,L5,M5))</f>
        <v>1</v>
      </c>
      <c r="O5" s="621">
        <f>IF(H5&gt;'I. Stream &amp; Compound Data'!$F$18,"",N5)</f>
        <v>1</v>
      </c>
      <c r="P5" s="621">
        <f>'I. Stream &amp; Compound Data'!P262</f>
        <v>19.897199999999998</v>
      </c>
      <c r="Q5" s="702">
        <f t="shared" ref="Q5:Q36" si="0">IF(P5="","",IF(N5&lt;&gt;0,P5*O5,0))</f>
        <v>19.897199999999998</v>
      </c>
      <c r="R5" s="622">
        <f>IF(P5="","",IF(OR('I. Stream &amp; Compound Data'!U262=1,'I. Stream &amp; Compound Data'!W262=1),'Solid Estimation'!P5,0))</f>
        <v>19.897199999999998</v>
      </c>
      <c r="S5" s="634"/>
      <c r="T5" s="633"/>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632"/>
      <c r="BB5" s="632"/>
      <c r="BC5" s="632"/>
      <c r="BD5" s="632"/>
      <c r="BE5" s="632"/>
      <c r="BF5" s="632"/>
      <c r="BG5" s="632"/>
      <c r="BH5" s="632"/>
      <c r="BI5" s="632"/>
      <c r="BJ5" s="632"/>
      <c r="BK5" s="632"/>
      <c r="BL5" s="632"/>
      <c r="BM5" s="632"/>
      <c r="BN5" s="632"/>
      <c r="BO5" s="632"/>
      <c r="BP5" s="632"/>
      <c r="BQ5" s="632"/>
      <c r="BR5" s="632"/>
      <c r="BS5" s="632"/>
      <c r="BT5" s="632"/>
      <c r="BU5" s="632"/>
      <c r="BV5" s="632"/>
      <c r="BW5" s="632"/>
      <c r="BX5" s="632"/>
      <c r="BY5" s="632"/>
      <c r="BZ5" s="632"/>
      <c r="CA5" s="632"/>
      <c r="CB5" s="632"/>
      <c r="CC5" s="632"/>
      <c r="CD5" s="632"/>
      <c r="CE5" s="632"/>
      <c r="CF5" s="632"/>
      <c r="CG5" s="632"/>
      <c r="CH5" s="632"/>
      <c r="CI5" s="632"/>
      <c r="CJ5" s="632"/>
      <c r="CK5" s="632"/>
      <c r="CL5" s="632"/>
      <c r="CM5" s="632"/>
      <c r="CN5" s="631"/>
    </row>
    <row r="6" spans="2:92" ht="15.75" x14ac:dyDescent="0.25">
      <c r="B6" s="610"/>
      <c r="C6" s="336"/>
      <c r="D6" s="611"/>
      <c r="E6" s="612"/>
      <c r="F6" s="612"/>
      <c r="G6" s="612"/>
      <c r="H6" s="618">
        <f>'I. Stream &amp; Compound Data'!C33</f>
        <v>2</v>
      </c>
      <c r="I6" s="704" t="str">
        <f>IF('I. Stream &amp; Compound Data'!G263&lt;&gt;"",'I. Stream &amp; Compound Data'!G263,"")</f>
        <v>Glycerol</v>
      </c>
      <c r="J6" s="703">
        <f>IF('I. Stream &amp; Compound Data'!V263&lt;&gt;"",'I. Stream &amp; Compound Data'!V263,"")</f>
        <v>0</v>
      </c>
      <c r="K6" s="703">
        <f>IF('I. Stream &amp; Compound Data'!U263&lt;&gt;"",'I. Stream &amp; Compound Data'!U263,"")</f>
        <v>1</v>
      </c>
      <c r="L6" s="619">
        <f>IF(H6&gt;'I. Stream &amp; Compound Data'!$F$18,"",IF(J6="","N/A",IF(J6=0,0,1)))</f>
        <v>0</v>
      </c>
      <c r="M6" s="620">
        <f>IF(H6&gt;'I. Stream &amp; Compound Data'!$F$18,"",IF(L6=0,K6,0))</f>
        <v>1</v>
      </c>
      <c r="N6" s="621">
        <f>IF(H6&gt;'I. Stream &amp; Compound Data'!$F$18,"",IF(L6&lt;&gt;0,L6,M6))</f>
        <v>1</v>
      </c>
      <c r="O6" s="621">
        <f>IF(H6&gt;'I. Stream &amp; Compound Data'!$F$18,"",N6)</f>
        <v>1</v>
      </c>
      <c r="P6" s="621">
        <f>'I. Stream &amp; Compound Data'!P263</f>
        <v>110.0103</v>
      </c>
      <c r="Q6" s="702">
        <f t="shared" si="0"/>
        <v>110.0103</v>
      </c>
      <c r="R6" s="622">
        <f>IF(P6="","",IF(OR('I. Stream &amp; Compound Data'!U263=1,'I. Stream &amp; Compound Data'!W263=1),'Solid Estimation'!P6,0))</f>
        <v>110.0103</v>
      </c>
      <c r="S6" s="634"/>
      <c r="T6" s="633"/>
      <c r="U6" s="336"/>
      <c r="V6" s="336"/>
      <c r="W6" s="336"/>
      <c r="X6" s="336"/>
      <c r="Y6" s="336"/>
      <c r="Z6" s="336"/>
      <c r="AA6" s="336"/>
      <c r="AB6" s="336"/>
      <c r="AC6" s="336"/>
      <c r="AD6" s="336"/>
      <c r="AE6" s="336"/>
      <c r="AF6" s="336"/>
      <c r="AG6" s="336"/>
      <c r="AH6" s="336"/>
      <c r="AI6" s="336"/>
      <c r="AJ6" s="336"/>
      <c r="AK6" s="336"/>
      <c r="AL6" s="336"/>
      <c r="AM6" s="336"/>
      <c r="AN6" s="336"/>
      <c r="AO6" s="336"/>
      <c r="AP6" s="336"/>
      <c r="AQ6" s="336"/>
      <c r="AR6" s="336"/>
      <c r="AS6" s="336"/>
      <c r="AT6" s="336"/>
      <c r="AU6" s="336"/>
      <c r="AV6" s="336"/>
      <c r="AW6" s="336"/>
      <c r="AX6" s="336"/>
      <c r="AY6" s="336"/>
      <c r="AZ6" s="336"/>
      <c r="BA6" s="632"/>
      <c r="BB6" s="632"/>
      <c r="BC6" s="632"/>
      <c r="BD6" s="632"/>
      <c r="BE6" s="632"/>
      <c r="BF6" s="632"/>
      <c r="BG6" s="632"/>
      <c r="BH6" s="632"/>
      <c r="BI6" s="632"/>
      <c r="BJ6" s="632"/>
      <c r="BK6" s="632"/>
      <c r="BL6" s="632"/>
      <c r="BM6" s="632"/>
      <c r="BN6" s="632"/>
      <c r="BO6" s="632"/>
      <c r="BP6" s="632"/>
      <c r="BQ6" s="632"/>
      <c r="BR6" s="632"/>
      <c r="BS6" s="632"/>
      <c r="BT6" s="632"/>
      <c r="BU6" s="632"/>
      <c r="BV6" s="632"/>
      <c r="BW6" s="632"/>
      <c r="BX6" s="632"/>
      <c r="BY6" s="632"/>
      <c r="BZ6" s="632"/>
      <c r="CA6" s="632"/>
      <c r="CB6" s="632"/>
      <c r="CC6" s="632"/>
      <c r="CD6" s="632"/>
      <c r="CE6" s="632"/>
      <c r="CF6" s="632"/>
      <c r="CG6" s="632"/>
      <c r="CH6" s="632"/>
      <c r="CI6" s="632"/>
      <c r="CJ6" s="632"/>
      <c r="CK6" s="632"/>
      <c r="CL6" s="632"/>
      <c r="CM6" s="632"/>
      <c r="CN6" s="631"/>
    </row>
    <row r="7" spans="2:92" ht="15.75" x14ac:dyDescent="0.25">
      <c r="B7" s="610"/>
      <c r="C7" s="336"/>
      <c r="D7" s="611"/>
      <c r="E7" s="612"/>
      <c r="F7" s="612"/>
      <c r="G7" s="612"/>
      <c r="H7" s="618">
        <f>'I. Stream &amp; Compound Data'!C34</f>
        <v>3</v>
      </c>
      <c r="I7" s="704" t="str">
        <f>IF('I. Stream &amp; Compound Data'!G264&lt;&gt;"",'I. Stream &amp; Compound Data'!G264,"")</f>
        <v>Methanol</v>
      </c>
      <c r="J7" s="703">
        <f>IF('I. Stream &amp; Compound Data'!V264&lt;&gt;"",'I. Stream &amp; Compound Data'!V264,"")</f>
        <v>0</v>
      </c>
      <c r="K7" s="703">
        <f>IF('I. Stream &amp; Compound Data'!U264&lt;&gt;"",'I. Stream &amp; Compound Data'!U264,"")</f>
        <v>0</v>
      </c>
      <c r="L7" s="619">
        <f>IF(H7&gt;'I. Stream &amp; Compound Data'!$F$18,"",IF(J7="","N/A",IF(J7=0,0,1)))</f>
        <v>0</v>
      </c>
      <c r="M7" s="620">
        <f>IF(H7&gt;'I. Stream &amp; Compound Data'!$F$18,"",IF(L7=0,K7,0))</f>
        <v>0</v>
      </c>
      <c r="N7" s="621">
        <f>IF(H7&gt;'I. Stream &amp; Compound Data'!$F$18,"",IF(L7&lt;&gt;0,L7,M7))</f>
        <v>0</v>
      </c>
      <c r="O7" s="621">
        <f>IF(H7&gt;'I. Stream &amp; Compound Data'!$F$18,"",N7)</f>
        <v>0</v>
      </c>
      <c r="P7" s="621">
        <f>'I. Stream &amp; Compound Data'!P264</f>
        <v>31.536799999999999</v>
      </c>
      <c r="Q7" s="702">
        <f t="shared" si="0"/>
        <v>0</v>
      </c>
      <c r="R7" s="622">
        <f>IF(P7="","",IF(OR('I. Stream &amp; Compound Data'!U264=1,'I. Stream &amp; Compound Data'!W264=1),'Solid Estimation'!P7,0))</f>
        <v>0</v>
      </c>
      <c r="S7" s="634"/>
      <c r="T7" s="633"/>
      <c r="U7" s="336"/>
      <c r="V7" s="336"/>
      <c r="W7" s="336"/>
      <c r="X7" s="336"/>
      <c r="Y7" s="336"/>
      <c r="Z7" s="336"/>
      <c r="AA7" s="336"/>
      <c r="AB7" s="336"/>
      <c r="AC7" s="336"/>
      <c r="AD7" s="336"/>
      <c r="AE7" s="336"/>
      <c r="AF7" s="336"/>
      <c r="AG7" s="336"/>
      <c r="AH7" s="336"/>
      <c r="AI7" s="336"/>
      <c r="AJ7" s="336"/>
      <c r="AK7" s="336"/>
      <c r="AL7" s="336"/>
      <c r="AM7" s="336"/>
      <c r="AN7" s="336"/>
      <c r="AO7" s="336"/>
      <c r="AP7" s="336"/>
      <c r="AQ7" s="336"/>
      <c r="AR7" s="336"/>
      <c r="AS7" s="336"/>
      <c r="AT7" s="336"/>
      <c r="AU7" s="336"/>
      <c r="AV7" s="336"/>
      <c r="AW7" s="336"/>
      <c r="AX7" s="336"/>
      <c r="AY7" s="336"/>
      <c r="AZ7" s="336"/>
      <c r="BA7" s="632"/>
      <c r="BB7" s="632"/>
      <c r="BC7" s="632"/>
      <c r="BD7" s="632"/>
      <c r="BE7" s="632"/>
      <c r="BF7" s="632"/>
      <c r="BG7" s="632"/>
      <c r="BH7" s="632"/>
      <c r="BI7" s="632"/>
      <c r="BJ7" s="632"/>
      <c r="BK7" s="632"/>
      <c r="BL7" s="632"/>
      <c r="BM7" s="632"/>
      <c r="BN7" s="632"/>
      <c r="BO7" s="632"/>
      <c r="BP7" s="632"/>
      <c r="BQ7" s="632"/>
      <c r="BR7" s="632"/>
      <c r="BS7" s="632"/>
      <c r="BT7" s="632"/>
      <c r="BU7" s="632"/>
      <c r="BV7" s="632"/>
      <c r="BW7" s="632"/>
      <c r="BX7" s="632"/>
      <c r="BY7" s="632"/>
      <c r="BZ7" s="632"/>
      <c r="CA7" s="632"/>
      <c r="CB7" s="632"/>
      <c r="CC7" s="632"/>
      <c r="CD7" s="632"/>
      <c r="CE7" s="632"/>
      <c r="CF7" s="632"/>
      <c r="CG7" s="632"/>
      <c r="CH7" s="632"/>
      <c r="CI7" s="632"/>
      <c r="CJ7" s="632"/>
      <c r="CK7" s="632"/>
      <c r="CL7" s="632"/>
      <c r="CM7" s="632"/>
      <c r="CN7" s="631"/>
    </row>
    <row r="8" spans="2:92" ht="15.75" x14ac:dyDescent="0.25">
      <c r="B8" s="610"/>
      <c r="C8" s="336"/>
      <c r="D8" s="611"/>
      <c r="E8" s="612"/>
      <c r="F8" s="612"/>
      <c r="G8" s="612"/>
      <c r="H8" s="618">
        <f>'I. Stream &amp; Compound Data'!C35</f>
        <v>4</v>
      </c>
      <c r="I8" s="704" t="str">
        <f>IF('I. Stream &amp; Compound Data'!G265&lt;&gt;"",'I. Stream &amp; Compound Data'!G265,"")</f>
        <v>Phosphoric Acid</v>
      </c>
      <c r="J8" s="703">
        <f>IF('I. Stream &amp; Compound Data'!V265&lt;&gt;"",'I. Stream &amp; Compound Data'!V265,"")</f>
        <v>0</v>
      </c>
      <c r="K8" s="703">
        <f>IF('I. Stream &amp; Compound Data'!U265&lt;&gt;"",'I. Stream &amp; Compound Data'!U265,"")</f>
        <v>0</v>
      </c>
      <c r="L8" s="619">
        <f>IF(H8&gt;'I. Stream &amp; Compound Data'!$F$18,"",IF(J8="","N/A",IF(J8=0,0,1)))</f>
        <v>0</v>
      </c>
      <c r="M8" s="620">
        <f>IF(H8&gt;'I. Stream &amp; Compound Data'!$F$18,"",IF(L8=0,K8,0))</f>
        <v>0</v>
      </c>
      <c r="N8" s="621">
        <f>IF(H8&gt;'I. Stream &amp; Compound Data'!$F$18,"",IF(L8&lt;&gt;0,L8,M8))</f>
        <v>0</v>
      </c>
      <c r="O8" s="621">
        <f>IF(H8&gt;'I. Stream &amp; Compound Data'!$F$18,"",N8)</f>
        <v>0</v>
      </c>
      <c r="P8" s="621">
        <f>'I. Stream &amp; Compound Data'!P265</f>
        <v>7.0537999999999998</v>
      </c>
      <c r="Q8" s="702">
        <f t="shared" si="0"/>
        <v>0</v>
      </c>
      <c r="R8" s="622">
        <f>IF(P8="","",IF(OR('I. Stream &amp; Compound Data'!U265=1,'I. Stream &amp; Compound Data'!W265=1),'Solid Estimation'!P8,0))</f>
        <v>7.0537999999999998</v>
      </c>
      <c r="S8" s="634"/>
      <c r="T8" s="633"/>
      <c r="U8" s="336"/>
      <c r="V8" s="336"/>
      <c r="W8" s="336"/>
      <c r="X8" s="336"/>
      <c r="Y8" s="336"/>
      <c r="Z8" s="336"/>
      <c r="AA8" s="336"/>
      <c r="AB8" s="336"/>
      <c r="AC8" s="336"/>
      <c r="AD8" s="336"/>
      <c r="AE8" s="336"/>
      <c r="AF8" s="336"/>
      <c r="AG8" s="336"/>
      <c r="AH8" s="336"/>
      <c r="AI8" s="336"/>
      <c r="AJ8" s="336"/>
      <c r="AK8" s="336"/>
      <c r="AL8" s="336"/>
      <c r="AM8" s="336"/>
      <c r="AN8" s="336"/>
      <c r="AO8" s="336"/>
      <c r="AP8" s="336"/>
      <c r="AQ8" s="336"/>
      <c r="AR8" s="336"/>
      <c r="AS8" s="336"/>
      <c r="AT8" s="336"/>
      <c r="AU8" s="336"/>
      <c r="AV8" s="336"/>
      <c r="AW8" s="336"/>
      <c r="AX8" s="336"/>
      <c r="AY8" s="336"/>
      <c r="AZ8" s="336"/>
      <c r="BA8" s="632"/>
      <c r="BB8" s="632"/>
      <c r="BC8" s="632"/>
      <c r="BD8" s="632"/>
      <c r="BE8" s="632"/>
      <c r="BF8" s="632"/>
      <c r="BG8" s="632"/>
      <c r="BH8" s="632"/>
      <c r="BI8" s="632"/>
      <c r="BJ8" s="632"/>
      <c r="BK8" s="632"/>
      <c r="BL8" s="632"/>
      <c r="BM8" s="632"/>
      <c r="BN8" s="632"/>
      <c r="BO8" s="632"/>
      <c r="BP8" s="632"/>
      <c r="BQ8" s="632"/>
      <c r="BR8" s="632"/>
      <c r="BS8" s="632"/>
      <c r="BT8" s="632"/>
      <c r="BU8" s="632"/>
      <c r="BV8" s="632"/>
      <c r="BW8" s="632"/>
      <c r="BX8" s="632"/>
      <c r="BY8" s="632"/>
      <c r="BZ8" s="632"/>
      <c r="CA8" s="632"/>
      <c r="CB8" s="632"/>
      <c r="CC8" s="632"/>
      <c r="CD8" s="632"/>
      <c r="CE8" s="632"/>
      <c r="CF8" s="632"/>
      <c r="CG8" s="632"/>
      <c r="CH8" s="632"/>
      <c r="CI8" s="632"/>
      <c r="CJ8" s="632"/>
      <c r="CK8" s="632"/>
      <c r="CL8" s="632"/>
      <c r="CM8" s="632"/>
      <c r="CN8" s="631"/>
    </row>
    <row r="9" spans="2:92" ht="15.75" x14ac:dyDescent="0.25">
      <c r="B9" s="610"/>
      <c r="C9" s="336"/>
      <c r="D9" s="611"/>
      <c r="E9" s="612"/>
      <c r="F9" s="612"/>
      <c r="G9" s="612"/>
      <c r="H9" s="618">
        <f>'I. Stream &amp; Compound Data'!C36</f>
        <v>5</v>
      </c>
      <c r="I9" s="704" t="str">
        <f>IF('I. Stream &amp; Compound Data'!G266&lt;&gt;"",'I. Stream &amp; Compound Data'!G266,"")</f>
        <v>Trisodium Phosphate</v>
      </c>
      <c r="J9" s="703">
        <f>IF('I. Stream &amp; Compound Data'!V266&lt;&gt;"",'I. Stream &amp; Compound Data'!V266,"")</f>
        <v>1</v>
      </c>
      <c r="K9" s="703">
        <f>IF('I. Stream &amp; Compound Data'!U266&lt;&gt;"",'I. Stream &amp; Compound Data'!U266,"")</f>
        <v>0</v>
      </c>
      <c r="L9" s="619">
        <f>IF(H9&gt;'I. Stream &amp; Compound Data'!$F$18,"",IF(J9="","N/A",IF(J9=0,0,1)))</f>
        <v>1</v>
      </c>
      <c r="M9" s="620">
        <f>IF(H9&gt;'I. Stream &amp; Compound Data'!$F$18,"",IF(L9=0,K9,0))</f>
        <v>0</v>
      </c>
      <c r="N9" s="621">
        <f>IF(H9&gt;'I. Stream &amp; Compound Data'!$F$18,"",IF(L9&lt;&gt;0,L9,M9))</f>
        <v>1</v>
      </c>
      <c r="O9" s="621">
        <f>IF(H9&gt;'I. Stream &amp; Compound Data'!$F$18,"",N9)</f>
        <v>1</v>
      </c>
      <c r="P9" s="621">
        <f>'I. Stream &amp; Compound Data'!P266</f>
        <v>4.9287999999999998</v>
      </c>
      <c r="Q9" s="702">
        <f t="shared" si="0"/>
        <v>4.9287999999999998</v>
      </c>
      <c r="R9" s="622">
        <f>IF(P9="","",IF(OR('I. Stream &amp; Compound Data'!U266=1,'I. Stream &amp; Compound Data'!W266=1),'Solid Estimation'!P9,0))</f>
        <v>4.9287999999999998</v>
      </c>
      <c r="S9" s="634"/>
      <c r="T9" s="633"/>
      <c r="U9" s="336"/>
      <c r="V9" s="336"/>
      <c r="W9" s="336"/>
      <c r="X9" s="336"/>
      <c r="Y9" s="336"/>
      <c r="Z9" s="336"/>
      <c r="AA9" s="336"/>
      <c r="AB9" s="336"/>
      <c r="AC9" s="336"/>
      <c r="AD9" s="336"/>
      <c r="AE9" s="336"/>
      <c r="AF9" s="336"/>
      <c r="AG9" s="336"/>
      <c r="AH9" s="336"/>
      <c r="AI9" s="336"/>
      <c r="AJ9" s="336"/>
      <c r="AK9" s="336"/>
      <c r="AL9" s="336"/>
      <c r="AM9" s="336"/>
      <c r="AN9" s="336"/>
      <c r="AO9" s="336"/>
      <c r="AP9" s="336"/>
      <c r="AQ9" s="336"/>
      <c r="AR9" s="336"/>
      <c r="AS9" s="336"/>
      <c r="AT9" s="336"/>
      <c r="AU9" s="336"/>
      <c r="AV9" s="336"/>
      <c r="AW9" s="336"/>
      <c r="AX9" s="336"/>
      <c r="AY9" s="336"/>
      <c r="AZ9" s="336"/>
      <c r="BA9" s="632"/>
      <c r="BB9" s="632"/>
      <c r="BC9" s="632"/>
      <c r="BD9" s="632"/>
      <c r="BE9" s="632"/>
      <c r="BF9" s="632"/>
      <c r="BG9" s="632"/>
      <c r="BH9" s="632"/>
      <c r="BI9" s="632"/>
      <c r="BJ9" s="632"/>
      <c r="BK9" s="632"/>
      <c r="BL9" s="632"/>
      <c r="BM9" s="632"/>
      <c r="BN9" s="632"/>
      <c r="BO9" s="632"/>
      <c r="BP9" s="632"/>
      <c r="BQ9" s="632"/>
      <c r="BR9" s="632"/>
      <c r="BS9" s="632"/>
      <c r="BT9" s="632"/>
      <c r="BU9" s="632"/>
      <c r="BV9" s="632"/>
      <c r="BW9" s="632"/>
      <c r="BX9" s="632"/>
      <c r="BY9" s="632"/>
      <c r="BZ9" s="632"/>
      <c r="CA9" s="632"/>
      <c r="CB9" s="632"/>
      <c r="CC9" s="632"/>
      <c r="CD9" s="632"/>
      <c r="CE9" s="632"/>
      <c r="CF9" s="632"/>
      <c r="CG9" s="632"/>
      <c r="CH9" s="632"/>
      <c r="CI9" s="632"/>
      <c r="CJ9" s="632"/>
      <c r="CK9" s="632"/>
      <c r="CL9" s="632"/>
      <c r="CM9" s="632"/>
      <c r="CN9" s="631"/>
    </row>
    <row r="10" spans="2:92" ht="15.75" x14ac:dyDescent="0.25">
      <c r="B10" s="610"/>
      <c r="C10" s="336"/>
      <c r="D10" s="611"/>
      <c r="E10" s="612"/>
      <c r="F10" s="612"/>
      <c r="G10" s="612"/>
      <c r="H10" s="618">
        <f>'I. Stream &amp; Compound Data'!C37</f>
        <v>6</v>
      </c>
      <c r="I10" s="704" t="str">
        <f>IF('I. Stream &amp; Compound Data'!G267&lt;&gt;"",'I. Stream &amp; Compound Data'!G267,"")</f>
        <v>OIL (Triolein)</v>
      </c>
      <c r="J10" s="703">
        <f>IF('I. Stream &amp; Compound Data'!V267&lt;&gt;"",'I. Stream &amp; Compound Data'!V267,"")</f>
        <v>0</v>
      </c>
      <c r="K10" s="703">
        <f>IF('I. Stream &amp; Compound Data'!U267&lt;&gt;"",'I. Stream &amp; Compound Data'!U267,"")</f>
        <v>1</v>
      </c>
      <c r="L10" s="619">
        <f>IF(H10&gt;'I. Stream &amp; Compound Data'!$F$18,"",IF(J10="","N/A",IF(J10=0,0,1)))</f>
        <v>0</v>
      </c>
      <c r="M10" s="620">
        <f>IF(H10&gt;'I. Stream &amp; Compound Data'!$F$18,"",IF(L10=0,K10,0))</f>
        <v>1</v>
      </c>
      <c r="N10" s="621">
        <f>IF(H10&gt;'I. Stream &amp; Compound Data'!$F$18,"",IF(L10&lt;&gt;0,L10,M10))</f>
        <v>1</v>
      </c>
      <c r="O10" s="621">
        <f>IF(H10&gt;'I. Stream &amp; Compound Data'!$F$18,"",N10)</f>
        <v>1</v>
      </c>
      <c r="P10" s="621">
        <f>'I. Stream &amp; Compound Data'!P267</f>
        <v>48.5946</v>
      </c>
      <c r="Q10" s="702">
        <f t="shared" si="0"/>
        <v>48.5946</v>
      </c>
      <c r="R10" s="622">
        <f>IF(P10="","",IF(OR('I. Stream &amp; Compound Data'!U267=1,'I. Stream &amp; Compound Data'!W267=1),'Solid Estimation'!P10,0))</f>
        <v>48.5946</v>
      </c>
      <c r="S10" s="634"/>
      <c r="T10" s="633"/>
      <c r="U10" s="336"/>
      <c r="V10" s="336"/>
      <c r="W10" s="336"/>
      <c r="X10" s="336"/>
      <c r="Y10" s="336"/>
      <c r="Z10" s="336"/>
      <c r="AA10" s="336"/>
      <c r="AB10" s="336"/>
      <c r="AC10" s="336"/>
      <c r="AD10" s="336"/>
      <c r="AE10" s="336"/>
      <c r="AF10" s="336"/>
      <c r="AG10" s="336"/>
      <c r="AH10" s="336"/>
      <c r="AI10" s="336"/>
      <c r="AJ10" s="336"/>
      <c r="AK10" s="336"/>
      <c r="AL10" s="336"/>
      <c r="AM10" s="336"/>
      <c r="AN10" s="336"/>
      <c r="AO10" s="336"/>
      <c r="AP10" s="336"/>
      <c r="AQ10" s="336"/>
      <c r="AR10" s="336"/>
      <c r="AS10" s="336"/>
      <c r="AT10" s="336"/>
      <c r="AU10" s="336"/>
      <c r="AV10" s="336"/>
      <c r="AW10" s="336"/>
      <c r="AX10" s="336"/>
      <c r="AY10" s="336"/>
      <c r="AZ10" s="336"/>
      <c r="BA10" s="632"/>
      <c r="BB10" s="632"/>
      <c r="BC10" s="632"/>
      <c r="BD10" s="632"/>
      <c r="BE10" s="632"/>
      <c r="BF10" s="632"/>
      <c r="BG10" s="632"/>
      <c r="BH10" s="632"/>
      <c r="BI10" s="632"/>
      <c r="BJ10" s="632"/>
      <c r="BK10" s="632"/>
      <c r="BL10" s="632"/>
      <c r="BM10" s="632"/>
      <c r="BN10" s="632"/>
      <c r="BO10" s="632"/>
      <c r="BP10" s="632"/>
      <c r="BQ10" s="632"/>
      <c r="BR10" s="632"/>
      <c r="BS10" s="632"/>
      <c r="BT10" s="632"/>
      <c r="BU10" s="632"/>
      <c r="BV10" s="632"/>
      <c r="BW10" s="632"/>
      <c r="BX10" s="632"/>
      <c r="BY10" s="632"/>
      <c r="BZ10" s="632"/>
      <c r="CA10" s="632"/>
      <c r="CB10" s="632"/>
      <c r="CC10" s="632"/>
      <c r="CD10" s="632"/>
      <c r="CE10" s="632"/>
      <c r="CF10" s="632"/>
      <c r="CG10" s="632"/>
      <c r="CH10" s="632"/>
      <c r="CI10" s="632"/>
      <c r="CJ10" s="632"/>
      <c r="CK10" s="632"/>
      <c r="CL10" s="632"/>
      <c r="CM10" s="632"/>
      <c r="CN10" s="631"/>
    </row>
    <row r="11" spans="2:92" ht="15.75" x14ac:dyDescent="0.25">
      <c r="B11" s="610"/>
      <c r="C11" s="336"/>
      <c r="D11" s="611"/>
      <c r="E11" s="612"/>
      <c r="F11" s="612"/>
      <c r="G11" s="612"/>
      <c r="H11" s="618">
        <f>'I. Stream &amp; Compound Data'!C38</f>
        <v>7</v>
      </c>
      <c r="I11" s="704" t="str">
        <f>IF('I. Stream &amp; Compound Data'!G268&lt;&gt;"",'I. Stream &amp; Compound Data'!G268,"")</f>
        <v>Water</v>
      </c>
      <c r="J11" s="703">
        <f>IF('I. Stream &amp; Compound Data'!V268&lt;&gt;"",'I. Stream &amp; Compound Data'!V268,"")</f>
        <v>0</v>
      </c>
      <c r="K11" s="703">
        <f>IF('I. Stream &amp; Compound Data'!U268&lt;&gt;"",'I. Stream &amp; Compound Data'!U268,"")</f>
        <v>0</v>
      </c>
      <c r="L11" s="619">
        <f>IF(H11&gt;'I. Stream &amp; Compound Data'!$F$18,"",IF(J11="","N/A",IF(J11=0,0,1)))</f>
        <v>0</v>
      </c>
      <c r="M11" s="620">
        <f>IF(H11&gt;'I. Stream &amp; Compound Data'!$F$18,"",IF(L11=0,K11,0))</f>
        <v>0</v>
      </c>
      <c r="N11" s="621">
        <f>IF(H11&gt;'I. Stream &amp; Compound Data'!$F$18,"",IF(L11&lt;&gt;0,L11,M11))</f>
        <v>0</v>
      </c>
      <c r="O11" s="621">
        <f>IF(H11&gt;'I. Stream &amp; Compound Data'!$F$18,"",N11)</f>
        <v>0</v>
      </c>
      <c r="P11" s="621">
        <f>'I. Stream &amp; Compound Data'!P268</f>
        <v>20.062599999999996</v>
      </c>
      <c r="Q11" s="702">
        <f t="shared" si="0"/>
        <v>0</v>
      </c>
      <c r="R11" s="622">
        <f>IF(P11="","",IF(OR('I. Stream &amp; Compound Data'!U268=1,'I. Stream &amp; Compound Data'!W268=1),'Solid Estimation'!P11,0))</f>
        <v>0</v>
      </c>
      <c r="S11" s="634"/>
      <c r="T11" s="633"/>
      <c r="U11" s="336"/>
      <c r="V11" s="336"/>
      <c r="W11" s="336"/>
      <c r="X11" s="336"/>
      <c r="Y11" s="336"/>
      <c r="Z11" s="336"/>
      <c r="AA11" s="336"/>
      <c r="AB11" s="336"/>
      <c r="AC11" s="336"/>
      <c r="AD11" s="336"/>
      <c r="AE11" s="336"/>
      <c r="AF11" s="336"/>
      <c r="AG11" s="336"/>
      <c r="AH11" s="336"/>
      <c r="AI11" s="336"/>
      <c r="AJ11" s="336"/>
      <c r="AK11" s="336"/>
      <c r="AL11" s="336"/>
      <c r="AM11" s="336"/>
      <c r="AN11" s="336"/>
      <c r="AO11" s="336"/>
      <c r="AP11" s="336"/>
      <c r="AQ11" s="336"/>
      <c r="AR11" s="336"/>
      <c r="AS11" s="336"/>
      <c r="AT11" s="336"/>
      <c r="AU11" s="336"/>
      <c r="AV11" s="336"/>
      <c r="AW11" s="336"/>
      <c r="AX11" s="336"/>
      <c r="AY11" s="336"/>
      <c r="AZ11" s="336"/>
      <c r="BA11" s="632"/>
      <c r="BB11" s="632"/>
      <c r="BC11" s="632"/>
      <c r="BD11" s="632"/>
      <c r="BE11" s="632"/>
      <c r="BF11" s="632"/>
      <c r="BG11" s="632"/>
      <c r="BH11" s="632"/>
      <c r="BI11" s="632"/>
      <c r="BJ11" s="632"/>
      <c r="BK11" s="632"/>
      <c r="BL11" s="632"/>
      <c r="BM11" s="632"/>
      <c r="BN11" s="632"/>
      <c r="BO11" s="632"/>
      <c r="BP11" s="632"/>
      <c r="BQ11" s="632"/>
      <c r="BR11" s="632"/>
      <c r="BS11" s="632"/>
      <c r="BT11" s="632"/>
      <c r="BU11" s="632"/>
      <c r="BV11" s="632"/>
      <c r="BW11" s="632"/>
      <c r="BX11" s="632"/>
      <c r="BY11" s="632"/>
      <c r="BZ11" s="632"/>
      <c r="CA11" s="632"/>
      <c r="CB11" s="632"/>
      <c r="CC11" s="632"/>
      <c r="CD11" s="632"/>
      <c r="CE11" s="632"/>
      <c r="CF11" s="632"/>
      <c r="CG11" s="632"/>
      <c r="CH11" s="632"/>
      <c r="CI11" s="632"/>
      <c r="CJ11" s="632"/>
      <c r="CK11" s="632"/>
      <c r="CL11" s="632"/>
      <c r="CM11" s="632"/>
      <c r="CN11" s="631"/>
    </row>
    <row r="12" spans="2:92" ht="15.75" x14ac:dyDescent="0.25">
      <c r="B12" s="610"/>
      <c r="C12" s="336"/>
      <c r="D12" s="611"/>
      <c r="E12" s="612"/>
      <c r="F12" s="612"/>
      <c r="G12" s="612"/>
      <c r="H12" s="618">
        <f>'I. Stream &amp; Compound Data'!C39</f>
        <v>8</v>
      </c>
      <c r="I12" s="704" t="str">
        <f>IF('I. Stream &amp; Compound Data'!G269&lt;&gt;"",'I. Stream &amp; Compound Data'!G269,"")</f>
        <v>Sodium Hydroxide</v>
      </c>
      <c r="J12" s="703">
        <f>IF('I. Stream &amp; Compound Data'!V269&lt;&gt;"",'I. Stream &amp; Compound Data'!V269,"")</f>
        <v>0</v>
      </c>
      <c r="K12" s="703">
        <f>IF('I. Stream &amp; Compound Data'!U269&lt;&gt;"",'I. Stream &amp; Compound Data'!U269,"")</f>
        <v>0</v>
      </c>
      <c r="L12" s="619">
        <f>IF(H12&gt;'I. Stream &amp; Compound Data'!$F$18,"",IF(J12="","N/A",IF(J12=0,0,1)))</f>
        <v>0</v>
      </c>
      <c r="M12" s="620">
        <f>IF(H12&gt;'I. Stream &amp; Compound Data'!$F$18,"",IF(L12=0,K12,0))</f>
        <v>0</v>
      </c>
      <c r="N12" s="621">
        <f>IF(H12&gt;'I. Stream &amp; Compound Data'!$F$18,"",IF(L12&lt;&gt;0,L12,M12))</f>
        <v>0</v>
      </c>
      <c r="O12" s="621">
        <f>IF(H12&gt;'I. Stream &amp; Compound Data'!$F$18,"",N12)</f>
        <v>0</v>
      </c>
      <c r="P12" s="621">
        <f>'I. Stream &amp; Compound Data'!P269</f>
        <v>6.4425999999999997</v>
      </c>
      <c r="Q12" s="702">
        <f t="shared" si="0"/>
        <v>0</v>
      </c>
      <c r="R12" s="622">
        <f>IF(P12="","",IF(OR('I. Stream &amp; Compound Data'!U269=1,'I. Stream &amp; Compound Data'!W269=1),'Solid Estimation'!P12,0))</f>
        <v>6.4425999999999997</v>
      </c>
      <c r="S12" s="634"/>
      <c r="T12" s="633"/>
      <c r="U12" s="336"/>
      <c r="V12" s="336"/>
      <c r="W12" s="336"/>
      <c r="X12" s="336"/>
      <c r="Y12" s="336"/>
      <c r="Z12" s="336"/>
      <c r="AA12" s="336"/>
      <c r="AB12" s="336"/>
      <c r="AC12" s="336"/>
      <c r="AD12" s="336"/>
      <c r="AE12" s="336"/>
      <c r="AF12" s="336"/>
      <c r="AG12" s="336"/>
      <c r="AH12" s="336"/>
      <c r="AI12" s="336"/>
      <c r="AJ12" s="336"/>
      <c r="AK12" s="336"/>
      <c r="AL12" s="336"/>
      <c r="AM12" s="336"/>
      <c r="AN12" s="336"/>
      <c r="AO12" s="336"/>
      <c r="AP12" s="336"/>
      <c r="AQ12" s="336"/>
      <c r="AR12" s="336"/>
      <c r="AS12" s="336"/>
      <c r="AT12" s="336"/>
      <c r="AU12" s="336"/>
      <c r="AV12" s="336"/>
      <c r="AW12" s="336"/>
      <c r="AX12" s="336"/>
      <c r="AY12" s="336"/>
      <c r="AZ12" s="336"/>
      <c r="BA12" s="632"/>
      <c r="BB12" s="632"/>
      <c r="BC12" s="632"/>
      <c r="BD12" s="632"/>
      <c r="BE12" s="632"/>
      <c r="BF12" s="632"/>
      <c r="BG12" s="632"/>
      <c r="BH12" s="632"/>
      <c r="BI12" s="632"/>
      <c r="BJ12" s="632"/>
      <c r="BK12" s="632"/>
      <c r="BL12" s="632"/>
      <c r="BM12" s="632"/>
      <c r="BN12" s="632"/>
      <c r="BO12" s="632"/>
      <c r="BP12" s="632"/>
      <c r="BQ12" s="632"/>
      <c r="BR12" s="632"/>
      <c r="BS12" s="632"/>
      <c r="BT12" s="632"/>
      <c r="BU12" s="632"/>
      <c r="BV12" s="632"/>
      <c r="BW12" s="632"/>
      <c r="BX12" s="632"/>
      <c r="BY12" s="632"/>
      <c r="BZ12" s="632"/>
      <c r="CA12" s="632"/>
      <c r="CB12" s="632"/>
      <c r="CC12" s="632"/>
      <c r="CD12" s="632"/>
      <c r="CE12" s="632"/>
      <c r="CF12" s="632"/>
      <c r="CG12" s="632"/>
      <c r="CH12" s="632"/>
      <c r="CI12" s="632"/>
      <c r="CJ12" s="632"/>
      <c r="CK12" s="632"/>
      <c r="CL12" s="632"/>
      <c r="CM12" s="632"/>
      <c r="CN12" s="631"/>
    </row>
    <row r="13" spans="2:92" ht="15.75" x14ac:dyDescent="0.25">
      <c r="B13" s="610"/>
      <c r="C13" s="336"/>
      <c r="D13" s="611"/>
      <c r="E13" s="612"/>
      <c r="F13" s="612"/>
      <c r="G13" s="612"/>
      <c r="H13" s="618">
        <f>'I. Stream &amp; Compound Data'!C40</f>
        <v>9</v>
      </c>
      <c r="I13" s="704" t="str">
        <f>IF('I. Stream &amp; Compound Data'!G270&lt;&gt;"",'I. Stream &amp; Compound Data'!G270,"")</f>
        <v>Sulfuric Acid</v>
      </c>
      <c r="J13" s="703">
        <f>IF('I. Stream &amp; Compound Data'!V270&lt;&gt;"",'I. Stream &amp; Compound Data'!V270,"")</f>
        <v>0</v>
      </c>
      <c r="K13" s="703">
        <f>IF('I. Stream &amp; Compound Data'!U270&lt;&gt;"",'I. Stream &amp; Compound Data'!U270,"")</f>
        <v>0</v>
      </c>
      <c r="L13" s="619">
        <f>IF(H13&gt;'I. Stream &amp; Compound Data'!$F$18,"",IF(J13="","N/A",IF(J13=0,0,1)))</f>
        <v>0</v>
      </c>
      <c r="M13" s="620">
        <f>IF(H13&gt;'I. Stream &amp; Compound Data'!$F$18,"",IF(L13=0,K13,0))</f>
        <v>0</v>
      </c>
      <c r="N13" s="621">
        <f>IF(H13&gt;'I. Stream &amp; Compound Data'!$F$18,"",IF(L13&lt;&gt;0,L13,M13))</f>
        <v>0</v>
      </c>
      <c r="O13" s="621">
        <f>IF(H13&gt;'I. Stream &amp; Compound Data'!$F$18,"",N13)</f>
        <v>0</v>
      </c>
      <c r="P13" s="621">
        <f>'I. Stream &amp; Compound Data'!P270</f>
        <v>0</v>
      </c>
      <c r="Q13" s="702">
        <f t="shared" si="0"/>
        <v>0</v>
      </c>
      <c r="R13" s="622">
        <f>IF(P13="","",IF(OR('I. Stream &amp; Compound Data'!U270=1,'I. Stream &amp; Compound Data'!W270=1),'Solid Estimation'!P13,0))</f>
        <v>0</v>
      </c>
      <c r="S13" s="634"/>
      <c r="T13" s="633"/>
      <c r="U13" s="336"/>
      <c r="V13" s="336"/>
      <c r="W13" s="336"/>
      <c r="X13" s="336"/>
      <c r="Y13" s="336"/>
      <c r="Z13" s="336"/>
      <c r="AA13" s="336"/>
      <c r="AB13" s="336"/>
      <c r="AC13" s="336"/>
      <c r="AD13" s="336"/>
      <c r="AE13" s="336"/>
      <c r="AF13" s="336"/>
      <c r="AG13" s="336"/>
      <c r="AH13" s="336"/>
      <c r="AI13" s="336"/>
      <c r="AJ13" s="336"/>
      <c r="AK13" s="336"/>
      <c r="AL13" s="336"/>
      <c r="AM13" s="336"/>
      <c r="AN13" s="336"/>
      <c r="AO13" s="336"/>
      <c r="AP13" s="336"/>
      <c r="AQ13" s="336"/>
      <c r="AR13" s="336"/>
      <c r="AS13" s="336"/>
      <c r="AT13" s="336"/>
      <c r="AU13" s="336"/>
      <c r="AV13" s="336"/>
      <c r="AW13" s="336"/>
      <c r="AX13" s="336"/>
      <c r="AY13" s="336"/>
      <c r="AZ13" s="336"/>
      <c r="BA13" s="632"/>
      <c r="BB13" s="632"/>
      <c r="BC13" s="632"/>
      <c r="BD13" s="632"/>
      <c r="BE13" s="632"/>
      <c r="BF13" s="632"/>
      <c r="BG13" s="632"/>
      <c r="BH13" s="632"/>
      <c r="BI13" s="632"/>
      <c r="BJ13" s="632"/>
      <c r="BK13" s="632"/>
      <c r="BL13" s="632"/>
      <c r="BM13" s="632"/>
      <c r="BN13" s="632"/>
      <c r="BO13" s="632"/>
      <c r="BP13" s="632"/>
      <c r="BQ13" s="632"/>
      <c r="BR13" s="632"/>
      <c r="BS13" s="632"/>
      <c r="BT13" s="632"/>
      <c r="BU13" s="632"/>
      <c r="BV13" s="632"/>
      <c r="BW13" s="632"/>
      <c r="BX13" s="632"/>
      <c r="BY13" s="632"/>
      <c r="BZ13" s="632"/>
      <c r="CA13" s="632"/>
      <c r="CB13" s="632"/>
      <c r="CC13" s="632"/>
      <c r="CD13" s="632"/>
      <c r="CE13" s="632"/>
      <c r="CF13" s="632"/>
      <c r="CG13" s="632"/>
      <c r="CH13" s="632"/>
      <c r="CI13" s="632"/>
      <c r="CJ13" s="632"/>
      <c r="CK13" s="632"/>
      <c r="CL13" s="632"/>
      <c r="CM13" s="632"/>
      <c r="CN13" s="631"/>
    </row>
    <row r="14" spans="2:92" ht="15.75" x14ac:dyDescent="0.25">
      <c r="B14" s="610"/>
      <c r="C14" s="336"/>
      <c r="D14" s="611"/>
      <c r="E14" s="612"/>
      <c r="F14" s="612"/>
      <c r="G14" s="612"/>
      <c r="H14" s="618">
        <f>'I. Stream &amp; Compound Data'!C41</f>
        <v>10</v>
      </c>
      <c r="I14" s="704" t="str">
        <f>IF('I. Stream &amp; Compound Data'!G271&lt;&gt;"",'I. Stream &amp; Compound Data'!G271,"")</f>
        <v>Oleic Acid</v>
      </c>
      <c r="J14" s="703">
        <f>IF('I. Stream &amp; Compound Data'!V271&lt;&gt;"",'I. Stream &amp; Compound Data'!V271,"")</f>
        <v>0</v>
      </c>
      <c r="K14" s="703">
        <f>IF('I. Stream &amp; Compound Data'!U271&lt;&gt;"",'I. Stream &amp; Compound Data'!U271,"")</f>
        <v>1</v>
      </c>
      <c r="L14" s="619">
        <f>IF(H14&gt;'I. Stream &amp; Compound Data'!$F$18,"",IF(J14="","N/A",IF(J14=0,0,1)))</f>
        <v>0</v>
      </c>
      <c r="M14" s="620">
        <f>IF(H14&gt;'I. Stream &amp; Compound Data'!$F$18,"",IF(L14=0,K14,0))</f>
        <v>1</v>
      </c>
      <c r="N14" s="621">
        <f>IF(H14&gt;'I. Stream &amp; Compound Data'!$F$18,"",IF(L14&lt;&gt;0,L14,M14))</f>
        <v>1</v>
      </c>
      <c r="O14" s="621">
        <f>IF(H14&gt;'I. Stream &amp; Compound Data'!$F$18,"",N14)</f>
        <v>1</v>
      </c>
      <c r="P14" s="621">
        <f>'I. Stream &amp; Compound Data'!P271</f>
        <v>0</v>
      </c>
      <c r="Q14" s="702">
        <f t="shared" si="0"/>
        <v>0</v>
      </c>
      <c r="R14" s="622">
        <f>IF(P14="","",IF(OR('I. Stream &amp; Compound Data'!U271=1,'I. Stream &amp; Compound Data'!W271=1),'Solid Estimation'!P14,0))</f>
        <v>0</v>
      </c>
      <c r="S14" s="634"/>
      <c r="T14" s="633"/>
      <c r="U14" s="336"/>
      <c r="V14" s="336"/>
      <c r="W14" s="336"/>
      <c r="X14" s="336"/>
      <c r="Y14" s="336"/>
      <c r="Z14" s="336"/>
      <c r="AA14" s="336"/>
      <c r="AB14" s="336"/>
      <c r="AC14" s="336"/>
      <c r="AD14" s="336"/>
      <c r="AE14" s="336"/>
      <c r="AF14" s="336"/>
      <c r="AG14" s="336"/>
      <c r="AH14" s="336"/>
      <c r="AI14" s="336"/>
      <c r="AJ14" s="336"/>
      <c r="AK14" s="336"/>
      <c r="AL14" s="336"/>
      <c r="AM14" s="336"/>
      <c r="AN14" s="336"/>
      <c r="AO14" s="336"/>
      <c r="AP14" s="336"/>
      <c r="AQ14" s="336"/>
      <c r="AR14" s="336"/>
      <c r="AS14" s="336"/>
      <c r="AT14" s="336"/>
      <c r="AU14" s="336"/>
      <c r="AV14" s="336"/>
      <c r="AW14" s="336"/>
      <c r="AX14" s="336"/>
      <c r="AY14" s="336"/>
      <c r="AZ14" s="336"/>
      <c r="BA14" s="632"/>
      <c r="BB14" s="632"/>
      <c r="BC14" s="632"/>
      <c r="BD14" s="632"/>
      <c r="BE14" s="632"/>
      <c r="BF14" s="632"/>
      <c r="BG14" s="632"/>
      <c r="BH14" s="632"/>
      <c r="BI14" s="632"/>
      <c r="BJ14" s="632"/>
      <c r="BK14" s="632"/>
      <c r="BL14" s="632"/>
      <c r="BM14" s="632"/>
      <c r="BN14" s="632"/>
      <c r="BO14" s="632"/>
      <c r="BP14" s="632"/>
      <c r="BQ14" s="632"/>
      <c r="BR14" s="632"/>
      <c r="BS14" s="632"/>
      <c r="BT14" s="632"/>
      <c r="BU14" s="632"/>
      <c r="BV14" s="632"/>
      <c r="BW14" s="632"/>
      <c r="BX14" s="632"/>
      <c r="BY14" s="632"/>
      <c r="BZ14" s="632"/>
      <c r="CA14" s="632"/>
      <c r="CB14" s="632"/>
      <c r="CC14" s="632"/>
      <c r="CD14" s="632"/>
      <c r="CE14" s="632"/>
      <c r="CF14" s="632"/>
      <c r="CG14" s="632"/>
      <c r="CH14" s="632"/>
      <c r="CI14" s="632"/>
      <c r="CJ14" s="632"/>
      <c r="CK14" s="632"/>
      <c r="CL14" s="632"/>
      <c r="CM14" s="632"/>
      <c r="CN14" s="631"/>
    </row>
    <row r="15" spans="2:92" ht="15.75" x14ac:dyDescent="0.25">
      <c r="B15" s="610"/>
      <c r="C15" s="336"/>
      <c r="D15" s="611"/>
      <c r="E15" s="612"/>
      <c r="F15" s="612"/>
      <c r="G15" s="612"/>
      <c r="H15" s="618">
        <f>'I. Stream &amp; Compound Data'!C42</f>
        <v>11</v>
      </c>
      <c r="I15" s="704" t="str">
        <f>IF('I. Stream &amp; Compound Data'!G272&lt;&gt;"",'I. Stream &amp; Compound Data'!G272,"")</f>
        <v>Sodium Sulphate</v>
      </c>
      <c r="J15" s="703">
        <f>IF('I. Stream &amp; Compound Data'!V272&lt;&gt;"",'I. Stream &amp; Compound Data'!V272,"")</f>
        <v>1</v>
      </c>
      <c r="K15" s="703">
        <f>IF('I. Stream &amp; Compound Data'!U272&lt;&gt;"",'I. Stream &amp; Compound Data'!U272,"")</f>
        <v>0</v>
      </c>
      <c r="L15" s="619">
        <f>IF(H15&gt;'I. Stream &amp; Compound Data'!$F$18,"",IF(J15="","N/A",IF(J15=0,0,1)))</f>
        <v>1</v>
      </c>
      <c r="M15" s="620">
        <f>IF(H15&gt;'I. Stream &amp; Compound Data'!$F$18,"",IF(L15=0,K15,0))</f>
        <v>0</v>
      </c>
      <c r="N15" s="621">
        <f>IF(H15&gt;'I. Stream &amp; Compound Data'!$F$18,"",IF(L15&lt;&gt;0,L15,M15))</f>
        <v>1</v>
      </c>
      <c r="O15" s="621">
        <f>IF(H15&gt;'I. Stream &amp; Compound Data'!$F$18,"",N15)</f>
        <v>1</v>
      </c>
      <c r="P15" s="621">
        <f>'I. Stream &amp; Compound Data'!P272</f>
        <v>14.5</v>
      </c>
      <c r="Q15" s="702">
        <f t="shared" si="0"/>
        <v>14.5</v>
      </c>
      <c r="R15" s="622">
        <f>IF(P15="","",IF(OR('I. Stream &amp; Compound Data'!U272=1,'I. Stream &amp; Compound Data'!W272=1),'Solid Estimation'!P15,0))</f>
        <v>14.5</v>
      </c>
      <c r="S15" s="634"/>
      <c r="T15" s="633"/>
      <c r="U15" s="336"/>
      <c r="V15" s="336"/>
      <c r="W15" s="336"/>
      <c r="X15" s="336"/>
      <c r="Y15" s="336"/>
      <c r="Z15" s="336"/>
      <c r="AA15" s="336"/>
      <c r="AB15" s="336"/>
      <c r="AC15" s="336"/>
      <c r="AD15" s="336"/>
      <c r="AE15" s="336"/>
      <c r="AF15" s="336"/>
      <c r="AG15" s="336"/>
      <c r="AH15" s="336"/>
      <c r="AI15" s="336"/>
      <c r="AJ15" s="336"/>
      <c r="AK15" s="336"/>
      <c r="AL15" s="336"/>
      <c r="AM15" s="336"/>
      <c r="AN15" s="336"/>
      <c r="AO15" s="336"/>
      <c r="AP15" s="336"/>
      <c r="AQ15" s="336"/>
      <c r="AR15" s="336"/>
      <c r="AS15" s="336"/>
      <c r="AT15" s="336"/>
      <c r="AU15" s="336"/>
      <c r="AV15" s="336"/>
      <c r="AW15" s="336"/>
      <c r="AX15" s="336"/>
      <c r="AY15" s="336"/>
      <c r="AZ15" s="336"/>
      <c r="BA15" s="632"/>
      <c r="BB15" s="632"/>
      <c r="BC15" s="632"/>
      <c r="BD15" s="632"/>
      <c r="BE15" s="632"/>
      <c r="BF15" s="632"/>
      <c r="BG15" s="632"/>
      <c r="BH15" s="632"/>
      <c r="BI15" s="632"/>
      <c r="BJ15" s="632"/>
      <c r="BK15" s="632"/>
      <c r="BL15" s="632"/>
      <c r="BM15" s="632"/>
      <c r="BN15" s="632"/>
      <c r="BO15" s="632"/>
      <c r="BP15" s="632"/>
      <c r="BQ15" s="632"/>
      <c r="BR15" s="632"/>
      <c r="BS15" s="632"/>
      <c r="BT15" s="632"/>
      <c r="BU15" s="632"/>
      <c r="BV15" s="632"/>
      <c r="BW15" s="632"/>
      <c r="BX15" s="632"/>
      <c r="BY15" s="632"/>
      <c r="BZ15" s="632"/>
      <c r="CA15" s="632"/>
      <c r="CB15" s="632"/>
      <c r="CC15" s="632"/>
      <c r="CD15" s="632"/>
      <c r="CE15" s="632"/>
      <c r="CF15" s="632"/>
      <c r="CG15" s="632"/>
      <c r="CH15" s="632"/>
      <c r="CI15" s="632"/>
      <c r="CJ15" s="632"/>
      <c r="CK15" s="632"/>
      <c r="CL15" s="632"/>
      <c r="CM15" s="632"/>
      <c r="CN15" s="631"/>
    </row>
    <row r="16" spans="2:92" ht="15.75" x14ac:dyDescent="0.25">
      <c r="B16" s="610"/>
      <c r="C16" s="336"/>
      <c r="D16" s="611"/>
      <c r="E16" s="612"/>
      <c r="F16" s="612"/>
      <c r="G16" s="612"/>
      <c r="H16" s="618">
        <f>'I. Stream &amp; Compound Data'!C43</f>
        <v>12</v>
      </c>
      <c r="I16" s="704" t="str">
        <f>IF('I. Stream &amp; Compound Data'!G273&lt;&gt;"",'I. Stream &amp; Compound Data'!G273,"")</f>
        <v/>
      </c>
      <c r="J16" s="703" t="str">
        <f>IF('I. Stream &amp; Compound Data'!V273&lt;&gt;"",'I. Stream &amp; Compound Data'!V273,"")</f>
        <v/>
      </c>
      <c r="K16" s="703" t="str">
        <f>IF('I. Stream &amp; Compound Data'!U273&lt;&gt;"",'I. Stream &amp; Compound Data'!U273,"")</f>
        <v/>
      </c>
      <c r="L16" s="619" t="str">
        <f>IF(H16&gt;'I. Stream &amp; Compound Data'!$F$18,"",IF(J16="","N/A",IF(J16=0,0,1)))</f>
        <v/>
      </c>
      <c r="M16" s="620" t="str">
        <f>IF(H16&gt;'I. Stream &amp; Compound Data'!$F$18,"",IF(L16=0,K16,0))</f>
        <v/>
      </c>
      <c r="N16" s="621" t="str">
        <f>IF(H16&gt;'I. Stream &amp; Compound Data'!$F$18,"",IF(L16&lt;&gt;0,L16,M16))</f>
        <v/>
      </c>
      <c r="O16" s="621" t="str">
        <f>IF(H16&gt;'I. Stream &amp; Compound Data'!$F$18,"",N16)</f>
        <v/>
      </c>
      <c r="P16" s="621" t="str">
        <f>'I. Stream &amp; Compound Data'!P273</f>
        <v/>
      </c>
      <c r="Q16" s="702" t="str">
        <f t="shared" si="0"/>
        <v/>
      </c>
      <c r="R16" s="622" t="str">
        <f>IF(P16="","",IF(OR('I. Stream &amp; Compound Data'!U273=1,'I. Stream &amp; Compound Data'!W273=1),'Solid Estimation'!P16,0))</f>
        <v/>
      </c>
      <c r="S16" s="634"/>
      <c r="T16" s="633"/>
      <c r="U16" s="336"/>
      <c r="V16" s="336"/>
      <c r="W16" s="336"/>
      <c r="X16" s="336"/>
      <c r="Y16" s="336"/>
      <c r="Z16" s="336"/>
      <c r="AA16" s="336"/>
      <c r="AB16" s="336"/>
      <c r="AC16" s="336"/>
      <c r="AD16" s="336"/>
      <c r="AE16" s="336"/>
      <c r="AF16" s="336"/>
      <c r="AG16" s="336"/>
      <c r="AH16" s="336"/>
      <c r="AI16" s="336"/>
      <c r="AJ16" s="336"/>
      <c r="AK16" s="336"/>
      <c r="AL16" s="336"/>
      <c r="AM16" s="336"/>
      <c r="AN16" s="336"/>
      <c r="AO16" s="336"/>
      <c r="AP16" s="336"/>
      <c r="AQ16" s="336"/>
      <c r="AR16" s="336"/>
      <c r="AS16" s="336"/>
      <c r="AT16" s="336"/>
      <c r="AU16" s="336"/>
      <c r="AV16" s="336"/>
      <c r="AW16" s="336"/>
      <c r="AX16" s="336"/>
      <c r="AY16" s="336"/>
      <c r="AZ16" s="336"/>
      <c r="BA16" s="632"/>
      <c r="BB16" s="632"/>
      <c r="BC16" s="632"/>
      <c r="BD16" s="632"/>
      <c r="BE16" s="632"/>
      <c r="BF16" s="632"/>
      <c r="BG16" s="632"/>
      <c r="BH16" s="632"/>
      <c r="BI16" s="632"/>
      <c r="BJ16" s="632"/>
      <c r="BK16" s="632"/>
      <c r="BL16" s="632"/>
      <c r="BM16" s="632"/>
      <c r="BN16" s="632"/>
      <c r="BO16" s="632"/>
      <c r="BP16" s="632"/>
      <c r="BQ16" s="632"/>
      <c r="BR16" s="632"/>
      <c r="BS16" s="632"/>
      <c r="BT16" s="632"/>
      <c r="BU16" s="632"/>
      <c r="BV16" s="632"/>
      <c r="BW16" s="632"/>
      <c r="BX16" s="632"/>
      <c r="BY16" s="632"/>
      <c r="BZ16" s="632"/>
      <c r="CA16" s="632"/>
      <c r="CB16" s="632"/>
      <c r="CC16" s="632"/>
      <c r="CD16" s="632"/>
      <c r="CE16" s="632"/>
      <c r="CF16" s="632"/>
      <c r="CG16" s="632"/>
      <c r="CH16" s="632"/>
      <c r="CI16" s="632"/>
      <c r="CJ16" s="632"/>
      <c r="CK16" s="632"/>
      <c r="CL16" s="632"/>
      <c r="CM16" s="632"/>
      <c r="CN16" s="631"/>
    </row>
    <row r="17" spans="2:92" ht="15.75" x14ac:dyDescent="0.25">
      <c r="B17" s="610"/>
      <c r="C17" s="336"/>
      <c r="D17" s="611"/>
      <c r="E17" s="612"/>
      <c r="F17" s="612"/>
      <c r="G17" s="612"/>
      <c r="H17" s="618">
        <f>'I. Stream &amp; Compound Data'!C44</f>
        <v>13</v>
      </c>
      <c r="I17" s="704" t="str">
        <f>IF('I. Stream &amp; Compound Data'!G274&lt;&gt;"",'I. Stream &amp; Compound Data'!G274,"")</f>
        <v/>
      </c>
      <c r="J17" s="703" t="str">
        <f>IF('I. Stream &amp; Compound Data'!V274&lt;&gt;"",'I. Stream &amp; Compound Data'!V274,"")</f>
        <v/>
      </c>
      <c r="K17" s="703" t="str">
        <f>IF('I. Stream &amp; Compound Data'!U274&lt;&gt;"",'I. Stream &amp; Compound Data'!U274,"")</f>
        <v/>
      </c>
      <c r="L17" s="619" t="str">
        <f>IF(H17&gt;'I. Stream &amp; Compound Data'!$F$18,"",IF(J17="","N/A",IF(J17=0,0,1)))</f>
        <v/>
      </c>
      <c r="M17" s="620" t="str">
        <f>IF(H17&gt;'I. Stream &amp; Compound Data'!$F$18,"",IF(L17=0,K17,0))</f>
        <v/>
      </c>
      <c r="N17" s="621" t="str">
        <f>IF(H17&gt;'I. Stream &amp; Compound Data'!$F$18,"",IF(L17&lt;&gt;0,L17,M17))</f>
        <v/>
      </c>
      <c r="O17" s="621" t="str">
        <f>IF(H17&gt;'I. Stream &amp; Compound Data'!$F$18,"",N17)</f>
        <v/>
      </c>
      <c r="P17" s="621" t="str">
        <f>'I. Stream &amp; Compound Data'!P274</f>
        <v/>
      </c>
      <c r="Q17" s="702" t="str">
        <f t="shared" si="0"/>
        <v/>
      </c>
      <c r="R17" s="622" t="str">
        <f>IF(P17="","",IF(OR('I. Stream &amp; Compound Data'!U274=1,'I. Stream &amp; Compound Data'!W274=1),'Solid Estimation'!P17,0))</f>
        <v/>
      </c>
      <c r="S17" s="634"/>
      <c r="T17" s="633"/>
      <c r="U17" s="336"/>
      <c r="V17" s="336"/>
      <c r="W17" s="336"/>
      <c r="X17" s="336"/>
      <c r="Y17" s="336"/>
      <c r="Z17" s="336"/>
      <c r="AA17" s="336"/>
      <c r="AB17" s="336"/>
      <c r="AC17" s="336"/>
      <c r="AD17" s="336"/>
      <c r="AE17" s="336"/>
      <c r="AF17" s="336"/>
      <c r="AG17" s="336"/>
      <c r="AH17" s="336"/>
      <c r="AI17" s="336"/>
      <c r="AJ17" s="336"/>
      <c r="AK17" s="336"/>
      <c r="AL17" s="336"/>
      <c r="AM17" s="336"/>
      <c r="AN17" s="336"/>
      <c r="AO17" s="336"/>
      <c r="AP17" s="336"/>
      <c r="AQ17" s="336"/>
      <c r="AR17" s="336"/>
      <c r="AS17" s="336"/>
      <c r="AT17" s="336"/>
      <c r="AU17" s="336"/>
      <c r="AV17" s="336"/>
      <c r="AW17" s="336"/>
      <c r="AX17" s="336"/>
      <c r="AY17" s="336"/>
      <c r="AZ17" s="336"/>
      <c r="BA17" s="632"/>
      <c r="BB17" s="632"/>
      <c r="BC17" s="632"/>
      <c r="BD17" s="632"/>
      <c r="BE17" s="632"/>
      <c r="BF17" s="632"/>
      <c r="BG17" s="632"/>
      <c r="BH17" s="632"/>
      <c r="BI17" s="632"/>
      <c r="BJ17" s="632"/>
      <c r="BK17" s="632"/>
      <c r="BL17" s="632"/>
      <c r="BM17" s="632"/>
      <c r="BN17" s="632"/>
      <c r="BO17" s="632"/>
      <c r="BP17" s="632"/>
      <c r="BQ17" s="632"/>
      <c r="BR17" s="632"/>
      <c r="BS17" s="632"/>
      <c r="BT17" s="632"/>
      <c r="BU17" s="632"/>
      <c r="BV17" s="632"/>
      <c r="BW17" s="632"/>
      <c r="BX17" s="632"/>
      <c r="BY17" s="632"/>
      <c r="BZ17" s="632"/>
      <c r="CA17" s="632"/>
      <c r="CB17" s="632"/>
      <c r="CC17" s="632"/>
      <c r="CD17" s="632"/>
      <c r="CE17" s="632"/>
      <c r="CF17" s="632"/>
      <c r="CG17" s="632"/>
      <c r="CH17" s="632"/>
      <c r="CI17" s="632"/>
      <c r="CJ17" s="632"/>
      <c r="CK17" s="632"/>
      <c r="CL17" s="632"/>
      <c r="CM17" s="632"/>
      <c r="CN17" s="631"/>
    </row>
    <row r="18" spans="2:92" ht="15.75" x14ac:dyDescent="0.25">
      <c r="B18" s="610"/>
      <c r="C18" s="336"/>
      <c r="D18" s="611"/>
      <c r="E18" s="612"/>
      <c r="F18" s="612"/>
      <c r="G18" s="612"/>
      <c r="H18" s="618">
        <f>'I. Stream &amp; Compound Data'!C45</f>
        <v>14</v>
      </c>
      <c r="I18" s="704" t="str">
        <f>IF('I. Stream &amp; Compound Data'!G275&lt;&gt;"",'I. Stream &amp; Compound Data'!G275,"")</f>
        <v/>
      </c>
      <c r="J18" s="703" t="str">
        <f>IF('I. Stream &amp; Compound Data'!V275&lt;&gt;"",'I. Stream &amp; Compound Data'!V275,"")</f>
        <v/>
      </c>
      <c r="K18" s="703" t="str">
        <f>IF('I. Stream &amp; Compound Data'!U275&lt;&gt;"",'I. Stream &amp; Compound Data'!U275,"")</f>
        <v/>
      </c>
      <c r="L18" s="619" t="str">
        <f>IF(H18&gt;'I. Stream &amp; Compound Data'!$F$18,"",IF(J18="","N/A",IF(J18=0,0,1)))</f>
        <v/>
      </c>
      <c r="M18" s="620" t="str">
        <f>IF(H18&gt;'I. Stream &amp; Compound Data'!$F$18,"",IF(L18=0,K18,0))</f>
        <v/>
      </c>
      <c r="N18" s="621" t="str">
        <f>IF(H18&gt;'I. Stream &amp; Compound Data'!$F$18,"",IF(L18&lt;&gt;0,L18,M18))</f>
        <v/>
      </c>
      <c r="O18" s="621" t="str">
        <f>IF(H18&gt;'I. Stream &amp; Compound Data'!$F$18,"",N18)</f>
        <v/>
      </c>
      <c r="P18" s="621" t="str">
        <f>'I. Stream &amp; Compound Data'!P275</f>
        <v/>
      </c>
      <c r="Q18" s="702" t="str">
        <f t="shared" si="0"/>
        <v/>
      </c>
      <c r="R18" s="622" t="str">
        <f>IF(P18="","",IF(OR('I. Stream &amp; Compound Data'!U275=1,'I. Stream &amp; Compound Data'!W275=1),'Solid Estimation'!P18,0))</f>
        <v/>
      </c>
      <c r="S18" s="634"/>
      <c r="T18" s="633"/>
      <c r="U18" s="336"/>
      <c r="V18" s="336"/>
      <c r="W18" s="336"/>
      <c r="X18" s="336"/>
      <c r="Y18" s="336"/>
      <c r="Z18" s="336"/>
      <c r="AA18" s="336"/>
      <c r="AB18" s="336"/>
      <c r="AC18" s="336"/>
      <c r="AD18" s="336"/>
      <c r="AE18" s="336"/>
      <c r="AF18" s="336"/>
      <c r="AG18" s="336"/>
      <c r="AH18" s="336"/>
      <c r="AI18" s="336"/>
      <c r="AJ18" s="336"/>
      <c r="AK18" s="336"/>
      <c r="AL18" s="336"/>
      <c r="AM18" s="336"/>
      <c r="AN18" s="336"/>
      <c r="AO18" s="336"/>
      <c r="AP18" s="336"/>
      <c r="AQ18" s="336"/>
      <c r="AR18" s="336"/>
      <c r="AS18" s="336"/>
      <c r="AT18" s="336"/>
      <c r="AU18" s="336"/>
      <c r="AV18" s="336"/>
      <c r="AW18" s="336"/>
      <c r="AX18" s="336"/>
      <c r="AY18" s="336"/>
      <c r="AZ18" s="336"/>
      <c r="BA18" s="632"/>
      <c r="BB18" s="632"/>
      <c r="BC18" s="632"/>
      <c r="BD18" s="632"/>
      <c r="BE18" s="632"/>
      <c r="BF18" s="632"/>
      <c r="BG18" s="632"/>
      <c r="BH18" s="632"/>
      <c r="BI18" s="632"/>
      <c r="BJ18" s="632"/>
      <c r="BK18" s="632"/>
      <c r="BL18" s="632"/>
      <c r="BM18" s="632"/>
      <c r="BN18" s="632"/>
      <c r="BO18" s="632"/>
      <c r="BP18" s="632"/>
      <c r="BQ18" s="632"/>
      <c r="BR18" s="632"/>
      <c r="BS18" s="632"/>
      <c r="BT18" s="632"/>
      <c r="BU18" s="632"/>
      <c r="BV18" s="632"/>
      <c r="BW18" s="632"/>
      <c r="BX18" s="632"/>
      <c r="BY18" s="632"/>
      <c r="BZ18" s="632"/>
      <c r="CA18" s="632"/>
      <c r="CB18" s="632"/>
      <c r="CC18" s="632"/>
      <c r="CD18" s="632"/>
      <c r="CE18" s="632"/>
      <c r="CF18" s="632"/>
      <c r="CG18" s="632"/>
      <c r="CH18" s="632"/>
      <c r="CI18" s="632"/>
      <c r="CJ18" s="632"/>
      <c r="CK18" s="632"/>
      <c r="CL18" s="632"/>
      <c r="CM18" s="632"/>
      <c r="CN18" s="631"/>
    </row>
    <row r="19" spans="2:92" ht="15.75" x14ac:dyDescent="0.25">
      <c r="B19" s="610"/>
      <c r="C19" s="336"/>
      <c r="D19" s="611"/>
      <c r="E19" s="612"/>
      <c r="F19" s="612"/>
      <c r="G19" s="612"/>
      <c r="H19" s="618">
        <f>'I. Stream &amp; Compound Data'!C46</f>
        <v>15</v>
      </c>
      <c r="I19" s="704" t="str">
        <f>IF('I. Stream &amp; Compound Data'!G276&lt;&gt;"",'I. Stream &amp; Compound Data'!G276,"")</f>
        <v/>
      </c>
      <c r="J19" s="703" t="str">
        <f>IF('I. Stream &amp; Compound Data'!V276&lt;&gt;"",'I. Stream &amp; Compound Data'!V276,"")</f>
        <v/>
      </c>
      <c r="K19" s="703" t="str">
        <f>IF('I. Stream &amp; Compound Data'!U276&lt;&gt;"",'I. Stream &amp; Compound Data'!U276,"")</f>
        <v/>
      </c>
      <c r="L19" s="619" t="str">
        <f>IF(H19&gt;'I. Stream &amp; Compound Data'!$F$18,"",IF(J19="","N/A",IF(J19=0,0,1)))</f>
        <v/>
      </c>
      <c r="M19" s="620" t="str">
        <f>IF(H19&gt;'I. Stream &amp; Compound Data'!$F$18,"",IF(L19=0,K19,0))</f>
        <v/>
      </c>
      <c r="N19" s="621" t="str">
        <f>IF(H19&gt;'I. Stream &amp; Compound Data'!$F$18,"",IF(L19&lt;&gt;0,L19,M19))</f>
        <v/>
      </c>
      <c r="O19" s="621" t="str">
        <f>IF(H19&gt;'I. Stream &amp; Compound Data'!$F$18,"",N19)</f>
        <v/>
      </c>
      <c r="P19" s="621" t="str">
        <f>'I. Stream &amp; Compound Data'!P276</f>
        <v/>
      </c>
      <c r="Q19" s="702" t="str">
        <f t="shared" si="0"/>
        <v/>
      </c>
      <c r="R19" s="622" t="str">
        <f>IF(P19="","",IF(OR('I. Stream &amp; Compound Data'!U276=1,'I. Stream &amp; Compound Data'!W276=1),'Solid Estimation'!P19,0))</f>
        <v/>
      </c>
      <c r="S19" s="634"/>
      <c r="T19" s="634"/>
      <c r="U19" s="633"/>
      <c r="V19" s="336"/>
      <c r="W19" s="336"/>
      <c r="X19" s="336"/>
      <c r="Y19" s="336"/>
      <c r="Z19" s="336"/>
      <c r="AA19" s="336"/>
      <c r="AB19" s="336"/>
      <c r="AC19" s="336"/>
      <c r="AD19" s="336"/>
      <c r="AE19" s="336"/>
      <c r="AF19" s="336"/>
      <c r="AG19" s="336"/>
      <c r="AH19" s="336"/>
      <c r="AI19" s="336"/>
      <c r="AJ19" s="336"/>
      <c r="AK19" s="336"/>
      <c r="AL19" s="336"/>
      <c r="AM19" s="336"/>
      <c r="AN19" s="336"/>
      <c r="AO19" s="336"/>
      <c r="AP19" s="336"/>
      <c r="AQ19" s="336"/>
      <c r="AR19" s="336"/>
      <c r="AS19" s="336"/>
      <c r="AT19" s="336"/>
      <c r="AU19" s="336"/>
      <c r="AV19" s="336"/>
      <c r="AW19" s="336"/>
      <c r="AX19" s="336"/>
      <c r="AY19" s="336"/>
      <c r="AZ19" s="336"/>
      <c r="BA19" s="632"/>
      <c r="BB19" s="632"/>
      <c r="BC19" s="632"/>
      <c r="BD19" s="632"/>
      <c r="BE19" s="632"/>
      <c r="BF19" s="632"/>
      <c r="BG19" s="632"/>
      <c r="BH19" s="632"/>
      <c r="BI19" s="632"/>
      <c r="BJ19" s="632"/>
      <c r="BK19" s="632"/>
      <c r="BL19" s="632"/>
      <c r="BM19" s="632"/>
      <c r="BN19" s="632"/>
      <c r="BO19" s="632"/>
      <c r="BP19" s="632"/>
      <c r="BQ19" s="632"/>
      <c r="BR19" s="632"/>
      <c r="BS19" s="632"/>
      <c r="BT19" s="632"/>
      <c r="BU19" s="632"/>
      <c r="BV19" s="632"/>
      <c r="BW19" s="632"/>
      <c r="BX19" s="632"/>
      <c r="BY19" s="632"/>
      <c r="BZ19" s="632"/>
      <c r="CA19" s="632"/>
      <c r="CB19" s="632"/>
      <c r="CC19" s="632"/>
      <c r="CD19" s="632"/>
      <c r="CE19" s="632"/>
      <c r="CF19" s="632"/>
      <c r="CG19" s="632"/>
      <c r="CH19" s="632"/>
      <c r="CI19" s="632"/>
      <c r="CJ19" s="632"/>
      <c r="CK19" s="632"/>
      <c r="CL19" s="632"/>
      <c r="CM19" s="632"/>
      <c r="CN19" s="631"/>
    </row>
    <row r="20" spans="2:92" ht="15.75" x14ac:dyDescent="0.25">
      <c r="B20" s="610"/>
      <c r="C20" s="336"/>
      <c r="D20" s="611"/>
      <c r="E20" s="612"/>
      <c r="F20" s="612"/>
      <c r="G20" s="612"/>
      <c r="H20" s="618">
        <f>'I. Stream &amp; Compound Data'!C47</f>
        <v>16</v>
      </c>
      <c r="I20" s="704" t="str">
        <f>IF('I. Stream &amp; Compound Data'!G277&lt;&gt;"",'I. Stream &amp; Compound Data'!G277,"")</f>
        <v/>
      </c>
      <c r="J20" s="703" t="str">
        <f>IF('I. Stream &amp; Compound Data'!V277&lt;&gt;"",'I. Stream &amp; Compound Data'!V277,"")</f>
        <v/>
      </c>
      <c r="K20" s="703" t="str">
        <f>IF('I. Stream &amp; Compound Data'!U277&lt;&gt;"",'I. Stream &amp; Compound Data'!U277,"")</f>
        <v/>
      </c>
      <c r="L20" s="619" t="str">
        <f>IF(H20&gt;'I. Stream &amp; Compound Data'!$F$18,"",IF(J20="","N/A",IF(J20=0,0,1)))</f>
        <v/>
      </c>
      <c r="M20" s="620" t="str">
        <f>IF(H20&gt;'I. Stream &amp; Compound Data'!$F$18,"",IF(L20=0,K20,0))</f>
        <v/>
      </c>
      <c r="N20" s="621" t="str">
        <f>IF(H20&gt;'I. Stream &amp; Compound Data'!$F$18,"",IF(L20&lt;&gt;0,L20,M20))</f>
        <v/>
      </c>
      <c r="O20" s="621" t="str">
        <f>IF(H20&gt;'I. Stream &amp; Compound Data'!$F$18,"",N20)</f>
        <v/>
      </c>
      <c r="P20" s="621" t="str">
        <f>'I. Stream &amp; Compound Data'!P277</f>
        <v/>
      </c>
      <c r="Q20" s="702" t="str">
        <f t="shared" si="0"/>
        <v/>
      </c>
      <c r="R20" s="622" t="str">
        <f>IF(P20="","",IF(OR('I. Stream &amp; Compound Data'!U277=1,'I. Stream &amp; Compound Data'!W277=1),'Solid Estimation'!P20,0))</f>
        <v/>
      </c>
      <c r="S20" s="634"/>
      <c r="T20" s="634"/>
      <c r="U20" s="633"/>
      <c r="V20" s="336"/>
      <c r="W20" s="336"/>
      <c r="X20" s="336"/>
      <c r="Y20" s="336"/>
      <c r="Z20" s="336"/>
      <c r="AA20" s="336"/>
      <c r="AB20" s="336"/>
      <c r="AC20" s="336"/>
      <c r="AD20" s="336"/>
      <c r="AE20" s="336"/>
      <c r="AF20" s="336"/>
      <c r="AG20" s="336"/>
      <c r="AH20" s="336"/>
      <c r="AI20" s="336"/>
      <c r="AJ20" s="336"/>
      <c r="AK20" s="336"/>
      <c r="AL20" s="336"/>
      <c r="AM20" s="336"/>
      <c r="AN20" s="336"/>
      <c r="AO20" s="336"/>
      <c r="AP20" s="336"/>
      <c r="AQ20" s="336"/>
      <c r="AR20" s="336"/>
      <c r="AS20" s="336"/>
      <c r="AT20" s="336"/>
      <c r="AU20" s="336"/>
      <c r="AV20" s="336"/>
      <c r="AW20" s="336"/>
      <c r="AX20" s="336"/>
      <c r="AY20" s="336"/>
      <c r="AZ20" s="336"/>
      <c r="BA20" s="632"/>
      <c r="BB20" s="632"/>
      <c r="BC20" s="632"/>
      <c r="BD20" s="632"/>
      <c r="BE20" s="632"/>
      <c r="BF20" s="632"/>
      <c r="BG20" s="632"/>
      <c r="BH20" s="632"/>
      <c r="BI20" s="632"/>
      <c r="BJ20" s="632"/>
      <c r="BK20" s="632"/>
      <c r="BL20" s="632"/>
      <c r="BM20" s="632"/>
      <c r="BN20" s="632"/>
      <c r="BO20" s="632"/>
      <c r="BP20" s="632"/>
      <c r="BQ20" s="632"/>
      <c r="BR20" s="632"/>
      <c r="BS20" s="632"/>
      <c r="BT20" s="632"/>
      <c r="BU20" s="632"/>
      <c r="BV20" s="632"/>
      <c r="BW20" s="632"/>
      <c r="BX20" s="632"/>
      <c r="BY20" s="632"/>
      <c r="BZ20" s="632"/>
      <c r="CA20" s="632"/>
      <c r="CB20" s="632"/>
      <c r="CC20" s="632"/>
      <c r="CD20" s="632"/>
      <c r="CE20" s="632"/>
      <c r="CF20" s="632"/>
      <c r="CG20" s="632"/>
      <c r="CH20" s="632"/>
      <c r="CI20" s="632"/>
      <c r="CJ20" s="632"/>
      <c r="CK20" s="632"/>
      <c r="CL20" s="632"/>
      <c r="CM20" s="632"/>
      <c r="CN20" s="631"/>
    </row>
    <row r="21" spans="2:92" ht="15.75" x14ac:dyDescent="0.25">
      <c r="B21" s="610"/>
      <c r="C21" s="336"/>
      <c r="D21" s="611"/>
      <c r="E21" s="612"/>
      <c r="F21" s="612"/>
      <c r="G21" s="612"/>
      <c r="H21" s="618">
        <f>'I. Stream &amp; Compound Data'!C48</f>
        <v>17</v>
      </c>
      <c r="I21" s="704" t="str">
        <f>IF('I. Stream &amp; Compound Data'!G278&lt;&gt;"",'I. Stream &amp; Compound Data'!G278,"")</f>
        <v/>
      </c>
      <c r="J21" s="703" t="str">
        <f>IF('I. Stream &amp; Compound Data'!V278&lt;&gt;"",'I. Stream &amp; Compound Data'!V278,"")</f>
        <v/>
      </c>
      <c r="K21" s="703" t="str">
        <f>IF('I. Stream &amp; Compound Data'!U278&lt;&gt;"",'I. Stream &amp; Compound Data'!U278,"")</f>
        <v/>
      </c>
      <c r="L21" s="619" t="str">
        <f>IF(H21&gt;'I. Stream &amp; Compound Data'!$F$18,"",IF(J21="","N/A",IF(J21=0,0,1)))</f>
        <v/>
      </c>
      <c r="M21" s="620" t="str">
        <f>IF(H21&gt;'I. Stream &amp; Compound Data'!$F$18,"",IF(L21=0,K21,0))</f>
        <v/>
      </c>
      <c r="N21" s="621" t="str">
        <f>IF(H21&gt;'I. Stream &amp; Compound Data'!$F$18,"",IF(L21&lt;&gt;0,L21,M21))</f>
        <v/>
      </c>
      <c r="O21" s="621" t="str">
        <f>IF(H21&gt;'I. Stream &amp; Compound Data'!$F$18,"",N21)</f>
        <v/>
      </c>
      <c r="P21" s="621" t="str">
        <f>'I. Stream &amp; Compound Data'!P278</f>
        <v/>
      </c>
      <c r="Q21" s="702" t="str">
        <f t="shared" si="0"/>
        <v/>
      </c>
      <c r="R21" s="622" t="str">
        <f>IF(P21="","",IF(OR('I. Stream &amp; Compound Data'!U278=1,'I. Stream &amp; Compound Data'!W278=1),'Solid Estimation'!P21,0))</f>
        <v/>
      </c>
      <c r="S21" s="634"/>
      <c r="T21" s="634"/>
      <c r="U21" s="633"/>
      <c r="V21" s="336"/>
      <c r="W21" s="336"/>
      <c r="X21" s="336"/>
      <c r="Y21" s="336"/>
      <c r="Z21" s="336"/>
      <c r="AA21" s="336"/>
      <c r="AB21" s="336"/>
      <c r="AC21" s="336"/>
      <c r="AD21" s="336"/>
      <c r="AE21" s="336"/>
      <c r="AF21" s="336"/>
      <c r="AG21" s="336"/>
      <c r="AH21" s="336"/>
      <c r="AI21" s="336"/>
      <c r="AJ21" s="336"/>
      <c r="AK21" s="336"/>
      <c r="AL21" s="336"/>
      <c r="AM21" s="336"/>
      <c r="AN21" s="336"/>
      <c r="AO21" s="336"/>
      <c r="AP21" s="336"/>
      <c r="AQ21" s="336"/>
      <c r="AR21" s="336"/>
      <c r="AS21" s="336"/>
      <c r="AT21" s="336"/>
      <c r="AU21" s="336"/>
      <c r="AV21" s="336"/>
      <c r="AW21" s="336"/>
      <c r="AX21" s="336"/>
      <c r="AY21" s="336"/>
      <c r="AZ21" s="336"/>
      <c r="BA21" s="632"/>
      <c r="BB21" s="632"/>
      <c r="BC21" s="632"/>
      <c r="BD21" s="632"/>
      <c r="BE21" s="632"/>
      <c r="BF21" s="632"/>
      <c r="BG21" s="632"/>
      <c r="BH21" s="632"/>
      <c r="BI21" s="632"/>
      <c r="BJ21" s="632"/>
      <c r="BK21" s="632"/>
      <c r="BL21" s="632"/>
      <c r="BM21" s="632"/>
      <c r="BN21" s="632"/>
      <c r="BO21" s="632"/>
      <c r="BP21" s="632"/>
      <c r="BQ21" s="632"/>
      <c r="BR21" s="632"/>
      <c r="BS21" s="632"/>
      <c r="BT21" s="632"/>
      <c r="BU21" s="632"/>
      <c r="BV21" s="632"/>
      <c r="BW21" s="632"/>
      <c r="BX21" s="632"/>
      <c r="BY21" s="632"/>
      <c r="BZ21" s="632"/>
      <c r="CA21" s="632"/>
      <c r="CB21" s="632"/>
      <c r="CC21" s="632"/>
      <c r="CD21" s="632"/>
      <c r="CE21" s="632"/>
      <c r="CF21" s="632"/>
      <c r="CG21" s="632"/>
      <c r="CH21" s="632"/>
      <c r="CI21" s="632"/>
      <c r="CJ21" s="632"/>
      <c r="CK21" s="632"/>
      <c r="CL21" s="632"/>
      <c r="CM21" s="632"/>
      <c r="CN21" s="631"/>
    </row>
    <row r="22" spans="2:92" ht="15.75" x14ac:dyDescent="0.25">
      <c r="B22" s="610"/>
      <c r="C22" s="336"/>
      <c r="D22" s="611"/>
      <c r="E22" s="612"/>
      <c r="F22" s="612"/>
      <c r="G22" s="612"/>
      <c r="H22" s="618">
        <f>'I. Stream &amp; Compound Data'!C49</f>
        <v>18</v>
      </c>
      <c r="I22" s="704" t="str">
        <f>IF('I. Stream &amp; Compound Data'!G279&lt;&gt;"",'I. Stream &amp; Compound Data'!G279,"")</f>
        <v/>
      </c>
      <c r="J22" s="703" t="str">
        <f>IF('I. Stream &amp; Compound Data'!V279&lt;&gt;"",'I. Stream &amp; Compound Data'!V279,"")</f>
        <v/>
      </c>
      <c r="K22" s="703" t="str">
        <f>IF('I. Stream &amp; Compound Data'!U279&lt;&gt;"",'I. Stream &amp; Compound Data'!U279,"")</f>
        <v/>
      </c>
      <c r="L22" s="619" t="str">
        <f>IF(H22&gt;'I. Stream &amp; Compound Data'!$F$18,"",IF(J22="","N/A",IF(J22=0,0,1)))</f>
        <v/>
      </c>
      <c r="M22" s="620" t="str">
        <f>IF(H22&gt;'I. Stream &amp; Compound Data'!$F$18,"",IF(L22=0,K22,0))</f>
        <v/>
      </c>
      <c r="N22" s="621" t="str">
        <f>IF(H22&gt;'I. Stream &amp; Compound Data'!$F$18,"",IF(L22&lt;&gt;0,L22,M22))</f>
        <v/>
      </c>
      <c r="O22" s="621" t="str">
        <f>IF(H22&gt;'I. Stream &amp; Compound Data'!$F$18,"",N22)</f>
        <v/>
      </c>
      <c r="P22" s="621" t="str">
        <f>'I. Stream &amp; Compound Data'!P279</f>
        <v/>
      </c>
      <c r="Q22" s="702" t="str">
        <f t="shared" si="0"/>
        <v/>
      </c>
      <c r="R22" s="622" t="str">
        <f>IF(P22="","",IF(OR('I. Stream &amp; Compound Data'!U279=1,'I. Stream &amp; Compound Data'!W279=1),'Solid Estimation'!P22,0))</f>
        <v/>
      </c>
      <c r="S22" s="634"/>
      <c r="T22" s="634"/>
      <c r="U22" s="633"/>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336"/>
      <c r="AT22" s="336"/>
      <c r="AU22" s="336"/>
      <c r="AV22" s="336"/>
      <c r="AW22" s="336"/>
      <c r="AX22" s="336"/>
      <c r="AY22" s="336"/>
      <c r="AZ22" s="336"/>
      <c r="BA22" s="632"/>
      <c r="BB22" s="632"/>
      <c r="BC22" s="632"/>
      <c r="BD22" s="632"/>
      <c r="BE22" s="632"/>
      <c r="BF22" s="632"/>
      <c r="BG22" s="632"/>
      <c r="BH22" s="632"/>
      <c r="BI22" s="632"/>
      <c r="BJ22" s="632"/>
      <c r="BK22" s="632"/>
      <c r="BL22" s="632"/>
      <c r="BM22" s="632"/>
      <c r="BN22" s="632"/>
      <c r="BO22" s="632"/>
      <c r="BP22" s="632"/>
      <c r="BQ22" s="632"/>
      <c r="BR22" s="632"/>
      <c r="BS22" s="632"/>
      <c r="BT22" s="632"/>
      <c r="BU22" s="632"/>
      <c r="BV22" s="632"/>
      <c r="BW22" s="632"/>
      <c r="BX22" s="632"/>
      <c r="BY22" s="632"/>
      <c r="BZ22" s="632"/>
      <c r="CA22" s="632"/>
      <c r="CB22" s="632"/>
      <c r="CC22" s="632"/>
      <c r="CD22" s="632"/>
      <c r="CE22" s="632"/>
      <c r="CF22" s="632"/>
      <c r="CG22" s="632"/>
      <c r="CH22" s="632"/>
      <c r="CI22" s="632"/>
      <c r="CJ22" s="632"/>
      <c r="CK22" s="632"/>
      <c r="CL22" s="632"/>
      <c r="CM22" s="632"/>
      <c r="CN22" s="631"/>
    </row>
    <row r="23" spans="2:92" ht="15.75" x14ac:dyDescent="0.25">
      <c r="B23" s="610"/>
      <c r="C23" s="336"/>
      <c r="D23" s="611"/>
      <c r="E23" s="612"/>
      <c r="F23" s="612"/>
      <c r="G23" s="612"/>
      <c r="H23" s="618">
        <f>'I. Stream &amp; Compound Data'!C50</f>
        <v>19</v>
      </c>
      <c r="I23" s="704" t="str">
        <f>IF('I. Stream &amp; Compound Data'!G280&lt;&gt;"",'I. Stream &amp; Compound Data'!G280,"")</f>
        <v/>
      </c>
      <c r="J23" s="703" t="str">
        <f>IF('I. Stream &amp; Compound Data'!V280&lt;&gt;"",'I. Stream &amp; Compound Data'!V280,"")</f>
        <v/>
      </c>
      <c r="K23" s="703" t="str">
        <f>IF('I. Stream &amp; Compound Data'!U280&lt;&gt;"",'I. Stream &amp; Compound Data'!U280,"")</f>
        <v/>
      </c>
      <c r="L23" s="619" t="str">
        <f>IF(H23&gt;'I. Stream &amp; Compound Data'!$F$18,"",IF(J23="","N/A",IF(J23=0,0,1)))</f>
        <v/>
      </c>
      <c r="M23" s="620" t="str">
        <f>IF(H23&gt;'I. Stream &amp; Compound Data'!$F$18,"",IF(L23=0,K23,0))</f>
        <v/>
      </c>
      <c r="N23" s="621" t="str">
        <f>IF(H23&gt;'I. Stream &amp; Compound Data'!$F$18,"",IF(L23&lt;&gt;0,L23,M23))</f>
        <v/>
      </c>
      <c r="O23" s="621" t="str">
        <f>IF(H23&gt;'I. Stream &amp; Compound Data'!$F$18,"",N23)</f>
        <v/>
      </c>
      <c r="P23" s="621" t="str">
        <f>'I. Stream &amp; Compound Data'!P280</f>
        <v/>
      </c>
      <c r="Q23" s="702" t="str">
        <f t="shared" si="0"/>
        <v/>
      </c>
      <c r="R23" s="622" t="str">
        <f>IF(P23="","",IF(OR('I. Stream &amp; Compound Data'!U280=1,'I. Stream &amp; Compound Data'!W280=1),'Solid Estimation'!P23,0))</f>
        <v/>
      </c>
      <c r="S23" s="634"/>
      <c r="T23" s="634"/>
      <c r="U23" s="633"/>
      <c r="V23" s="336"/>
      <c r="W23" s="336"/>
      <c r="X23" s="336"/>
      <c r="Y23" s="336"/>
      <c r="Z23" s="336"/>
      <c r="AA23" s="336"/>
      <c r="AB23" s="336"/>
      <c r="AC23" s="336"/>
      <c r="AD23" s="336"/>
      <c r="AE23" s="336"/>
      <c r="AF23" s="336"/>
      <c r="AG23" s="336"/>
      <c r="AH23" s="336"/>
      <c r="AI23" s="336"/>
      <c r="AJ23" s="336"/>
      <c r="AK23" s="336"/>
      <c r="AL23" s="336"/>
      <c r="AM23" s="336"/>
      <c r="AN23" s="336"/>
      <c r="AO23" s="336"/>
      <c r="AP23" s="336"/>
      <c r="AQ23" s="336"/>
      <c r="AR23" s="336"/>
      <c r="AS23" s="336"/>
      <c r="AT23" s="336"/>
      <c r="AU23" s="336"/>
      <c r="AV23" s="336"/>
      <c r="AW23" s="336"/>
      <c r="AX23" s="336"/>
      <c r="AY23" s="336"/>
      <c r="AZ23" s="336"/>
      <c r="BA23" s="632"/>
      <c r="BB23" s="632"/>
      <c r="BC23" s="632"/>
      <c r="BD23" s="632"/>
      <c r="BE23" s="632"/>
      <c r="BF23" s="632"/>
      <c r="BG23" s="632"/>
      <c r="BH23" s="632"/>
      <c r="BI23" s="632"/>
      <c r="BJ23" s="632"/>
      <c r="BK23" s="632"/>
      <c r="BL23" s="632"/>
      <c r="BM23" s="632"/>
      <c r="BN23" s="632"/>
      <c r="BO23" s="632"/>
      <c r="BP23" s="632"/>
      <c r="BQ23" s="632"/>
      <c r="BR23" s="632"/>
      <c r="BS23" s="632"/>
      <c r="BT23" s="632"/>
      <c r="BU23" s="632"/>
      <c r="BV23" s="632"/>
      <c r="BW23" s="632"/>
      <c r="BX23" s="632"/>
      <c r="BY23" s="632"/>
      <c r="BZ23" s="632"/>
      <c r="CA23" s="632"/>
      <c r="CB23" s="632"/>
      <c r="CC23" s="632"/>
      <c r="CD23" s="632"/>
      <c r="CE23" s="632"/>
      <c r="CF23" s="632"/>
      <c r="CG23" s="632"/>
      <c r="CH23" s="632"/>
      <c r="CI23" s="632"/>
      <c r="CJ23" s="632"/>
      <c r="CK23" s="632"/>
      <c r="CL23" s="632"/>
      <c r="CM23" s="632"/>
      <c r="CN23" s="631"/>
    </row>
    <row r="24" spans="2:92" ht="15.75" x14ac:dyDescent="0.25">
      <c r="B24" s="610"/>
      <c r="C24" s="336"/>
      <c r="D24" s="611"/>
      <c r="E24" s="612"/>
      <c r="F24" s="612"/>
      <c r="G24" s="612"/>
      <c r="H24" s="618">
        <f>'I. Stream &amp; Compound Data'!C51</f>
        <v>20</v>
      </c>
      <c r="I24" s="704" t="str">
        <f>IF('I. Stream &amp; Compound Data'!G281&lt;&gt;"",'I. Stream &amp; Compound Data'!G281,"")</f>
        <v/>
      </c>
      <c r="J24" s="703" t="str">
        <f>IF('I. Stream &amp; Compound Data'!V281&lt;&gt;"",'I. Stream &amp; Compound Data'!V281,"")</f>
        <v/>
      </c>
      <c r="K24" s="703" t="str">
        <f>IF('I. Stream &amp; Compound Data'!U281&lt;&gt;"",'I. Stream &amp; Compound Data'!U281,"")</f>
        <v/>
      </c>
      <c r="L24" s="619" t="str">
        <f>IF(H24&gt;'I. Stream &amp; Compound Data'!$F$18,"",IF(J24="","N/A",IF(J24=0,0,1)))</f>
        <v/>
      </c>
      <c r="M24" s="620" t="str">
        <f>IF(H24&gt;'I. Stream &amp; Compound Data'!$F$18,"",IF(L24=0,K24,0))</f>
        <v/>
      </c>
      <c r="N24" s="621" t="str">
        <f>IF(H24&gt;'I. Stream &amp; Compound Data'!$F$18,"",IF(L24&lt;&gt;0,L24,M24))</f>
        <v/>
      </c>
      <c r="O24" s="621" t="str">
        <f>IF(H24&gt;'I. Stream &amp; Compound Data'!$F$18,"",N24)</f>
        <v/>
      </c>
      <c r="P24" s="621" t="str">
        <f>'I. Stream &amp; Compound Data'!P281</f>
        <v/>
      </c>
      <c r="Q24" s="702" t="str">
        <f t="shared" si="0"/>
        <v/>
      </c>
      <c r="R24" s="622" t="str">
        <f>IF(P24="","",IF(OR('I. Stream &amp; Compound Data'!U281=1,'I. Stream &amp; Compound Data'!W281=1),'Solid Estimation'!P24,0))</f>
        <v/>
      </c>
      <c r="S24" s="634"/>
      <c r="T24" s="634"/>
      <c r="U24" s="633"/>
      <c r="V24" s="336"/>
      <c r="W24" s="336"/>
      <c r="X24" s="336"/>
      <c r="Y24" s="336"/>
      <c r="Z24" s="336"/>
      <c r="AA24" s="336"/>
      <c r="AB24" s="336"/>
      <c r="AC24" s="336"/>
      <c r="AD24" s="336"/>
      <c r="AE24" s="336"/>
      <c r="AF24" s="336"/>
      <c r="AG24" s="336"/>
      <c r="AH24" s="336"/>
      <c r="AI24" s="336"/>
      <c r="AJ24" s="336"/>
      <c r="AK24" s="336"/>
      <c r="AL24" s="336"/>
      <c r="AM24" s="336"/>
      <c r="AN24" s="336"/>
      <c r="AO24" s="336"/>
      <c r="AP24" s="336"/>
      <c r="AQ24" s="336"/>
      <c r="AR24" s="336"/>
      <c r="AS24" s="336"/>
      <c r="AT24" s="336"/>
      <c r="AU24" s="336"/>
      <c r="AV24" s="336"/>
      <c r="AW24" s="336"/>
      <c r="AX24" s="336"/>
      <c r="AY24" s="336"/>
      <c r="AZ24" s="336"/>
      <c r="BA24" s="632"/>
      <c r="BB24" s="632"/>
      <c r="BC24" s="632"/>
      <c r="BD24" s="632"/>
      <c r="BE24" s="632"/>
      <c r="BF24" s="632"/>
      <c r="BG24" s="632"/>
      <c r="BH24" s="632"/>
      <c r="BI24" s="632"/>
      <c r="BJ24" s="632"/>
      <c r="BK24" s="632"/>
      <c r="BL24" s="632"/>
      <c r="BM24" s="632"/>
      <c r="BN24" s="632"/>
      <c r="BO24" s="632"/>
      <c r="BP24" s="632"/>
      <c r="BQ24" s="632"/>
      <c r="BR24" s="632"/>
      <c r="BS24" s="632"/>
      <c r="BT24" s="632"/>
      <c r="BU24" s="632"/>
      <c r="BV24" s="632"/>
      <c r="BW24" s="632"/>
      <c r="BX24" s="632"/>
      <c r="BY24" s="632"/>
      <c r="BZ24" s="632"/>
      <c r="CA24" s="632"/>
      <c r="CB24" s="632"/>
      <c r="CC24" s="632"/>
      <c r="CD24" s="632"/>
      <c r="CE24" s="632"/>
      <c r="CF24" s="632"/>
      <c r="CG24" s="632"/>
      <c r="CH24" s="632"/>
      <c r="CI24" s="632"/>
      <c r="CJ24" s="632"/>
      <c r="CK24" s="632"/>
      <c r="CL24" s="632"/>
      <c r="CM24" s="632"/>
      <c r="CN24" s="631"/>
    </row>
    <row r="25" spans="2:92" ht="15.75" x14ac:dyDescent="0.25">
      <c r="B25" s="610"/>
      <c r="C25" s="336"/>
      <c r="D25" s="611"/>
      <c r="E25" s="612"/>
      <c r="F25" s="612"/>
      <c r="G25" s="612"/>
      <c r="H25" s="618">
        <f>'I. Stream &amp; Compound Data'!C52</f>
        <v>21</v>
      </c>
      <c r="I25" s="704" t="str">
        <f>IF('I. Stream &amp; Compound Data'!G282&lt;&gt;"",'I. Stream &amp; Compound Data'!G282,"")</f>
        <v/>
      </c>
      <c r="J25" s="703" t="str">
        <f>IF('I. Stream &amp; Compound Data'!V282&lt;&gt;"",'I. Stream &amp; Compound Data'!V282,"")</f>
        <v/>
      </c>
      <c r="K25" s="703" t="str">
        <f>IF('I. Stream &amp; Compound Data'!U282&lt;&gt;"",'I. Stream &amp; Compound Data'!U282,"")</f>
        <v/>
      </c>
      <c r="L25" s="619" t="str">
        <f>IF(H25&gt;'I. Stream &amp; Compound Data'!$F$18,"",IF(J25="","N/A",IF(J25=0,0,1)))</f>
        <v/>
      </c>
      <c r="M25" s="620" t="str">
        <f>IF(H25&gt;'I. Stream &amp; Compound Data'!$F$18,"",IF(L25=0,K25,0))</f>
        <v/>
      </c>
      <c r="N25" s="621" t="str">
        <f>IF(H25&gt;'I. Stream &amp; Compound Data'!$F$18,"",IF(L25&lt;&gt;0,L25,M25))</f>
        <v/>
      </c>
      <c r="O25" s="621" t="str">
        <f>IF(H25&gt;'I. Stream &amp; Compound Data'!$F$18,"",N25)</f>
        <v/>
      </c>
      <c r="P25" s="621" t="str">
        <f>'I. Stream &amp; Compound Data'!P282</f>
        <v/>
      </c>
      <c r="Q25" s="702" t="str">
        <f t="shared" si="0"/>
        <v/>
      </c>
      <c r="R25" s="622" t="str">
        <f>IF(P25="","",IF(OR('I. Stream &amp; Compound Data'!U282=1,'I. Stream &amp; Compound Data'!W282=1),'Solid Estimation'!P25,0))</f>
        <v/>
      </c>
      <c r="S25" s="634"/>
      <c r="T25" s="634"/>
      <c r="U25" s="633"/>
      <c r="V25" s="336"/>
      <c r="W25" s="336"/>
      <c r="X25" s="336"/>
      <c r="Y25" s="336"/>
      <c r="Z25" s="336"/>
      <c r="AA25" s="336"/>
      <c r="AB25" s="336"/>
      <c r="AC25" s="336"/>
      <c r="AD25" s="336"/>
      <c r="AE25" s="336"/>
      <c r="AF25" s="336"/>
      <c r="AG25" s="336"/>
      <c r="AH25" s="336"/>
      <c r="AI25" s="336"/>
      <c r="AJ25" s="336"/>
      <c r="AK25" s="336"/>
      <c r="AL25" s="336"/>
      <c r="AM25" s="336"/>
      <c r="AN25" s="336"/>
      <c r="AO25" s="336"/>
      <c r="AP25" s="336"/>
      <c r="AQ25" s="336"/>
      <c r="AR25" s="336"/>
      <c r="AS25" s="336"/>
      <c r="AT25" s="336"/>
      <c r="AU25" s="336"/>
      <c r="AV25" s="336"/>
      <c r="AW25" s="336"/>
      <c r="AX25" s="336"/>
      <c r="AY25" s="336"/>
      <c r="AZ25" s="336"/>
      <c r="BA25" s="632"/>
      <c r="BB25" s="632"/>
      <c r="BC25" s="632"/>
      <c r="BD25" s="632"/>
      <c r="BE25" s="632"/>
      <c r="BF25" s="632"/>
      <c r="BG25" s="632"/>
      <c r="BH25" s="632"/>
      <c r="BI25" s="632"/>
      <c r="BJ25" s="632"/>
      <c r="BK25" s="632"/>
      <c r="BL25" s="632"/>
      <c r="BM25" s="632"/>
      <c r="BN25" s="632"/>
      <c r="BO25" s="632"/>
      <c r="BP25" s="632"/>
      <c r="BQ25" s="632"/>
      <c r="BR25" s="632"/>
      <c r="BS25" s="632"/>
      <c r="BT25" s="632"/>
      <c r="BU25" s="632"/>
      <c r="BV25" s="632"/>
      <c r="BW25" s="632"/>
      <c r="BX25" s="632"/>
      <c r="BY25" s="632"/>
      <c r="BZ25" s="632"/>
      <c r="CA25" s="632"/>
      <c r="CB25" s="632"/>
      <c r="CC25" s="632"/>
      <c r="CD25" s="632"/>
      <c r="CE25" s="632"/>
      <c r="CF25" s="632"/>
      <c r="CG25" s="632"/>
      <c r="CH25" s="632"/>
      <c r="CI25" s="632"/>
      <c r="CJ25" s="632"/>
      <c r="CK25" s="632"/>
      <c r="CL25" s="632"/>
      <c r="CM25" s="632"/>
      <c r="CN25" s="631"/>
    </row>
    <row r="26" spans="2:92" ht="15.75" x14ac:dyDescent="0.25">
      <c r="B26" s="610"/>
      <c r="C26" s="336"/>
      <c r="D26" s="611"/>
      <c r="E26" s="612"/>
      <c r="F26" s="612"/>
      <c r="G26" s="612"/>
      <c r="H26" s="618">
        <f>'I. Stream &amp; Compound Data'!C53</f>
        <v>22</v>
      </c>
      <c r="I26" s="704" t="str">
        <f>IF('I. Stream &amp; Compound Data'!G283&lt;&gt;"",'I. Stream &amp; Compound Data'!G283,"")</f>
        <v/>
      </c>
      <c r="J26" s="703" t="str">
        <f>IF('I. Stream &amp; Compound Data'!V283&lt;&gt;"",'I. Stream &amp; Compound Data'!V283,"")</f>
        <v/>
      </c>
      <c r="K26" s="703" t="str">
        <f>IF('I. Stream &amp; Compound Data'!U283&lt;&gt;"",'I. Stream &amp; Compound Data'!U283,"")</f>
        <v/>
      </c>
      <c r="L26" s="619" t="str">
        <f>IF(H26&gt;'I. Stream &amp; Compound Data'!$F$18,"",IF(J26="","N/A",IF(J26=0,0,1)))</f>
        <v/>
      </c>
      <c r="M26" s="620" t="str">
        <f>IF(H26&gt;'I. Stream &amp; Compound Data'!$F$18,"",IF(L26=0,K26,0))</f>
        <v/>
      </c>
      <c r="N26" s="621" t="str">
        <f>IF(H26&gt;'I. Stream &amp; Compound Data'!$F$18,"",IF(L26&lt;&gt;0,L26,M26))</f>
        <v/>
      </c>
      <c r="O26" s="621" t="str">
        <f>IF(H26&gt;'I. Stream &amp; Compound Data'!$F$18,"",N26)</f>
        <v/>
      </c>
      <c r="P26" s="621" t="str">
        <f>'I. Stream &amp; Compound Data'!P283</f>
        <v/>
      </c>
      <c r="Q26" s="702" t="str">
        <f t="shared" si="0"/>
        <v/>
      </c>
      <c r="R26" s="622" t="str">
        <f>IF(P26="","",IF(OR('I. Stream &amp; Compound Data'!U283=1,'I. Stream &amp; Compound Data'!W283=1),'Solid Estimation'!P26,0))</f>
        <v/>
      </c>
      <c r="S26" s="634"/>
      <c r="T26" s="634"/>
      <c r="U26" s="633"/>
      <c r="V26" s="336"/>
      <c r="W26" s="336"/>
      <c r="X26" s="336"/>
      <c r="Y26" s="336"/>
      <c r="Z26" s="336"/>
      <c r="AA26" s="336"/>
      <c r="AB26" s="336"/>
      <c r="AC26" s="336"/>
      <c r="AD26" s="336"/>
      <c r="AE26" s="336"/>
      <c r="AF26" s="336"/>
      <c r="AG26" s="336"/>
      <c r="AH26" s="336"/>
      <c r="AI26" s="336"/>
      <c r="AJ26" s="336"/>
      <c r="AK26" s="336"/>
      <c r="AL26" s="336"/>
      <c r="AM26" s="336"/>
      <c r="AN26" s="336"/>
      <c r="AO26" s="336"/>
      <c r="AP26" s="336"/>
      <c r="AQ26" s="336"/>
      <c r="AR26" s="336"/>
      <c r="AS26" s="336"/>
      <c r="AT26" s="336"/>
      <c r="AU26" s="336"/>
      <c r="AV26" s="336"/>
      <c r="AW26" s="336"/>
      <c r="AX26" s="336"/>
      <c r="AY26" s="336"/>
      <c r="AZ26" s="336"/>
      <c r="BA26" s="632"/>
      <c r="BB26" s="632"/>
      <c r="BC26" s="632"/>
      <c r="BD26" s="632"/>
      <c r="BE26" s="632"/>
      <c r="BF26" s="632"/>
      <c r="BG26" s="632"/>
      <c r="BH26" s="632"/>
      <c r="BI26" s="632"/>
      <c r="BJ26" s="632"/>
      <c r="BK26" s="632"/>
      <c r="BL26" s="632"/>
      <c r="BM26" s="632"/>
      <c r="BN26" s="632"/>
      <c r="BO26" s="632"/>
      <c r="BP26" s="632"/>
      <c r="BQ26" s="632"/>
      <c r="BR26" s="632"/>
      <c r="BS26" s="632"/>
      <c r="BT26" s="632"/>
      <c r="BU26" s="632"/>
      <c r="BV26" s="632"/>
      <c r="BW26" s="632"/>
      <c r="BX26" s="632"/>
      <c r="BY26" s="632"/>
      <c r="BZ26" s="632"/>
      <c r="CA26" s="632"/>
      <c r="CB26" s="632"/>
      <c r="CC26" s="632"/>
      <c r="CD26" s="632"/>
      <c r="CE26" s="632"/>
      <c r="CF26" s="632"/>
      <c r="CG26" s="632"/>
      <c r="CH26" s="632"/>
      <c r="CI26" s="632"/>
      <c r="CJ26" s="632"/>
      <c r="CK26" s="632"/>
      <c r="CL26" s="632"/>
      <c r="CM26" s="632"/>
      <c r="CN26" s="631"/>
    </row>
    <row r="27" spans="2:92" ht="15.75" x14ac:dyDescent="0.25">
      <c r="B27" s="610"/>
      <c r="C27" s="336"/>
      <c r="D27" s="611"/>
      <c r="E27" s="612"/>
      <c r="F27" s="612"/>
      <c r="G27" s="612"/>
      <c r="H27" s="618">
        <f>'I. Stream &amp; Compound Data'!C54</f>
        <v>23</v>
      </c>
      <c r="I27" s="704" t="str">
        <f>IF('I. Stream &amp; Compound Data'!G284&lt;&gt;"",'I. Stream &amp; Compound Data'!G284,"")</f>
        <v/>
      </c>
      <c r="J27" s="703" t="str">
        <f>IF('I. Stream &amp; Compound Data'!V284&lt;&gt;"",'I. Stream &amp; Compound Data'!V284,"")</f>
        <v/>
      </c>
      <c r="K27" s="703" t="str">
        <f>IF('I. Stream &amp; Compound Data'!U284&lt;&gt;"",'I. Stream &amp; Compound Data'!U284,"")</f>
        <v/>
      </c>
      <c r="L27" s="619" t="str">
        <f>IF(H27&gt;'I. Stream &amp; Compound Data'!$F$18,"",IF(J27="","N/A",IF(J27=0,0,1)))</f>
        <v/>
      </c>
      <c r="M27" s="620" t="str">
        <f>IF(H27&gt;'I. Stream &amp; Compound Data'!$F$18,"",IF(L27=0,K27,0))</f>
        <v/>
      </c>
      <c r="N27" s="621" t="str">
        <f>IF(H27&gt;'I. Stream &amp; Compound Data'!$F$18,"",IF(L27&lt;&gt;0,L27,M27))</f>
        <v/>
      </c>
      <c r="O27" s="621" t="str">
        <f>IF(H27&gt;'I. Stream &amp; Compound Data'!$F$18,"",N27)</f>
        <v/>
      </c>
      <c r="P27" s="621" t="str">
        <f>'I. Stream &amp; Compound Data'!P284</f>
        <v/>
      </c>
      <c r="Q27" s="702" t="str">
        <f t="shared" si="0"/>
        <v/>
      </c>
      <c r="R27" s="622" t="str">
        <f>IF(P27="","",IF(OR('I. Stream &amp; Compound Data'!U284=1,'I. Stream &amp; Compound Data'!W284=1),'Solid Estimation'!P27,0))</f>
        <v/>
      </c>
      <c r="S27" s="634"/>
      <c r="T27" s="634"/>
      <c r="U27" s="633"/>
      <c r="V27" s="336"/>
      <c r="W27" s="336"/>
      <c r="X27" s="336"/>
      <c r="Y27" s="336"/>
      <c r="Z27" s="336"/>
      <c r="AA27" s="336"/>
      <c r="AB27" s="336"/>
      <c r="AC27" s="336"/>
      <c r="AD27" s="336"/>
      <c r="AE27" s="336"/>
      <c r="AF27" s="336"/>
      <c r="AG27" s="336"/>
      <c r="AH27" s="336"/>
      <c r="AI27" s="336"/>
      <c r="AJ27" s="336"/>
      <c r="AK27" s="336"/>
      <c r="AL27" s="336"/>
      <c r="AM27" s="336"/>
      <c r="AN27" s="336"/>
      <c r="AO27" s="336"/>
      <c r="AP27" s="336"/>
      <c r="AQ27" s="336"/>
      <c r="AR27" s="336"/>
      <c r="AS27" s="336"/>
      <c r="AT27" s="336"/>
      <c r="AU27" s="336"/>
      <c r="AV27" s="336"/>
      <c r="AW27" s="336"/>
      <c r="AX27" s="336"/>
      <c r="AY27" s="336"/>
      <c r="AZ27" s="336"/>
      <c r="BA27" s="632"/>
      <c r="BB27" s="632"/>
      <c r="BC27" s="632"/>
      <c r="BD27" s="632"/>
      <c r="BE27" s="632"/>
      <c r="BF27" s="632"/>
      <c r="BG27" s="632"/>
      <c r="BH27" s="632"/>
      <c r="BI27" s="632"/>
      <c r="BJ27" s="632"/>
      <c r="BK27" s="632"/>
      <c r="BL27" s="632"/>
      <c r="BM27" s="632"/>
      <c r="BN27" s="632"/>
      <c r="BO27" s="632"/>
      <c r="BP27" s="632"/>
      <c r="BQ27" s="632"/>
      <c r="BR27" s="632"/>
      <c r="BS27" s="632"/>
      <c r="BT27" s="632"/>
      <c r="BU27" s="632"/>
      <c r="BV27" s="632"/>
      <c r="BW27" s="632"/>
      <c r="BX27" s="632"/>
      <c r="BY27" s="632"/>
      <c r="BZ27" s="632"/>
      <c r="CA27" s="632"/>
      <c r="CB27" s="632"/>
      <c r="CC27" s="632"/>
      <c r="CD27" s="632"/>
      <c r="CE27" s="632"/>
      <c r="CF27" s="632"/>
      <c r="CG27" s="632"/>
      <c r="CH27" s="632"/>
      <c r="CI27" s="632"/>
      <c r="CJ27" s="632"/>
      <c r="CK27" s="632"/>
      <c r="CL27" s="632"/>
      <c r="CM27" s="632"/>
      <c r="CN27" s="631"/>
    </row>
    <row r="28" spans="2:92" ht="15.75" x14ac:dyDescent="0.25">
      <c r="B28" s="610"/>
      <c r="C28" s="336"/>
      <c r="D28" s="611"/>
      <c r="E28" s="612"/>
      <c r="F28" s="612"/>
      <c r="G28" s="612"/>
      <c r="H28" s="618">
        <f>'I. Stream &amp; Compound Data'!C55</f>
        <v>24</v>
      </c>
      <c r="I28" s="704" t="str">
        <f>IF('I. Stream &amp; Compound Data'!G285&lt;&gt;"",'I. Stream &amp; Compound Data'!G285,"")</f>
        <v/>
      </c>
      <c r="J28" s="703" t="str">
        <f>IF('I. Stream &amp; Compound Data'!V285&lt;&gt;"",'I. Stream &amp; Compound Data'!V285,"")</f>
        <v/>
      </c>
      <c r="K28" s="703" t="str">
        <f>IF('I. Stream &amp; Compound Data'!U285&lt;&gt;"",'I. Stream &amp; Compound Data'!U285,"")</f>
        <v/>
      </c>
      <c r="L28" s="619" t="str">
        <f>IF(H28&gt;'I. Stream &amp; Compound Data'!$F$18,"",IF(J28="","N/A",IF(J28=0,0,1)))</f>
        <v/>
      </c>
      <c r="M28" s="620" t="str">
        <f>IF(H28&gt;'I. Stream &amp; Compound Data'!$F$18,"",IF(L28=0,K28,0))</f>
        <v/>
      </c>
      <c r="N28" s="621" t="str">
        <f>IF(H28&gt;'I. Stream &amp; Compound Data'!$F$18,"",IF(L28&lt;&gt;0,L28,M28))</f>
        <v/>
      </c>
      <c r="O28" s="621" t="str">
        <f>IF(H28&gt;'I. Stream &amp; Compound Data'!$F$18,"",N28)</f>
        <v/>
      </c>
      <c r="P28" s="621" t="str">
        <f>'I. Stream &amp; Compound Data'!P285</f>
        <v/>
      </c>
      <c r="Q28" s="702" t="str">
        <f t="shared" si="0"/>
        <v/>
      </c>
      <c r="R28" s="622" t="str">
        <f>IF(P28="","",IF(OR('I. Stream &amp; Compound Data'!U285=1,'I. Stream &amp; Compound Data'!W285=1),'Solid Estimation'!P28,0))</f>
        <v/>
      </c>
      <c r="S28" s="634"/>
      <c r="T28" s="634"/>
      <c r="U28" s="633"/>
      <c r="V28" s="336"/>
      <c r="W28" s="336"/>
      <c r="X28" s="336"/>
      <c r="Y28" s="336"/>
      <c r="Z28" s="336"/>
      <c r="AA28" s="336"/>
      <c r="AB28" s="336"/>
      <c r="AC28" s="336"/>
      <c r="AD28" s="336"/>
      <c r="AE28" s="336"/>
      <c r="AF28" s="336"/>
      <c r="AG28" s="336"/>
      <c r="AH28" s="336"/>
      <c r="AI28" s="336"/>
      <c r="AJ28" s="336"/>
      <c r="AK28" s="336"/>
      <c r="AL28" s="336"/>
      <c r="AM28" s="336"/>
      <c r="AN28" s="336"/>
      <c r="AO28" s="336"/>
      <c r="AP28" s="336"/>
      <c r="AQ28" s="336"/>
      <c r="AR28" s="336"/>
      <c r="AS28" s="336"/>
      <c r="AT28" s="336"/>
      <c r="AU28" s="336"/>
      <c r="AV28" s="336"/>
      <c r="AW28" s="336"/>
      <c r="AX28" s="336"/>
      <c r="AY28" s="336"/>
      <c r="AZ28" s="336"/>
      <c r="BA28" s="632"/>
      <c r="BB28" s="632"/>
      <c r="BC28" s="632"/>
      <c r="BD28" s="632"/>
      <c r="BE28" s="632"/>
      <c r="BF28" s="632"/>
      <c r="BG28" s="632"/>
      <c r="BH28" s="632"/>
      <c r="BI28" s="632"/>
      <c r="BJ28" s="632"/>
      <c r="BK28" s="632"/>
      <c r="BL28" s="632"/>
      <c r="BM28" s="632"/>
      <c r="BN28" s="632"/>
      <c r="BO28" s="632"/>
      <c r="BP28" s="632"/>
      <c r="BQ28" s="632"/>
      <c r="BR28" s="632"/>
      <c r="BS28" s="632"/>
      <c r="BT28" s="632"/>
      <c r="BU28" s="632"/>
      <c r="BV28" s="632"/>
      <c r="BW28" s="632"/>
      <c r="BX28" s="632"/>
      <c r="BY28" s="632"/>
      <c r="BZ28" s="632"/>
      <c r="CA28" s="632"/>
      <c r="CB28" s="632"/>
      <c r="CC28" s="632"/>
      <c r="CD28" s="632"/>
      <c r="CE28" s="632"/>
      <c r="CF28" s="632"/>
      <c r="CG28" s="632"/>
      <c r="CH28" s="632"/>
      <c r="CI28" s="632"/>
      <c r="CJ28" s="632"/>
      <c r="CK28" s="632"/>
      <c r="CL28" s="632"/>
      <c r="CM28" s="632"/>
      <c r="CN28" s="631"/>
    </row>
    <row r="29" spans="2:92" ht="15.75" x14ac:dyDescent="0.25">
      <c r="B29" s="610"/>
      <c r="C29" s="336"/>
      <c r="D29" s="611"/>
      <c r="E29" s="612"/>
      <c r="F29" s="612"/>
      <c r="G29" s="612"/>
      <c r="H29" s="618">
        <f>'I. Stream &amp; Compound Data'!C56</f>
        <v>25</v>
      </c>
      <c r="I29" s="704" t="str">
        <f>IF('I. Stream &amp; Compound Data'!G286&lt;&gt;"",'I. Stream &amp; Compound Data'!G286,"")</f>
        <v/>
      </c>
      <c r="J29" s="703" t="str">
        <f>IF('I. Stream &amp; Compound Data'!V286&lt;&gt;"",'I. Stream &amp; Compound Data'!V286,"")</f>
        <v/>
      </c>
      <c r="K29" s="703" t="str">
        <f>IF('I. Stream &amp; Compound Data'!U286&lt;&gt;"",'I. Stream &amp; Compound Data'!U286,"")</f>
        <v/>
      </c>
      <c r="L29" s="619" t="str">
        <f>IF(H29&gt;'I. Stream &amp; Compound Data'!$F$18,"",IF(J29="","N/A",IF(J29=0,0,1)))</f>
        <v/>
      </c>
      <c r="M29" s="620" t="str">
        <f>IF(H29&gt;'I. Stream &amp; Compound Data'!$F$18,"",IF(L29=0,K29,0))</f>
        <v/>
      </c>
      <c r="N29" s="621" t="str">
        <f>IF(H29&gt;'I. Stream &amp; Compound Data'!$F$18,"",IF(L29&lt;&gt;0,L29,M29))</f>
        <v/>
      </c>
      <c r="O29" s="621" t="str">
        <f>IF(H29&gt;'I. Stream &amp; Compound Data'!$F$18,"",N29)</f>
        <v/>
      </c>
      <c r="P29" s="621" t="str">
        <f>'I. Stream &amp; Compound Data'!P286</f>
        <v/>
      </c>
      <c r="Q29" s="702" t="str">
        <f t="shared" si="0"/>
        <v/>
      </c>
      <c r="R29" s="622" t="str">
        <f>IF(P29="","",IF(OR('I. Stream &amp; Compound Data'!U286=1,'I. Stream &amp; Compound Data'!W286=1),'Solid Estimation'!P29,0))</f>
        <v/>
      </c>
      <c r="S29" s="634"/>
      <c r="T29" s="634"/>
      <c r="U29" s="633"/>
      <c r="V29" s="336"/>
      <c r="W29" s="336"/>
      <c r="X29" s="336"/>
      <c r="Y29" s="336"/>
      <c r="Z29" s="336"/>
      <c r="AA29" s="336"/>
      <c r="AB29" s="336"/>
      <c r="AC29" s="336"/>
      <c r="AD29" s="336"/>
      <c r="AE29" s="336"/>
      <c r="AF29" s="336"/>
      <c r="AG29" s="336"/>
      <c r="AH29" s="336"/>
      <c r="AI29" s="336"/>
      <c r="AJ29" s="336"/>
      <c r="AK29" s="336"/>
      <c r="AL29" s="336"/>
      <c r="AM29" s="336"/>
      <c r="AN29" s="336"/>
      <c r="AO29" s="336"/>
      <c r="AP29" s="336"/>
      <c r="AQ29" s="336"/>
      <c r="AR29" s="336"/>
      <c r="AS29" s="336"/>
      <c r="AT29" s="336"/>
      <c r="AU29" s="336"/>
      <c r="AV29" s="336"/>
      <c r="AW29" s="336"/>
      <c r="AX29" s="336"/>
      <c r="AY29" s="336"/>
      <c r="AZ29" s="336"/>
      <c r="BA29" s="632"/>
      <c r="BB29" s="632"/>
      <c r="BC29" s="632"/>
      <c r="BD29" s="632"/>
      <c r="BE29" s="632"/>
      <c r="BF29" s="632"/>
      <c r="BG29" s="632"/>
      <c r="BH29" s="632"/>
      <c r="BI29" s="632"/>
      <c r="BJ29" s="632"/>
      <c r="BK29" s="632"/>
      <c r="BL29" s="632"/>
      <c r="BM29" s="632"/>
      <c r="BN29" s="632"/>
      <c r="BO29" s="632"/>
      <c r="BP29" s="632"/>
      <c r="BQ29" s="632"/>
      <c r="BR29" s="632"/>
      <c r="BS29" s="632"/>
      <c r="BT29" s="632"/>
      <c r="BU29" s="632"/>
      <c r="BV29" s="632"/>
      <c r="BW29" s="632"/>
      <c r="BX29" s="632"/>
      <c r="BY29" s="632"/>
      <c r="BZ29" s="632"/>
      <c r="CA29" s="632"/>
      <c r="CB29" s="632"/>
      <c r="CC29" s="632"/>
      <c r="CD29" s="632"/>
      <c r="CE29" s="632"/>
      <c r="CF29" s="632"/>
      <c r="CG29" s="632"/>
      <c r="CH29" s="632"/>
      <c r="CI29" s="632"/>
      <c r="CJ29" s="632"/>
      <c r="CK29" s="632"/>
      <c r="CL29" s="632"/>
      <c r="CM29" s="632"/>
      <c r="CN29" s="631"/>
    </row>
    <row r="30" spans="2:92" ht="15.75" x14ac:dyDescent="0.25">
      <c r="B30" s="610"/>
      <c r="C30" s="336"/>
      <c r="D30" s="611"/>
      <c r="E30" s="612"/>
      <c r="F30" s="612"/>
      <c r="G30" s="612"/>
      <c r="H30" s="618">
        <f>'I. Stream &amp; Compound Data'!C57</f>
        <v>26</v>
      </c>
      <c r="I30" s="704" t="str">
        <f>IF('I. Stream &amp; Compound Data'!G287&lt;&gt;"",'I. Stream &amp; Compound Data'!G287,"")</f>
        <v/>
      </c>
      <c r="J30" s="703" t="str">
        <f>IF('I. Stream &amp; Compound Data'!V287&lt;&gt;"",'I. Stream &amp; Compound Data'!V287,"")</f>
        <v/>
      </c>
      <c r="K30" s="703" t="str">
        <f>IF('I. Stream &amp; Compound Data'!U287&lt;&gt;"",'I. Stream &amp; Compound Data'!U287,"")</f>
        <v/>
      </c>
      <c r="L30" s="619" t="str">
        <f>IF(H30&gt;'I. Stream &amp; Compound Data'!$F$18,"",IF(J30="","N/A",IF(J30=0,0,1)))</f>
        <v/>
      </c>
      <c r="M30" s="620" t="str">
        <f>IF(H30&gt;'I. Stream &amp; Compound Data'!$F$18,"",IF(L30=0,K30,0))</f>
        <v/>
      </c>
      <c r="N30" s="621" t="str">
        <f>IF(H30&gt;'I. Stream &amp; Compound Data'!$F$18,"",IF(L30&lt;&gt;0,L30,M30))</f>
        <v/>
      </c>
      <c r="O30" s="621" t="str">
        <f>IF(H30&gt;'I. Stream &amp; Compound Data'!$F$18,"",N30)</f>
        <v/>
      </c>
      <c r="P30" s="621" t="str">
        <f>'I. Stream &amp; Compound Data'!P287</f>
        <v/>
      </c>
      <c r="Q30" s="702" t="str">
        <f t="shared" si="0"/>
        <v/>
      </c>
      <c r="R30" s="622" t="str">
        <f>IF(P30="","",IF(OR('I. Stream &amp; Compound Data'!U287=1,'I. Stream &amp; Compound Data'!W287=1),'Solid Estimation'!P30,0))</f>
        <v/>
      </c>
      <c r="S30" s="634"/>
      <c r="T30" s="634"/>
      <c r="U30" s="633"/>
      <c r="V30" s="336"/>
      <c r="W30" s="336"/>
      <c r="X30" s="336"/>
      <c r="Y30" s="336"/>
      <c r="Z30" s="336"/>
      <c r="AA30" s="336"/>
      <c r="AB30" s="336"/>
      <c r="AC30" s="336"/>
      <c r="AD30" s="336"/>
      <c r="AE30" s="336"/>
      <c r="AF30" s="336"/>
      <c r="AG30" s="336"/>
      <c r="AH30" s="336"/>
      <c r="AI30" s="336"/>
      <c r="AJ30" s="336"/>
      <c r="AK30" s="336"/>
      <c r="AL30" s="336"/>
      <c r="AM30" s="336"/>
      <c r="AN30" s="336"/>
      <c r="AO30" s="336"/>
      <c r="AP30" s="336"/>
      <c r="AQ30" s="336"/>
      <c r="AR30" s="336"/>
      <c r="AS30" s="336"/>
      <c r="AT30" s="336"/>
      <c r="AU30" s="336"/>
      <c r="AV30" s="336"/>
      <c r="AW30" s="336"/>
      <c r="AX30" s="336"/>
      <c r="AY30" s="336"/>
      <c r="AZ30" s="336"/>
      <c r="BA30" s="632"/>
      <c r="BB30" s="632"/>
      <c r="BC30" s="632"/>
      <c r="BD30" s="632"/>
      <c r="BE30" s="632"/>
      <c r="BF30" s="632"/>
      <c r="BG30" s="632"/>
      <c r="BH30" s="632"/>
      <c r="BI30" s="632"/>
      <c r="BJ30" s="632"/>
      <c r="BK30" s="632"/>
      <c r="BL30" s="632"/>
      <c r="BM30" s="632"/>
      <c r="BN30" s="632"/>
      <c r="BO30" s="632"/>
      <c r="BP30" s="632"/>
      <c r="BQ30" s="632"/>
      <c r="BR30" s="632"/>
      <c r="BS30" s="632"/>
      <c r="BT30" s="632"/>
      <c r="BU30" s="632"/>
      <c r="BV30" s="632"/>
      <c r="BW30" s="632"/>
      <c r="BX30" s="632"/>
      <c r="BY30" s="632"/>
      <c r="BZ30" s="632"/>
      <c r="CA30" s="632"/>
      <c r="CB30" s="632"/>
      <c r="CC30" s="632"/>
      <c r="CD30" s="632"/>
      <c r="CE30" s="632"/>
      <c r="CF30" s="632"/>
      <c r="CG30" s="632"/>
      <c r="CH30" s="632"/>
      <c r="CI30" s="632"/>
      <c r="CJ30" s="632"/>
      <c r="CK30" s="632"/>
      <c r="CL30" s="632"/>
      <c r="CM30" s="632"/>
      <c r="CN30" s="631"/>
    </row>
    <row r="31" spans="2:92" ht="15.75" x14ac:dyDescent="0.25">
      <c r="B31" s="610"/>
      <c r="C31" s="336"/>
      <c r="D31" s="611"/>
      <c r="E31" s="612"/>
      <c r="F31" s="612"/>
      <c r="G31" s="612"/>
      <c r="H31" s="618">
        <f>'I. Stream &amp; Compound Data'!C58</f>
        <v>27</v>
      </c>
      <c r="I31" s="704" t="str">
        <f>IF('I. Stream &amp; Compound Data'!G288&lt;&gt;"",'I. Stream &amp; Compound Data'!G288,"")</f>
        <v/>
      </c>
      <c r="J31" s="703" t="str">
        <f>IF('I. Stream &amp; Compound Data'!V288&lt;&gt;"",'I. Stream &amp; Compound Data'!V288,"")</f>
        <v/>
      </c>
      <c r="K31" s="703" t="str">
        <f>IF('I. Stream &amp; Compound Data'!U288&lt;&gt;"",'I. Stream &amp; Compound Data'!U288,"")</f>
        <v/>
      </c>
      <c r="L31" s="619" t="str">
        <f>IF(H31&gt;'I. Stream &amp; Compound Data'!$F$18,"",IF(J31="","N/A",IF(J31=0,0,1)))</f>
        <v/>
      </c>
      <c r="M31" s="620" t="str">
        <f>IF(H31&gt;'I. Stream &amp; Compound Data'!$F$18,"",IF(L31=0,K31,0))</f>
        <v/>
      </c>
      <c r="N31" s="621" t="str">
        <f>IF(H31&gt;'I. Stream &amp; Compound Data'!$F$18,"",IF(L31&lt;&gt;0,L31,M31))</f>
        <v/>
      </c>
      <c r="O31" s="621" t="str">
        <f>IF(H31&gt;'I. Stream &amp; Compound Data'!$F$18,"",N31)</f>
        <v/>
      </c>
      <c r="P31" s="621" t="str">
        <f>'I. Stream &amp; Compound Data'!P288</f>
        <v/>
      </c>
      <c r="Q31" s="702" t="str">
        <f t="shared" si="0"/>
        <v/>
      </c>
      <c r="R31" s="622" t="str">
        <f>IF(P31="","",IF(OR('I. Stream &amp; Compound Data'!U288=1,'I. Stream &amp; Compound Data'!W288=1),'Solid Estimation'!P31,0))</f>
        <v/>
      </c>
      <c r="S31" s="634"/>
      <c r="T31" s="634"/>
      <c r="U31" s="633"/>
      <c r="V31" s="336"/>
      <c r="W31" s="336"/>
      <c r="X31" s="336"/>
      <c r="Y31" s="336"/>
      <c r="Z31" s="336"/>
      <c r="AA31" s="336"/>
      <c r="AB31" s="336"/>
      <c r="AC31" s="336"/>
      <c r="AD31" s="336"/>
      <c r="AE31" s="336"/>
      <c r="AF31" s="336"/>
      <c r="AG31" s="336"/>
      <c r="AH31" s="336"/>
      <c r="AI31" s="336"/>
      <c r="AJ31" s="336"/>
      <c r="AK31" s="336"/>
      <c r="AL31" s="336"/>
      <c r="AM31" s="336"/>
      <c r="AN31" s="336"/>
      <c r="AO31" s="336"/>
      <c r="AP31" s="336"/>
      <c r="AQ31" s="336"/>
      <c r="AR31" s="336"/>
      <c r="AS31" s="336"/>
      <c r="AT31" s="336"/>
      <c r="AU31" s="336"/>
      <c r="AV31" s="336"/>
      <c r="AW31" s="336"/>
      <c r="AX31" s="336"/>
      <c r="AY31" s="336"/>
      <c r="AZ31" s="336"/>
      <c r="BA31" s="632"/>
      <c r="BB31" s="632"/>
      <c r="BC31" s="632"/>
      <c r="BD31" s="632"/>
      <c r="BE31" s="632"/>
      <c r="BF31" s="632"/>
      <c r="BG31" s="632"/>
      <c r="BH31" s="632"/>
      <c r="BI31" s="632"/>
      <c r="BJ31" s="632"/>
      <c r="BK31" s="632"/>
      <c r="BL31" s="632"/>
      <c r="BM31" s="632"/>
      <c r="BN31" s="632"/>
      <c r="BO31" s="632"/>
      <c r="BP31" s="632"/>
      <c r="BQ31" s="632"/>
      <c r="BR31" s="632"/>
      <c r="BS31" s="632"/>
      <c r="BT31" s="632"/>
      <c r="BU31" s="632"/>
      <c r="BV31" s="632"/>
      <c r="BW31" s="632"/>
      <c r="BX31" s="632"/>
      <c r="BY31" s="632"/>
      <c r="BZ31" s="632"/>
      <c r="CA31" s="632"/>
      <c r="CB31" s="632"/>
      <c r="CC31" s="632"/>
      <c r="CD31" s="632"/>
      <c r="CE31" s="632"/>
      <c r="CF31" s="632"/>
      <c r="CG31" s="632"/>
      <c r="CH31" s="632"/>
      <c r="CI31" s="632"/>
      <c r="CJ31" s="632"/>
      <c r="CK31" s="632"/>
      <c r="CL31" s="632"/>
      <c r="CM31" s="632"/>
      <c r="CN31" s="631"/>
    </row>
    <row r="32" spans="2:92" ht="15.75" x14ac:dyDescent="0.25">
      <c r="B32" s="610"/>
      <c r="C32" s="336"/>
      <c r="D32" s="611"/>
      <c r="E32" s="612"/>
      <c r="F32" s="612"/>
      <c r="G32" s="612"/>
      <c r="H32" s="618">
        <f>'I. Stream &amp; Compound Data'!C59</f>
        <v>28</v>
      </c>
      <c r="I32" s="704" t="str">
        <f>IF('I. Stream &amp; Compound Data'!G289&lt;&gt;"",'I. Stream &amp; Compound Data'!G289,"")</f>
        <v/>
      </c>
      <c r="J32" s="703" t="str">
        <f>IF('I. Stream &amp; Compound Data'!V289&lt;&gt;"",'I. Stream &amp; Compound Data'!V289,"")</f>
        <v/>
      </c>
      <c r="K32" s="703" t="str">
        <f>IF('I. Stream &amp; Compound Data'!U289&lt;&gt;"",'I. Stream &amp; Compound Data'!U289,"")</f>
        <v/>
      </c>
      <c r="L32" s="619" t="str">
        <f>IF(H32&gt;'I. Stream &amp; Compound Data'!$F$18,"",IF(J32="","N/A",IF(J32=0,0,1)))</f>
        <v/>
      </c>
      <c r="M32" s="620" t="str">
        <f>IF(H32&gt;'I. Stream &amp; Compound Data'!$F$18,"",IF(L32=0,K32,0))</f>
        <v/>
      </c>
      <c r="N32" s="621" t="str">
        <f>IF(H32&gt;'I. Stream &amp; Compound Data'!$F$18,"",IF(L32&lt;&gt;0,L32,M32))</f>
        <v/>
      </c>
      <c r="O32" s="621" t="str">
        <f>IF(H32&gt;'I. Stream &amp; Compound Data'!$F$18,"",N32)</f>
        <v/>
      </c>
      <c r="P32" s="621" t="str">
        <f>'I. Stream &amp; Compound Data'!P289</f>
        <v/>
      </c>
      <c r="Q32" s="702" t="str">
        <f t="shared" si="0"/>
        <v/>
      </c>
      <c r="R32" s="622" t="str">
        <f>IF(P32="","",IF(OR('I. Stream &amp; Compound Data'!U289=1,'I. Stream &amp; Compound Data'!W289=1),'Solid Estimation'!P32,0))</f>
        <v/>
      </c>
      <c r="S32" s="634"/>
      <c r="T32" s="634"/>
      <c r="U32" s="633"/>
      <c r="V32" s="336"/>
      <c r="W32" s="336"/>
      <c r="X32" s="336"/>
      <c r="Y32" s="336"/>
      <c r="Z32" s="336"/>
      <c r="AA32" s="336"/>
      <c r="AB32" s="336"/>
      <c r="AC32" s="336"/>
      <c r="AD32" s="336"/>
      <c r="AE32" s="336"/>
      <c r="AF32" s="336"/>
      <c r="AG32" s="336"/>
      <c r="AH32" s="336"/>
      <c r="AI32" s="336"/>
      <c r="AJ32" s="336"/>
      <c r="AK32" s="336"/>
      <c r="AL32" s="336"/>
      <c r="AM32" s="336"/>
      <c r="AN32" s="336"/>
      <c r="AO32" s="336"/>
      <c r="AP32" s="336"/>
      <c r="AQ32" s="336"/>
      <c r="AR32" s="336"/>
      <c r="AS32" s="336"/>
      <c r="AT32" s="336"/>
      <c r="AU32" s="336"/>
      <c r="AV32" s="336"/>
      <c r="AW32" s="336"/>
      <c r="AX32" s="336"/>
      <c r="AY32" s="336"/>
      <c r="AZ32" s="336"/>
      <c r="BA32" s="632"/>
      <c r="BB32" s="632"/>
      <c r="BC32" s="632"/>
      <c r="BD32" s="632"/>
      <c r="BE32" s="632"/>
      <c r="BF32" s="632"/>
      <c r="BG32" s="632"/>
      <c r="BH32" s="632"/>
      <c r="BI32" s="632"/>
      <c r="BJ32" s="632"/>
      <c r="BK32" s="632"/>
      <c r="BL32" s="632"/>
      <c r="BM32" s="632"/>
      <c r="BN32" s="632"/>
      <c r="BO32" s="632"/>
      <c r="BP32" s="632"/>
      <c r="BQ32" s="632"/>
      <c r="BR32" s="632"/>
      <c r="BS32" s="632"/>
      <c r="BT32" s="632"/>
      <c r="BU32" s="632"/>
      <c r="BV32" s="632"/>
      <c r="BW32" s="632"/>
      <c r="BX32" s="632"/>
      <c r="BY32" s="632"/>
      <c r="BZ32" s="632"/>
      <c r="CA32" s="632"/>
      <c r="CB32" s="632"/>
      <c r="CC32" s="632"/>
      <c r="CD32" s="632"/>
      <c r="CE32" s="632"/>
      <c r="CF32" s="632"/>
      <c r="CG32" s="632"/>
      <c r="CH32" s="632"/>
      <c r="CI32" s="632"/>
      <c r="CJ32" s="632"/>
      <c r="CK32" s="632"/>
      <c r="CL32" s="632"/>
      <c r="CM32" s="632"/>
      <c r="CN32" s="631"/>
    </row>
    <row r="33" spans="2:92" ht="15.75" x14ac:dyDescent="0.25">
      <c r="B33" s="610"/>
      <c r="C33" s="336"/>
      <c r="D33" s="611"/>
      <c r="E33" s="612"/>
      <c r="F33" s="612"/>
      <c r="G33" s="612"/>
      <c r="H33" s="618">
        <f>'I. Stream &amp; Compound Data'!C60</f>
        <v>29</v>
      </c>
      <c r="I33" s="704" t="str">
        <f>IF('I. Stream &amp; Compound Data'!G290&lt;&gt;"",'I. Stream &amp; Compound Data'!G290,"")</f>
        <v/>
      </c>
      <c r="J33" s="703" t="str">
        <f>IF('I. Stream &amp; Compound Data'!V290&lt;&gt;"",'I. Stream &amp; Compound Data'!V290,"")</f>
        <v/>
      </c>
      <c r="K33" s="703" t="str">
        <f>IF('I. Stream &amp; Compound Data'!U290&lt;&gt;"",'I. Stream &amp; Compound Data'!U290,"")</f>
        <v/>
      </c>
      <c r="L33" s="619" t="str">
        <f>IF(H33&gt;'I. Stream &amp; Compound Data'!$F$18,"",IF(J33="","N/A",IF(J33=0,0,1)))</f>
        <v/>
      </c>
      <c r="M33" s="620" t="str">
        <f>IF(H33&gt;'I. Stream &amp; Compound Data'!$F$18,"",IF(L33=0,K33,0))</f>
        <v/>
      </c>
      <c r="N33" s="621" t="str">
        <f>IF(H33&gt;'I. Stream &amp; Compound Data'!$F$18,"",IF(L33&lt;&gt;0,L33,M33))</f>
        <v/>
      </c>
      <c r="O33" s="621" t="str">
        <f>IF(H33&gt;'I. Stream &amp; Compound Data'!$F$18,"",N33)</f>
        <v/>
      </c>
      <c r="P33" s="621" t="str">
        <f>'I. Stream &amp; Compound Data'!P290</f>
        <v/>
      </c>
      <c r="Q33" s="702" t="str">
        <f t="shared" si="0"/>
        <v/>
      </c>
      <c r="R33" s="622" t="str">
        <f>IF(P33="","",IF(OR('I. Stream &amp; Compound Data'!U290=1,'I. Stream &amp; Compound Data'!W290=1),'Solid Estimation'!P33,0))</f>
        <v/>
      </c>
      <c r="S33" s="634"/>
      <c r="T33" s="634"/>
      <c r="U33" s="633"/>
      <c r="V33" s="336"/>
      <c r="W33" s="336"/>
      <c r="X33" s="336"/>
      <c r="Y33" s="336"/>
      <c r="Z33" s="336"/>
      <c r="AA33" s="336"/>
      <c r="AB33" s="336"/>
      <c r="AC33" s="336"/>
      <c r="AD33" s="336"/>
      <c r="AE33" s="336"/>
      <c r="AF33" s="336"/>
      <c r="AG33" s="336"/>
      <c r="AH33" s="336"/>
      <c r="AI33" s="336"/>
      <c r="AJ33" s="336"/>
      <c r="AK33" s="336"/>
      <c r="AL33" s="336"/>
      <c r="AM33" s="336"/>
      <c r="AN33" s="336"/>
      <c r="AO33" s="336"/>
      <c r="AP33" s="336"/>
      <c r="AQ33" s="336"/>
      <c r="AR33" s="336"/>
      <c r="AS33" s="336"/>
      <c r="AT33" s="336"/>
      <c r="AU33" s="336"/>
      <c r="AV33" s="336"/>
      <c r="AW33" s="336"/>
      <c r="AX33" s="336"/>
      <c r="AY33" s="336"/>
      <c r="AZ33" s="336"/>
      <c r="BA33" s="632"/>
      <c r="BB33" s="632"/>
      <c r="BC33" s="632"/>
      <c r="BD33" s="632"/>
      <c r="BE33" s="632"/>
      <c r="BF33" s="632"/>
      <c r="BG33" s="632"/>
      <c r="BH33" s="632"/>
      <c r="BI33" s="632"/>
      <c r="BJ33" s="632"/>
      <c r="BK33" s="632"/>
      <c r="BL33" s="632"/>
      <c r="BM33" s="632"/>
      <c r="BN33" s="632"/>
      <c r="BO33" s="632"/>
      <c r="BP33" s="632"/>
      <c r="BQ33" s="632"/>
      <c r="BR33" s="632"/>
      <c r="BS33" s="632"/>
      <c r="BT33" s="632"/>
      <c r="BU33" s="632"/>
      <c r="BV33" s="632"/>
      <c r="BW33" s="632"/>
      <c r="BX33" s="632"/>
      <c r="BY33" s="632"/>
      <c r="BZ33" s="632"/>
      <c r="CA33" s="632"/>
      <c r="CB33" s="632"/>
      <c r="CC33" s="632"/>
      <c r="CD33" s="632"/>
      <c r="CE33" s="632"/>
      <c r="CF33" s="632"/>
      <c r="CG33" s="632"/>
      <c r="CH33" s="632"/>
      <c r="CI33" s="632"/>
      <c r="CJ33" s="632"/>
      <c r="CK33" s="632"/>
      <c r="CL33" s="632"/>
      <c r="CM33" s="632"/>
      <c r="CN33" s="631"/>
    </row>
    <row r="34" spans="2:92" ht="15.75" x14ac:dyDescent="0.25">
      <c r="B34" s="610"/>
      <c r="C34" s="336"/>
      <c r="D34" s="611"/>
      <c r="E34" s="612"/>
      <c r="F34" s="612"/>
      <c r="G34" s="612"/>
      <c r="H34" s="618">
        <f>'I. Stream &amp; Compound Data'!C61</f>
        <v>30</v>
      </c>
      <c r="I34" s="704" t="str">
        <f>IF('I. Stream &amp; Compound Data'!G291&lt;&gt;"",'I. Stream &amp; Compound Data'!G291,"")</f>
        <v/>
      </c>
      <c r="J34" s="703" t="str">
        <f>IF('I. Stream &amp; Compound Data'!V291&lt;&gt;"",'I. Stream &amp; Compound Data'!V291,"")</f>
        <v/>
      </c>
      <c r="K34" s="703" t="str">
        <f>IF('I. Stream &amp; Compound Data'!U291&lt;&gt;"",'I. Stream &amp; Compound Data'!U291,"")</f>
        <v/>
      </c>
      <c r="L34" s="619" t="str">
        <f>IF(H34&gt;'I. Stream &amp; Compound Data'!$F$18,"",IF(J34="","N/A",IF(J34=0,0,1)))</f>
        <v/>
      </c>
      <c r="M34" s="620" t="str">
        <f>IF(H34&gt;'I. Stream &amp; Compound Data'!$F$18,"",IF(L34=0,K34,0))</f>
        <v/>
      </c>
      <c r="N34" s="621" t="str">
        <f>IF(H34&gt;'I. Stream &amp; Compound Data'!$F$18,"",IF(L34&lt;&gt;0,L34,M34))</f>
        <v/>
      </c>
      <c r="O34" s="621" t="str">
        <f>IF(H34&gt;'I. Stream &amp; Compound Data'!$F$18,"",N34)</f>
        <v/>
      </c>
      <c r="P34" s="621" t="str">
        <f>'I. Stream &amp; Compound Data'!P291</f>
        <v/>
      </c>
      <c r="Q34" s="702" t="str">
        <f t="shared" si="0"/>
        <v/>
      </c>
      <c r="R34" s="622" t="str">
        <f>IF(P34="","",IF(OR('I. Stream &amp; Compound Data'!U291=1,'I. Stream &amp; Compound Data'!W291=1),'Solid Estimation'!P34,0))</f>
        <v/>
      </c>
      <c r="S34" s="634"/>
      <c r="T34" s="634"/>
      <c r="U34" s="633"/>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c r="AS34" s="336"/>
      <c r="AT34" s="336"/>
      <c r="AU34" s="336"/>
      <c r="AV34" s="336"/>
      <c r="AW34" s="336"/>
      <c r="AX34" s="336"/>
      <c r="AY34" s="336"/>
      <c r="AZ34" s="336"/>
      <c r="BA34" s="632"/>
      <c r="BB34" s="632"/>
      <c r="BC34" s="632"/>
      <c r="BD34" s="632"/>
      <c r="BE34" s="632"/>
      <c r="BF34" s="632"/>
      <c r="BG34" s="632"/>
      <c r="BH34" s="632"/>
      <c r="BI34" s="632"/>
      <c r="BJ34" s="632"/>
      <c r="BK34" s="632"/>
      <c r="BL34" s="632"/>
      <c r="BM34" s="632"/>
      <c r="BN34" s="632"/>
      <c r="BO34" s="632"/>
      <c r="BP34" s="632"/>
      <c r="BQ34" s="632"/>
      <c r="BR34" s="632"/>
      <c r="BS34" s="632"/>
      <c r="BT34" s="632"/>
      <c r="BU34" s="632"/>
      <c r="BV34" s="632"/>
      <c r="BW34" s="632"/>
      <c r="BX34" s="632"/>
      <c r="BY34" s="632"/>
      <c r="BZ34" s="632"/>
      <c r="CA34" s="632"/>
      <c r="CB34" s="632"/>
      <c r="CC34" s="632"/>
      <c r="CD34" s="632"/>
      <c r="CE34" s="632"/>
      <c r="CF34" s="632"/>
      <c r="CG34" s="632"/>
      <c r="CH34" s="632"/>
      <c r="CI34" s="632"/>
      <c r="CJ34" s="632"/>
      <c r="CK34" s="632"/>
      <c r="CL34" s="632"/>
      <c r="CM34" s="632"/>
      <c r="CN34" s="631"/>
    </row>
    <row r="35" spans="2:92" ht="15.75" x14ac:dyDescent="0.25">
      <c r="B35" s="610"/>
      <c r="C35" s="336"/>
      <c r="D35" s="611"/>
      <c r="E35" s="612"/>
      <c r="F35" s="612"/>
      <c r="G35" s="612"/>
      <c r="H35" s="618">
        <f>'I. Stream &amp; Compound Data'!C62</f>
        <v>31</v>
      </c>
      <c r="I35" s="704" t="str">
        <f>IF('I. Stream &amp; Compound Data'!G292&lt;&gt;"",'I. Stream &amp; Compound Data'!G292,"")</f>
        <v/>
      </c>
      <c r="J35" s="703" t="str">
        <f>IF('I. Stream &amp; Compound Data'!V292&lt;&gt;"",'I. Stream &amp; Compound Data'!V292,"")</f>
        <v/>
      </c>
      <c r="K35" s="703" t="str">
        <f>IF('I. Stream &amp; Compound Data'!U292&lt;&gt;"",'I. Stream &amp; Compound Data'!U292,"")</f>
        <v/>
      </c>
      <c r="L35" s="619" t="str">
        <f>IF(H35&gt;'I. Stream &amp; Compound Data'!$F$18,"",IF(J35="","N/A",IF(J35=0,0,1)))</f>
        <v/>
      </c>
      <c r="M35" s="620" t="str">
        <f>IF(H35&gt;'I. Stream &amp; Compound Data'!$F$18,"",IF(L35=0,K35,0))</f>
        <v/>
      </c>
      <c r="N35" s="621" t="str">
        <f>IF(H35&gt;'I. Stream &amp; Compound Data'!$F$18,"",IF(L35&lt;&gt;0,L35,M35))</f>
        <v/>
      </c>
      <c r="O35" s="621" t="str">
        <f>IF(H35&gt;'I. Stream &amp; Compound Data'!$F$18,"",N35)</f>
        <v/>
      </c>
      <c r="P35" s="621" t="str">
        <f>'I. Stream &amp; Compound Data'!P292</f>
        <v/>
      </c>
      <c r="Q35" s="702" t="str">
        <f t="shared" si="0"/>
        <v/>
      </c>
      <c r="R35" s="622" t="str">
        <f>IF(P35="","",IF(OR('I. Stream &amp; Compound Data'!U292=1,'I. Stream &amp; Compound Data'!W292=1),'Solid Estimation'!P35,0))</f>
        <v/>
      </c>
      <c r="S35" s="634"/>
      <c r="T35" s="634"/>
      <c r="U35" s="633"/>
      <c r="V35" s="336"/>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c r="AS35" s="336"/>
      <c r="AT35" s="336"/>
      <c r="AU35" s="336"/>
      <c r="AV35" s="336"/>
      <c r="AW35" s="336"/>
      <c r="AX35" s="336"/>
      <c r="AY35" s="336"/>
      <c r="AZ35" s="336"/>
      <c r="BA35" s="632"/>
      <c r="BB35" s="632"/>
      <c r="BC35" s="632"/>
      <c r="BD35" s="632"/>
      <c r="BE35" s="632"/>
      <c r="BF35" s="632"/>
      <c r="BG35" s="632"/>
      <c r="BH35" s="632"/>
      <c r="BI35" s="632"/>
      <c r="BJ35" s="632"/>
      <c r="BK35" s="632"/>
      <c r="BL35" s="632"/>
      <c r="BM35" s="632"/>
      <c r="BN35" s="632"/>
      <c r="BO35" s="632"/>
      <c r="BP35" s="632"/>
      <c r="BQ35" s="632"/>
      <c r="BR35" s="632"/>
      <c r="BS35" s="632"/>
      <c r="BT35" s="632"/>
      <c r="BU35" s="632"/>
      <c r="BV35" s="632"/>
      <c r="BW35" s="632"/>
      <c r="BX35" s="632"/>
      <c r="BY35" s="632"/>
      <c r="BZ35" s="632"/>
      <c r="CA35" s="632"/>
      <c r="CB35" s="632"/>
      <c r="CC35" s="632"/>
      <c r="CD35" s="632"/>
      <c r="CE35" s="632"/>
      <c r="CF35" s="632"/>
      <c r="CG35" s="632"/>
      <c r="CH35" s="632"/>
      <c r="CI35" s="632"/>
      <c r="CJ35" s="632"/>
      <c r="CK35" s="632"/>
      <c r="CL35" s="632"/>
      <c r="CM35" s="632"/>
      <c r="CN35" s="631"/>
    </row>
    <row r="36" spans="2:92" ht="15.75" x14ac:dyDescent="0.25">
      <c r="B36" s="610"/>
      <c r="C36" s="336"/>
      <c r="D36" s="611"/>
      <c r="E36" s="612"/>
      <c r="F36" s="612"/>
      <c r="G36" s="612"/>
      <c r="H36" s="618">
        <f>'I. Stream &amp; Compound Data'!C63</f>
        <v>32</v>
      </c>
      <c r="I36" s="704" t="str">
        <f>IF('I. Stream &amp; Compound Data'!G293&lt;&gt;"",'I. Stream &amp; Compound Data'!G293,"")</f>
        <v/>
      </c>
      <c r="J36" s="703" t="str">
        <f>IF('I. Stream &amp; Compound Data'!V293&lt;&gt;"",'I. Stream &amp; Compound Data'!V293,"")</f>
        <v/>
      </c>
      <c r="K36" s="703" t="str">
        <f>IF('I. Stream &amp; Compound Data'!U293&lt;&gt;"",'I. Stream &amp; Compound Data'!U293,"")</f>
        <v/>
      </c>
      <c r="L36" s="619" t="str">
        <f>IF(H36&gt;'I. Stream &amp; Compound Data'!$F$18,"",IF(J36="","N/A",IF(J36=0,0,1)))</f>
        <v/>
      </c>
      <c r="M36" s="620" t="str">
        <f>IF(H36&gt;'I. Stream &amp; Compound Data'!$F$18,"",IF(L36=0,K36,0))</f>
        <v/>
      </c>
      <c r="N36" s="621" t="str">
        <f>IF(H36&gt;'I. Stream &amp; Compound Data'!$F$18,"",IF(L36&lt;&gt;0,L36,M36))</f>
        <v/>
      </c>
      <c r="O36" s="621" t="str">
        <f>IF(H36&gt;'I. Stream &amp; Compound Data'!$F$18,"",N36)</f>
        <v/>
      </c>
      <c r="P36" s="621" t="str">
        <f>'I. Stream &amp; Compound Data'!P293</f>
        <v/>
      </c>
      <c r="Q36" s="702" t="str">
        <f t="shared" si="0"/>
        <v/>
      </c>
      <c r="R36" s="622" t="str">
        <f>IF(P36="","",IF(OR('I. Stream &amp; Compound Data'!U293=1,'I. Stream &amp; Compound Data'!W293=1),'Solid Estimation'!P36,0))</f>
        <v/>
      </c>
      <c r="S36" s="634"/>
      <c r="T36" s="634"/>
      <c r="U36" s="633"/>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c r="AS36" s="336"/>
      <c r="AT36" s="336"/>
      <c r="AU36" s="336"/>
      <c r="AV36" s="336"/>
      <c r="AW36" s="336"/>
      <c r="AX36" s="336"/>
      <c r="AY36" s="336"/>
      <c r="AZ36" s="336"/>
      <c r="BA36" s="632"/>
      <c r="BB36" s="632"/>
      <c r="BC36" s="632"/>
      <c r="BD36" s="632"/>
      <c r="BE36" s="632"/>
      <c r="BF36" s="632"/>
      <c r="BG36" s="632"/>
      <c r="BH36" s="632"/>
      <c r="BI36" s="632"/>
      <c r="BJ36" s="632"/>
      <c r="BK36" s="632"/>
      <c r="BL36" s="632"/>
      <c r="BM36" s="632"/>
      <c r="BN36" s="632"/>
      <c r="BO36" s="632"/>
      <c r="BP36" s="632"/>
      <c r="BQ36" s="632"/>
      <c r="BR36" s="632"/>
      <c r="BS36" s="632"/>
      <c r="BT36" s="632"/>
      <c r="BU36" s="632"/>
      <c r="BV36" s="632"/>
      <c r="BW36" s="632"/>
      <c r="BX36" s="632"/>
      <c r="BY36" s="632"/>
      <c r="BZ36" s="632"/>
      <c r="CA36" s="632"/>
      <c r="CB36" s="632"/>
      <c r="CC36" s="632"/>
      <c r="CD36" s="632"/>
      <c r="CE36" s="632"/>
      <c r="CF36" s="632"/>
      <c r="CG36" s="632"/>
      <c r="CH36" s="632"/>
      <c r="CI36" s="632"/>
      <c r="CJ36" s="632"/>
      <c r="CK36" s="632"/>
      <c r="CL36" s="632"/>
      <c r="CM36" s="632"/>
      <c r="CN36" s="631"/>
    </row>
    <row r="37" spans="2:92" ht="15.75" x14ac:dyDescent="0.25">
      <c r="B37" s="610"/>
      <c r="C37" s="336"/>
      <c r="D37" s="611"/>
      <c r="E37" s="612"/>
      <c r="F37" s="612"/>
      <c r="G37" s="612"/>
      <c r="H37" s="618">
        <f>'I. Stream &amp; Compound Data'!C64</f>
        <v>33</v>
      </c>
      <c r="I37" s="704" t="str">
        <f>IF('I. Stream &amp; Compound Data'!G294&lt;&gt;"",'I. Stream &amp; Compound Data'!G294,"")</f>
        <v/>
      </c>
      <c r="J37" s="703" t="str">
        <f>IF('I. Stream &amp; Compound Data'!V294&lt;&gt;"",'I. Stream &amp; Compound Data'!V294,"")</f>
        <v/>
      </c>
      <c r="K37" s="703" t="str">
        <f>IF('I. Stream &amp; Compound Data'!U294&lt;&gt;"",'I. Stream &amp; Compound Data'!U294,"")</f>
        <v/>
      </c>
      <c r="L37" s="619" t="str">
        <f>IF(H37&gt;'I. Stream &amp; Compound Data'!$F$18,"",IF(J37="","N/A",IF(J37=0,0,1)))</f>
        <v/>
      </c>
      <c r="M37" s="620" t="str">
        <f>IF(H37&gt;'I. Stream &amp; Compound Data'!$F$18,"",IF(L37=0,K37,0))</f>
        <v/>
      </c>
      <c r="N37" s="621" t="str">
        <f>IF(H37&gt;'I. Stream &amp; Compound Data'!$F$18,"",IF(L37&lt;&gt;0,L37,M37))</f>
        <v/>
      </c>
      <c r="O37" s="621" t="str">
        <f>IF(H37&gt;'I. Stream &amp; Compound Data'!$F$18,"",N37)</f>
        <v/>
      </c>
      <c r="P37" s="621" t="str">
        <f>'I. Stream &amp; Compound Data'!P294</f>
        <v/>
      </c>
      <c r="Q37" s="702" t="str">
        <f t="shared" ref="Q37:Q54" si="1">IF(P37="","",IF(N37&lt;&gt;0,P37*O37,0))</f>
        <v/>
      </c>
      <c r="R37" s="622" t="str">
        <f>IF(P37="","",IF(OR('I. Stream &amp; Compound Data'!U294=1,'I. Stream &amp; Compound Data'!W294=1),'Solid Estimation'!P37,0))</f>
        <v/>
      </c>
      <c r="S37" s="634"/>
      <c r="T37" s="634"/>
      <c r="U37" s="633"/>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c r="AS37" s="336"/>
      <c r="AT37" s="336"/>
      <c r="AU37" s="336"/>
      <c r="AV37" s="336"/>
      <c r="AW37" s="336"/>
      <c r="AX37" s="336"/>
      <c r="AY37" s="336"/>
      <c r="AZ37" s="336"/>
      <c r="BA37" s="632"/>
      <c r="BB37" s="632"/>
      <c r="BC37" s="632"/>
      <c r="BD37" s="632"/>
      <c r="BE37" s="632"/>
      <c r="BF37" s="632"/>
      <c r="BG37" s="632"/>
      <c r="BH37" s="632"/>
      <c r="BI37" s="632"/>
      <c r="BJ37" s="632"/>
      <c r="BK37" s="632"/>
      <c r="BL37" s="632"/>
      <c r="BM37" s="632"/>
      <c r="BN37" s="632"/>
      <c r="BO37" s="632"/>
      <c r="BP37" s="632"/>
      <c r="BQ37" s="632"/>
      <c r="BR37" s="632"/>
      <c r="BS37" s="632"/>
      <c r="BT37" s="632"/>
      <c r="BU37" s="632"/>
      <c r="BV37" s="632"/>
      <c r="BW37" s="632"/>
      <c r="BX37" s="632"/>
      <c r="BY37" s="632"/>
      <c r="BZ37" s="632"/>
      <c r="CA37" s="632"/>
      <c r="CB37" s="632"/>
      <c r="CC37" s="632"/>
      <c r="CD37" s="632"/>
      <c r="CE37" s="632"/>
      <c r="CF37" s="632"/>
      <c r="CG37" s="632"/>
      <c r="CH37" s="632"/>
      <c r="CI37" s="632"/>
      <c r="CJ37" s="632"/>
      <c r="CK37" s="632"/>
      <c r="CL37" s="632"/>
      <c r="CM37" s="632"/>
      <c r="CN37" s="631"/>
    </row>
    <row r="38" spans="2:92" ht="15.75" x14ac:dyDescent="0.25">
      <c r="B38" s="610"/>
      <c r="C38" s="336"/>
      <c r="D38" s="611"/>
      <c r="E38" s="612"/>
      <c r="F38" s="612"/>
      <c r="G38" s="612"/>
      <c r="H38" s="618">
        <f>'I. Stream &amp; Compound Data'!C65</f>
        <v>34</v>
      </c>
      <c r="I38" s="704" t="str">
        <f>IF('I. Stream &amp; Compound Data'!G295&lt;&gt;"",'I. Stream &amp; Compound Data'!G295,"")</f>
        <v/>
      </c>
      <c r="J38" s="703" t="str">
        <f>IF('I. Stream &amp; Compound Data'!V295&lt;&gt;"",'I. Stream &amp; Compound Data'!V295,"")</f>
        <v/>
      </c>
      <c r="K38" s="703" t="str">
        <f>IF('I. Stream &amp; Compound Data'!U295&lt;&gt;"",'I. Stream &amp; Compound Data'!U295,"")</f>
        <v/>
      </c>
      <c r="L38" s="619" t="str">
        <f>IF(H38&gt;'I. Stream &amp; Compound Data'!$F$18,"",IF(J38="","N/A",IF(J38=0,0,1)))</f>
        <v/>
      </c>
      <c r="M38" s="620" t="str">
        <f>IF(H38&gt;'I. Stream &amp; Compound Data'!$F$18,"",IF(L38=0,K38,0))</f>
        <v/>
      </c>
      <c r="N38" s="621" t="str">
        <f>IF(H38&gt;'I. Stream &amp; Compound Data'!$F$18,"",IF(L38&lt;&gt;0,L38,M38))</f>
        <v/>
      </c>
      <c r="O38" s="621" t="str">
        <f>IF(H38&gt;'I. Stream &amp; Compound Data'!$F$18,"",N38)</f>
        <v/>
      </c>
      <c r="P38" s="621" t="str">
        <f>'I. Stream &amp; Compound Data'!P295</f>
        <v/>
      </c>
      <c r="Q38" s="702" t="str">
        <f t="shared" si="1"/>
        <v/>
      </c>
      <c r="R38" s="622" t="str">
        <f>IF(P38="","",IF(OR('I. Stream &amp; Compound Data'!U295=1,'I. Stream &amp; Compound Data'!W295=1),'Solid Estimation'!P38,0))</f>
        <v/>
      </c>
      <c r="S38" s="634"/>
      <c r="T38" s="634"/>
      <c r="U38" s="633"/>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c r="AS38" s="336"/>
      <c r="AT38" s="336"/>
      <c r="AU38" s="336"/>
      <c r="AV38" s="336"/>
      <c r="AW38" s="336"/>
      <c r="AX38" s="336"/>
      <c r="AY38" s="336"/>
      <c r="AZ38" s="336"/>
      <c r="BA38" s="632"/>
      <c r="BB38" s="632"/>
      <c r="BC38" s="632"/>
      <c r="BD38" s="632"/>
      <c r="BE38" s="632"/>
      <c r="BF38" s="632"/>
      <c r="BG38" s="632"/>
      <c r="BH38" s="632"/>
      <c r="BI38" s="632"/>
      <c r="BJ38" s="632"/>
      <c r="BK38" s="632"/>
      <c r="BL38" s="632"/>
      <c r="BM38" s="632"/>
      <c r="BN38" s="632"/>
      <c r="BO38" s="632"/>
      <c r="BP38" s="632"/>
      <c r="BQ38" s="632"/>
      <c r="BR38" s="632"/>
      <c r="BS38" s="632"/>
      <c r="BT38" s="632"/>
      <c r="BU38" s="632"/>
      <c r="BV38" s="632"/>
      <c r="BW38" s="632"/>
      <c r="BX38" s="632"/>
      <c r="BY38" s="632"/>
      <c r="BZ38" s="632"/>
      <c r="CA38" s="632"/>
      <c r="CB38" s="632"/>
      <c r="CC38" s="632"/>
      <c r="CD38" s="632"/>
      <c r="CE38" s="632"/>
      <c r="CF38" s="632"/>
      <c r="CG38" s="632"/>
      <c r="CH38" s="632"/>
      <c r="CI38" s="632"/>
      <c r="CJ38" s="632"/>
      <c r="CK38" s="632"/>
      <c r="CL38" s="632"/>
      <c r="CM38" s="632"/>
      <c r="CN38" s="631"/>
    </row>
    <row r="39" spans="2:92" ht="15.75" x14ac:dyDescent="0.25">
      <c r="B39" s="610"/>
      <c r="C39" s="336"/>
      <c r="D39" s="611"/>
      <c r="E39" s="612"/>
      <c r="F39" s="612"/>
      <c r="G39" s="612"/>
      <c r="H39" s="618">
        <f>'I. Stream &amp; Compound Data'!C66</f>
        <v>35</v>
      </c>
      <c r="I39" s="704" t="str">
        <f>IF('I. Stream &amp; Compound Data'!G296&lt;&gt;"",'I. Stream &amp; Compound Data'!G296,"")</f>
        <v/>
      </c>
      <c r="J39" s="703" t="str">
        <f>IF('I. Stream &amp; Compound Data'!V296&lt;&gt;"",'I. Stream &amp; Compound Data'!V296,"")</f>
        <v/>
      </c>
      <c r="K39" s="703" t="str">
        <f>IF('I. Stream &amp; Compound Data'!U296&lt;&gt;"",'I. Stream &amp; Compound Data'!U296,"")</f>
        <v/>
      </c>
      <c r="L39" s="619" t="str">
        <f>IF(H39&gt;'I. Stream &amp; Compound Data'!$F$18,"",IF(J39="","N/A",IF(J39=0,0,1)))</f>
        <v/>
      </c>
      <c r="M39" s="620" t="str">
        <f>IF(H39&gt;'I. Stream &amp; Compound Data'!$F$18,"",IF(L39=0,K39,0))</f>
        <v/>
      </c>
      <c r="N39" s="621" t="str">
        <f>IF(H39&gt;'I. Stream &amp; Compound Data'!$F$18,"",IF(L39&lt;&gt;0,L39,M39))</f>
        <v/>
      </c>
      <c r="O39" s="621" t="str">
        <f>IF(H39&gt;'I. Stream &amp; Compound Data'!$F$18,"",N39)</f>
        <v/>
      </c>
      <c r="P39" s="621" t="str">
        <f>'I. Stream &amp; Compound Data'!P296</f>
        <v/>
      </c>
      <c r="Q39" s="702" t="str">
        <f t="shared" si="1"/>
        <v/>
      </c>
      <c r="R39" s="622" t="str">
        <f>IF(P39="","",IF(OR('I. Stream &amp; Compound Data'!U296=1,'I. Stream &amp; Compound Data'!W296=1),'Solid Estimation'!P39,0))</f>
        <v/>
      </c>
      <c r="S39" s="634"/>
      <c r="T39" s="634"/>
      <c r="U39" s="633"/>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336"/>
      <c r="AT39" s="336"/>
      <c r="AU39" s="336"/>
      <c r="AV39" s="336"/>
      <c r="AW39" s="336"/>
      <c r="AX39" s="336"/>
      <c r="AY39" s="336"/>
      <c r="AZ39" s="336"/>
      <c r="BA39" s="632"/>
      <c r="BB39" s="632"/>
      <c r="BC39" s="632"/>
      <c r="BD39" s="632"/>
      <c r="BE39" s="632"/>
      <c r="BF39" s="632"/>
      <c r="BG39" s="632"/>
      <c r="BH39" s="632"/>
      <c r="BI39" s="632"/>
      <c r="BJ39" s="632"/>
      <c r="BK39" s="632"/>
      <c r="BL39" s="632"/>
      <c r="BM39" s="632"/>
      <c r="BN39" s="632"/>
      <c r="BO39" s="632"/>
      <c r="BP39" s="632"/>
      <c r="BQ39" s="632"/>
      <c r="BR39" s="632"/>
      <c r="BS39" s="632"/>
      <c r="BT39" s="632"/>
      <c r="BU39" s="632"/>
      <c r="BV39" s="632"/>
      <c r="BW39" s="632"/>
      <c r="BX39" s="632"/>
      <c r="BY39" s="632"/>
      <c r="BZ39" s="632"/>
      <c r="CA39" s="632"/>
      <c r="CB39" s="632"/>
      <c r="CC39" s="632"/>
      <c r="CD39" s="632"/>
      <c r="CE39" s="632"/>
      <c r="CF39" s="632"/>
      <c r="CG39" s="632"/>
      <c r="CH39" s="632"/>
      <c r="CI39" s="632"/>
      <c r="CJ39" s="632"/>
      <c r="CK39" s="632"/>
      <c r="CL39" s="632"/>
      <c r="CM39" s="632"/>
      <c r="CN39" s="631"/>
    </row>
    <row r="40" spans="2:92" ht="15.75" x14ac:dyDescent="0.25">
      <c r="B40" s="610"/>
      <c r="C40" s="336"/>
      <c r="D40" s="611"/>
      <c r="E40" s="612"/>
      <c r="F40" s="612"/>
      <c r="G40" s="612"/>
      <c r="H40" s="618">
        <f>'I. Stream &amp; Compound Data'!C67</f>
        <v>36</v>
      </c>
      <c r="I40" s="704" t="str">
        <f>IF('I. Stream &amp; Compound Data'!G297&lt;&gt;"",'I. Stream &amp; Compound Data'!G297,"")</f>
        <v/>
      </c>
      <c r="J40" s="703" t="str">
        <f>IF('I. Stream &amp; Compound Data'!V297&lt;&gt;"",'I. Stream &amp; Compound Data'!V297,"")</f>
        <v/>
      </c>
      <c r="K40" s="703" t="str">
        <f>IF('I. Stream &amp; Compound Data'!U297&lt;&gt;"",'I. Stream &amp; Compound Data'!U297,"")</f>
        <v/>
      </c>
      <c r="L40" s="619" t="str">
        <f>IF(H40&gt;'I. Stream &amp; Compound Data'!$F$18,"",IF(J40="","N/A",IF(J40=0,0,1)))</f>
        <v/>
      </c>
      <c r="M40" s="620" t="str">
        <f>IF(H40&gt;'I. Stream &amp; Compound Data'!$F$18,"",IF(L40=0,K40,0))</f>
        <v/>
      </c>
      <c r="N40" s="621" t="str">
        <f>IF(H40&gt;'I. Stream &amp; Compound Data'!$F$18,"",IF(L40&lt;&gt;0,L40,M40))</f>
        <v/>
      </c>
      <c r="O40" s="621" t="str">
        <f>IF(H40&gt;'I. Stream &amp; Compound Data'!$F$18,"",N40)</f>
        <v/>
      </c>
      <c r="P40" s="621" t="str">
        <f>'I. Stream &amp; Compound Data'!P297</f>
        <v/>
      </c>
      <c r="Q40" s="702" t="str">
        <f t="shared" si="1"/>
        <v/>
      </c>
      <c r="R40" s="622" t="str">
        <f>IF(P40="","",IF(OR('I. Stream &amp; Compound Data'!U297=1,'I. Stream &amp; Compound Data'!W297=1),'Solid Estimation'!P40,0))</f>
        <v/>
      </c>
      <c r="S40" s="634"/>
      <c r="T40" s="634"/>
      <c r="U40" s="633"/>
      <c r="V40" s="336"/>
      <c r="W40" s="336"/>
      <c r="X40" s="336"/>
      <c r="Y40" s="336"/>
      <c r="Z40" s="336"/>
      <c r="AA40" s="336"/>
      <c r="AB40" s="336"/>
      <c r="AC40" s="336"/>
      <c r="AD40" s="336"/>
      <c r="AE40" s="336"/>
      <c r="AF40" s="336"/>
      <c r="AG40" s="336"/>
      <c r="AH40" s="336"/>
      <c r="AI40" s="336"/>
      <c r="AJ40" s="336"/>
      <c r="AK40" s="336"/>
      <c r="AL40" s="336"/>
      <c r="AM40" s="336"/>
      <c r="AN40" s="336"/>
      <c r="AO40" s="336"/>
      <c r="AP40" s="336"/>
      <c r="AQ40" s="336"/>
      <c r="AR40" s="336"/>
      <c r="AS40" s="336"/>
      <c r="AT40" s="336"/>
      <c r="AU40" s="336"/>
      <c r="AV40" s="336"/>
      <c r="AW40" s="336"/>
      <c r="AX40" s="336"/>
      <c r="AY40" s="336"/>
      <c r="AZ40" s="336"/>
      <c r="BA40" s="632"/>
      <c r="BB40" s="632"/>
      <c r="BC40" s="632"/>
      <c r="BD40" s="632"/>
      <c r="BE40" s="632"/>
      <c r="BF40" s="632"/>
      <c r="BG40" s="632"/>
      <c r="BH40" s="632"/>
      <c r="BI40" s="632"/>
      <c r="BJ40" s="632"/>
      <c r="BK40" s="632"/>
      <c r="BL40" s="632"/>
      <c r="BM40" s="632"/>
      <c r="BN40" s="632"/>
      <c r="BO40" s="632"/>
      <c r="BP40" s="632"/>
      <c r="BQ40" s="632"/>
      <c r="BR40" s="632"/>
      <c r="BS40" s="632"/>
      <c r="BT40" s="632"/>
      <c r="BU40" s="632"/>
      <c r="BV40" s="632"/>
      <c r="BW40" s="632"/>
      <c r="BX40" s="632"/>
      <c r="BY40" s="632"/>
      <c r="BZ40" s="632"/>
      <c r="CA40" s="632"/>
      <c r="CB40" s="632"/>
      <c r="CC40" s="632"/>
      <c r="CD40" s="632"/>
      <c r="CE40" s="632"/>
      <c r="CF40" s="632"/>
      <c r="CG40" s="632"/>
      <c r="CH40" s="632"/>
      <c r="CI40" s="632"/>
      <c r="CJ40" s="632"/>
      <c r="CK40" s="632"/>
      <c r="CL40" s="632"/>
      <c r="CM40" s="632"/>
      <c r="CN40" s="631"/>
    </row>
    <row r="41" spans="2:92" ht="15.75" x14ac:dyDescent="0.25">
      <c r="B41" s="610"/>
      <c r="C41" s="336"/>
      <c r="D41" s="611"/>
      <c r="E41" s="612"/>
      <c r="F41" s="612"/>
      <c r="G41" s="612"/>
      <c r="H41" s="618">
        <f>'I. Stream &amp; Compound Data'!C68</f>
        <v>37</v>
      </c>
      <c r="I41" s="704" t="str">
        <f>IF('I. Stream &amp; Compound Data'!G298&lt;&gt;"",'I. Stream &amp; Compound Data'!G298,"")</f>
        <v/>
      </c>
      <c r="J41" s="703" t="str">
        <f>IF('I. Stream &amp; Compound Data'!V298&lt;&gt;"",'I. Stream &amp; Compound Data'!V298,"")</f>
        <v/>
      </c>
      <c r="K41" s="703" t="str">
        <f>IF('I. Stream &amp; Compound Data'!U298&lt;&gt;"",'I. Stream &amp; Compound Data'!U298,"")</f>
        <v/>
      </c>
      <c r="L41" s="619" t="str">
        <f>IF(H41&gt;'I. Stream &amp; Compound Data'!$F$18,"",IF(J41="","N/A",IF(J41=0,0,1)))</f>
        <v/>
      </c>
      <c r="M41" s="620" t="str">
        <f>IF(H41&gt;'I. Stream &amp; Compound Data'!$F$18,"",IF(L41=0,K41,0))</f>
        <v/>
      </c>
      <c r="N41" s="621" t="str">
        <f>IF(H41&gt;'I. Stream &amp; Compound Data'!$F$18,"",IF(L41&lt;&gt;0,L41,M41))</f>
        <v/>
      </c>
      <c r="O41" s="621" t="str">
        <f>IF(H41&gt;'I. Stream &amp; Compound Data'!$F$18,"",N41)</f>
        <v/>
      </c>
      <c r="P41" s="621" t="str">
        <f>'I. Stream &amp; Compound Data'!P298</f>
        <v/>
      </c>
      <c r="Q41" s="702" t="str">
        <f t="shared" si="1"/>
        <v/>
      </c>
      <c r="R41" s="622" t="str">
        <f>IF(P41="","",IF(OR('I. Stream &amp; Compound Data'!U298=1,'I. Stream &amp; Compound Data'!W298=1),'Solid Estimation'!P41,0))</f>
        <v/>
      </c>
      <c r="S41" s="634"/>
      <c r="T41" s="634"/>
      <c r="U41" s="633"/>
      <c r="V41" s="336"/>
      <c r="W41" s="336"/>
      <c r="X41" s="336"/>
      <c r="Y41" s="336"/>
      <c r="Z41" s="336"/>
      <c r="AA41" s="336"/>
      <c r="AB41" s="336"/>
      <c r="AC41" s="336"/>
      <c r="AD41" s="336"/>
      <c r="AE41" s="336"/>
      <c r="AF41" s="336"/>
      <c r="AG41" s="336"/>
      <c r="AH41" s="336"/>
      <c r="AI41" s="336"/>
      <c r="AJ41" s="336"/>
      <c r="AK41" s="336"/>
      <c r="AL41" s="336"/>
      <c r="AM41" s="336"/>
      <c r="AN41" s="336"/>
      <c r="AO41" s="336"/>
      <c r="AP41" s="336"/>
      <c r="AQ41" s="336"/>
      <c r="AR41" s="336"/>
      <c r="AS41" s="336"/>
      <c r="AT41" s="336"/>
      <c r="AU41" s="336"/>
      <c r="AV41" s="336"/>
      <c r="AW41" s="336"/>
      <c r="AX41" s="336"/>
      <c r="AY41" s="336"/>
      <c r="AZ41" s="336"/>
      <c r="BA41" s="632"/>
      <c r="BB41" s="632"/>
      <c r="BC41" s="632"/>
      <c r="BD41" s="632"/>
      <c r="BE41" s="632"/>
      <c r="BF41" s="632"/>
      <c r="BG41" s="632"/>
      <c r="BH41" s="632"/>
      <c r="BI41" s="632"/>
      <c r="BJ41" s="632"/>
      <c r="BK41" s="632"/>
      <c r="BL41" s="632"/>
      <c r="BM41" s="632"/>
      <c r="BN41" s="632"/>
      <c r="BO41" s="632"/>
      <c r="BP41" s="632"/>
      <c r="BQ41" s="632"/>
      <c r="BR41" s="632"/>
      <c r="BS41" s="632"/>
      <c r="BT41" s="632"/>
      <c r="BU41" s="632"/>
      <c r="BV41" s="632"/>
      <c r="BW41" s="632"/>
      <c r="BX41" s="632"/>
      <c r="BY41" s="632"/>
      <c r="BZ41" s="632"/>
      <c r="CA41" s="632"/>
      <c r="CB41" s="632"/>
      <c r="CC41" s="632"/>
      <c r="CD41" s="632"/>
      <c r="CE41" s="632"/>
      <c r="CF41" s="632"/>
      <c r="CG41" s="632"/>
      <c r="CH41" s="632"/>
      <c r="CI41" s="632"/>
      <c r="CJ41" s="632"/>
      <c r="CK41" s="632"/>
      <c r="CL41" s="632"/>
      <c r="CM41" s="632"/>
      <c r="CN41" s="631"/>
    </row>
    <row r="42" spans="2:92" ht="15.75" x14ac:dyDescent="0.25">
      <c r="B42" s="610"/>
      <c r="C42" s="336"/>
      <c r="D42" s="611"/>
      <c r="E42" s="612"/>
      <c r="F42" s="612"/>
      <c r="G42" s="612"/>
      <c r="H42" s="618">
        <f>'I. Stream &amp; Compound Data'!C69</f>
        <v>38</v>
      </c>
      <c r="I42" s="704" t="str">
        <f>IF('I. Stream &amp; Compound Data'!G299&lt;&gt;"",'I. Stream &amp; Compound Data'!G299,"")</f>
        <v/>
      </c>
      <c r="J42" s="703" t="str">
        <f>IF('I. Stream &amp; Compound Data'!V299&lt;&gt;"",'I. Stream &amp; Compound Data'!V299,"")</f>
        <v/>
      </c>
      <c r="K42" s="703" t="str">
        <f>IF('I. Stream &amp; Compound Data'!U299&lt;&gt;"",'I. Stream &amp; Compound Data'!U299,"")</f>
        <v/>
      </c>
      <c r="L42" s="619" t="str">
        <f>IF(H42&gt;'I. Stream &amp; Compound Data'!$F$18,"",IF(J42="","N/A",IF(J42=0,0,1)))</f>
        <v/>
      </c>
      <c r="M42" s="620" t="str">
        <f>IF(H42&gt;'I. Stream &amp; Compound Data'!$F$18,"",IF(L42=0,K42,0))</f>
        <v/>
      </c>
      <c r="N42" s="621" t="str">
        <f>IF(H42&gt;'I. Stream &amp; Compound Data'!$F$18,"",IF(L42&lt;&gt;0,L42,M42))</f>
        <v/>
      </c>
      <c r="O42" s="621" t="str">
        <f>IF(H42&gt;'I. Stream &amp; Compound Data'!$F$18,"",N42)</f>
        <v/>
      </c>
      <c r="P42" s="621" t="str">
        <f>'I. Stream &amp; Compound Data'!P299</f>
        <v/>
      </c>
      <c r="Q42" s="702" t="str">
        <f t="shared" si="1"/>
        <v/>
      </c>
      <c r="R42" s="622" t="str">
        <f>IF(P42="","",IF(OR('I. Stream &amp; Compound Data'!U299=1,'I. Stream &amp; Compound Data'!W299=1),'Solid Estimation'!P42,0))</f>
        <v/>
      </c>
      <c r="S42" s="634"/>
      <c r="T42" s="634"/>
      <c r="U42" s="633"/>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336"/>
      <c r="AT42" s="336"/>
      <c r="AU42" s="336"/>
      <c r="AV42" s="336"/>
      <c r="AW42" s="336"/>
      <c r="AX42" s="336"/>
      <c r="AY42" s="336"/>
      <c r="AZ42" s="336"/>
      <c r="BA42" s="632"/>
      <c r="BB42" s="632"/>
      <c r="BC42" s="632"/>
      <c r="BD42" s="632"/>
      <c r="BE42" s="632"/>
      <c r="BF42" s="632"/>
      <c r="BG42" s="632"/>
      <c r="BH42" s="632"/>
      <c r="BI42" s="632"/>
      <c r="BJ42" s="632"/>
      <c r="BK42" s="632"/>
      <c r="BL42" s="632"/>
      <c r="BM42" s="632"/>
      <c r="BN42" s="632"/>
      <c r="BO42" s="632"/>
      <c r="BP42" s="632"/>
      <c r="BQ42" s="632"/>
      <c r="BR42" s="632"/>
      <c r="BS42" s="632"/>
      <c r="BT42" s="632"/>
      <c r="BU42" s="632"/>
      <c r="BV42" s="632"/>
      <c r="BW42" s="632"/>
      <c r="BX42" s="632"/>
      <c r="BY42" s="632"/>
      <c r="BZ42" s="632"/>
      <c r="CA42" s="632"/>
      <c r="CB42" s="632"/>
      <c r="CC42" s="632"/>
      <c r="CD42" s="632"/>
      <c r="CE42" s="632"/>
      <c r="CF42" s="632"/>
      <c r="CG42" s="632"/>
      <c r="CH42" s="632"/>
      <c r="CI42" s="632"/>
      <c r="CJ42" s="632"/>
      <c r="CK42" s="632"/>
      <c r="CL42" s="632"/>
      <c r="CM42" s="632"/>
      <c r="CN42" s="631"/>
    </row>
    <row r="43" spans="2:92" ht="15.75" x14ac:dyDescent="0.25">
      <c r="B43" s="610"/>
      <c r="C43" s="336"/>
      <c r="D43" s="611"/>
      <c r="E43" s="612"/>
      <c r="F43" s="612"/>
      <c r="G43" s="612"/>
      <c r="H43" s="618">
        <f>'I. Stream &amp; Compound Data'!C70</f>
        <v>39</v>
      </c>
      <c r="I43" s="704" t="str">
        <f>IF('I. Stream &amp; Compound Data'!G300&lt;&gt;"",'I. Stream &amp; Compound Data'!G300,"")</f>
        <v/>
      </c>
      <c r="J43" s="703" t="str">
        <f>IF('I. Stream &amp; Compound Data'!V300&lt;&gt;"",'I. Stream &amp; Compound Data'!V300,"")</f>
        <v/>
      </c>
      <c r="K43" s="703" t="str">
        <f>IF('I. Stream &amp; Compound Data'!U300&lt;&gt;"",'I. Stream &amp; Compound Data'!U300,"")</f>
        <v/>
      </c>
      <c r="L43" s="619" t="str">
        <f>IF(H43&gt;'I. Stream &amp; Compound Data'!$F$18,"",IF(J43="","N/A",IF(J43=0,0,1)))</f>
        <v/>
      </c>
      <c r="M43" s="620" t="str">
        <f>IF(H43&gt;'I. Stream &amp; Compound Data'!$F$18,"",IF(L43=0,K43,0))</f>
        <v/>
      </c>
      <c r="N43" s="621" t="str">
        <f>IF(H43&gt;'I. Stream &amp; Compound Data'!$F$18,"",IF(L43&lt;&gt;0,L43,M43))</f>
        <v/>
      </c>
      <c r="O43" s="621" t="str">
        <f>IF(H43&gt;'I. Stream &amp; Compound Data'!$F$18,"",N43)</f>
        <v/>
      </c>
      <c r="P43" s="621" t="str">
        <f>'I. Stream &amp; Compound Data'!P300</f>
        <v/>
      </c>
      <c r="Q43" s="702" t="str">
        <f t="shared" si="1"/>
        <v/>
      </c>
      <c r="R43" s="622" t="str">
        <f>IF(P43="","",IF(OR('I. Stream &amp; Compound Data'!U300=1,'I. Stream &amp; Compound Data'!W300=1),'Solid Estimation'!P43,0))</f>
        <v/>
      </c>
      <c r="S43" s="634"/>
      <c r="T43" s="634"/>
      <c r="U43" s="633"/>
      <c r="V43" s="336"/>
      <c r="W43" s="336"/>
      <c r="X43" s="336"/>
      <c r="Y43" s="336"/>
      <c r="Z43" s="336"/>
      <c r="AA43" s="336"/>
      <c r="AB43" s="336"/>
      <c r="AC43" s="336"/>
      <c r="AD43" s="336"/>
      <c r="AE43" s="336"/>
      <c r="AF43" s="336"/>
      <c r="AG43" s="336"/>
      <c r="AH43" s="336"/>
      <c r="AI43" s="336"/>
      <c r="AJ43" s="336"/>
      <c r="AK43" s="336"/>
      <c r="AL43" s="336"/>
      <c r="AM43" s="336"/>
      <c r="AN43" s="336"/>
      <c r="AO43" s="336"/>
      <c r="AP43" s="336"/>
      <c r="AQ43" s="336"/>
      <c r="AR43" s="336"/>
      <c r="AS43" s="336"/>
      <c r="AT43" s="336"/>
      <c r="AU43" s="336"/>
      <c r="AV43" s="336"/>
      <c r="AW43" s="336"/>
      <c r="AX43" s="336"/>
      <c r="AY43" s="336"/>
      <c r="AZ43" s="336"/>
      <c r="BA43" s="632"/>
      <c r="BB43" s="632"/>
      <c r="BC43" s="632"/>
      <c r="BD43" s="632"/>
      <c r="BE43" s="632"/>
      <c r="BF43" s="632"/>
      <c r="BG43" s="632"/>
      <c r="BH43" s="632"/>
      <c r="BI43" s="632"/>
      <c r="BJ43" s="632"/>
      <c r="BK43" s="632"/>
      <c r="BL43" s="632"/>
      <c r="BM43" s="632"/>
      <c r="BN43" s="632"/>
      <c r="BO43" s="632"/>
      <c r="BP43" s="632"/>
      <c r="BQ43" s="632"/>
      <c r="BR43" s="632"/>
      <c r="BS43" s="632"/>
      <c r="BT43" s="632"/>
      <c r="BU43" s="632"/>
      <c r="BV43" s="632"/>
      <c r="BW43" s="632"/>
      <c r="BX43" s="632"/>
      <c r="BY43" s="632"/>
      <c r="BZ43" s="632"/>
      <c r="CA43" s="632"/>
      <c r="CB43" s="632"/>
      <c r="CC43" s="632"/>
      <c r="CD43" s="632"/>
      <c r="CE43" s="632"/>
      <c r="CF43" s="632"/>
      <c r="CG43" s="632"/>
      <c r="CH43" s="632"/>
      <c r="CI43" s="632"/>
      <c r="CJ43" s="632"/>
      <c r="CK43" s="632"/>
      <c r="CL43" s="632"/>
      <c r="CM43" s="632"/>
      <c r="CN43" s="631"/>
    </row>
    <row r="44" spans="2:92" ht="15.75" x14ac:dyDescent="0.25">
      <c r="B44" s="610"/>
      <c r="C44" s="336"/>
      <c r="D44" s="611"/>
      <c r="E44" s="612"/>
      <c r="F44" s="612"/>
      <c r="G44" s="612"/>
      <c r="H44" s="618">
        <f>'I. Stream &amp; Compound Data'!C71</f>
        <v>40</v>
      </c>
      <c r="I44" s="704" t="str">
        <f>IF('I. Stream &amp; Compound Data'!G301&lt;&gt;"",'I. Stream &amp; Compound Data'!G301,"")</f>
        <v/>
      </c>
      <c r="J44" s="703" t="str">
        <f>IF('I. Stream &amp; Compound Data'!V301&lt;&gt;"",'I. Stream &amp; Compound Data'!V301,"")</f>
        <v/>
      </c>
      <c r="K44" s="703" t="str">
        <f>IF('I. Stream &amp; Compound Data'!U301&lt;&gt;"",'I. Stream &amp; Compound Data'!U301,"")</f>
        <v/>
      </c>
      <c r="L44" s="619" t="str">
        <f>IF(H44&gt;'I. Stream &amp; Compound Data'!$F$18,"",IF(J44="","N/A",IF(J44=0,0,1)))</f>
        <v/>
      </c>
      <c r="M44" s="620" t="str">
        <f>IF(H44&gt;'I. Stream &amp; Compound Data'!$F$18,"",IF(L44=0,K44,0))</f>
        <v/>
      </c>
      <c r="N44" s="621" t="str">
        <f>IF(H44&gt;'I. Stream &amp; Compound Data'!$F$18,"",IF(L44&lt;&gt;0,L44,M44))</f>
        <v/>
      </c>
      <c r="O44" s="621" t="str">
        <f>IF(H44&gt;'I. Stream &amp; Compound Data'!$F$18,"",N44)</f>
        <v/>
      </c>
      <c r="P44" s="621" t="str">
        <f>'I. Stream &amp; Compound Data'!P301</f>
        <v/>
      </c>
      <c r="Q44" s="702" t="str">
        <f t="shared" si="1"/>
        <v/>
      </c>
      <c r="R44" s="622" t="str">
        <f>IF(P44="","",IF(OR('I. Stream &amp; Compound Data'!U301=1,'I. Stream &amp; Compound Data'!W301=1),'Solid Estimation'!P44,0))</f>
        <v/>
      </c>
      <c r="S44" s="634"/>
      <c r="T44" s="634"/>
      <c r="U44" s="633"/>
      <c r="V44" s="336"/>
      <c r="W44" s="336"/>
      <c r="X44" s="336"/>
      <c r="Y44" s="336"/>
      <c r="Z44" s="336"/>
      <c r="AA44" s="336"/>
      <c r="AB44" s="336"/>
      <c r="AC44" s="336"/>
      <c r="AD44" s="336"/>
      <c r="AE44" s="336"/>
      <c r="AF44" s="336"/>
      <c r="AG44" s="336"/>
      <c r="AH44" s="336"/>
      <c r="AI44" s="336"/>
      <c r="AJ44" s="336"/>
      <c r="AK44" s="336"/>
      <c r="AL44" s="336"/>
      <c r="AM44" s="336"/>
      <c r="AN44" s="336"/>
      <c r="AO44" s="336"/>
      <c r="AP44" s="336"/>
      <c r="AQ44" s="336"/>
      <c r="AR44" s="336"/>
      <c r="AS44" s="336"/>
      <c r="AT44" s="336"/>
      <c r="AU44" s="336"/>
      <c r="AV44" s="336"/>
      <c r="AW44" s="336"/>
      <c r="AX44" s="336"/>
      <c r="AY44" s="336"/>
      <c r="AZ44" s="336"/>
      <c r="BA44" s="632"/>
      <c r="BB44" s="632"/>
      <c r="BC44" s="632"/>
      <c r="BD44" s="632"/>
      <c r="BE44" s="632"/>
      <c r="BF44" s="632"/>
      <c r="BG44" s="632"/>
      <c r="BH44" s="632"/>
      <c r="BI44" s="632"/>
      <c r="BJ44" s="632"/>
      <c r="BK44" s="632"/>
      <c r="BL44" s="632"/>
      <c r="BM44" s="632"/>
      <c r="BN44" s="632"/>
      <c r="BO44" s="632"/>
      <c r="BP44" s="632"/>
      <c r="BQ44" s="632"/>
      <c r="BR44" s="632"/>
      <c r="BS44" s="632"/>
      <c r="BT44" s="632"/>
      <c r="BU44" s="632"/>
      <c r="BV44" s="632"/>
      <c r="BW44" s="632"/>
      <c r="BX44" s="632"/>
      <c r="BY44" s="632"/>
      <c r="BZ44" s="632"/>
      <c r="CA44" s="632"/>
      <c r="CB44" s="632"/>
      <c r="CC44" s="632"/>
      <c r="CD44" s="632"/>
      <c r="CE44" s="632"/>
      <c r="CF44" s="632"/>
      <c r="CG44" s="632"/>
      <c r="CH44" s="632"/>
      <c r="CI44" s="632"/>
      <c r="CJ44" s="632"/>
      <c r="CK44" s="632"/>
      <c r="CL44" s="632"/>
      <c r="CM44" s="632"/>
      <c r="CN44" s="631"/>
    </row>
    <row r="45" spans="2:92" ht="15.75" x14ac:dyDescent="0.25">
      <c r="B45" s="610"/>
      <c r="C45" s="336"/>
      <c r="D45" s="611"/>
      <c r="E45" s="612"/>
      <c r="F45" s="612"/>
      <c r="G45" s="612"/>
      <c r="H45" s="618">
        <f>'I. Stream &amp; Compound Data'!C72</f>
        <v>41</v>
      </c>
      <c r="I45" s="704" t="str">
        <f>IF('I. Stream &amp; Compound Data'!G302&lt;&gt;"",'I. Stream &amp; Compound Data'!G302,"")</f>
        <v/>
      </c>
      <c r="J45" s="703" t="str">
        <f>IF('I. Stream &amp; Compound Data'!V302&lt;&gt;"",'I. Stream &amp; Compound Data'!V302,"")</f>
        <v/>
      </c>
      <c r="K45" s="703" t="str">
        <f>IF('I. Stream &amp; Compound Data'!U302&lt;&gt;"",'I. Stream &amp; Compound Data'!U302,"")</f>
        <v/>
      </c>
      <c r="L45" s="619" t="str">
        <f>IF(H45&gt;'I. Stream &amp; Compound Data'!$F$18,"",IF(J45="","N/A",IF(J45=0,0,1)))</f>
        <v/>
      </c>
      <c r="M45" s="620" t="str">
        <f>IF(H45&gt;'I. Stream &amp; Compound Data'!$F$18,"",IF(L45=0,K45,0))</f>
        <v/>
      </c>
      <c r="N45" s="621" t="str">
        <f>IF(H45&gt;'I. Stream &amp; Compound Data'!$F$18,"",IF(L45&lt;&gt;0,L45,M45))</f>
        <v/>
      </c>
      <c r="O45" s="621" t="str">
        <f>IF(H45&gt;'I. Stream &amp; Compound Data'!$F$18,"",N45)</f>
        <v/>
      </c>
      <c r="P45" s="621" t="str">
        <f>'I. Stream &amp; Compound Data'!P302</f>
        <v/>
      </c>
      <c r="Q45" s="702" t="str">
        <f t="shared" si="1"/>
        <v/>
      </c>
      <c r="R45" s="622" t="str">
        <f>IF(P45="","",IF(OR('I. Stream &amp; Compound Data'!U302=1,'I. Stream &amp; Compound Data'!W302=1),'Solid Estimation'!P45,0))</f>
        <v/>
      </c>
      <c r="S45" s="634"/>
      <c r="T45" s="634"/>
      <c r="U45" s="633"/>
      <c r="V45" s="336"/>
      <c r="W45" s="336"/>
      <c r="X45" s="336"/>
      <c r="Y45" s="336"/>
      <c r="Z45" s="336"/>
      <c r="AA45" s="336"/>
      <c r="AB45" s="336"/>
      <c r="AC45" s="336"/>
      <c r="AD45" s="336"/>
      <c r="AE45" s="336"/>
      <c r="AF45" s="336"/>
      <c r="AG45" s="336"/>
      <c r="AH45" s="336"/>
      <c r="AI45" s="336"/>
      <c r="AJ45" s="336"/>
      <c r="AK45" s="336"/>
      <c r="AL45" s="336"/>
      <c r="AM45" s="336"/>
      <c r="AN45" s="336"/>
      <c r="AO45" s="336"/>
      <c r="AP45" s="336"/>
      <c r="AQ45" s="336"/>
      <c r="AR45" s="336"/>
      <c r="AS45" s="336"/>
      <c r="AT45" s="336"/>
      <c r="AU45" s="336"/>
      <c r="AV45" s="336"/>
      <c r="AW45" s="336"/>
      <c r="AX45" s="336"/>
      <c r="AY45" s="336"/>
      <c r="AZ45" s="336"/>
      <c r="BA45" s="632"/>
      <c r="BB45" s="632"/>
      <c r="BC45" s="632"/>
      <c r="BD45" s="632"/>
      <c r="BE45" s="632"/>
      <c r="BF45" s="632"/>
      <c r="BG45" s="632"/>
      <c r="BH45" s="632"/>
      <c r="BI45" s="632"/>
      <c r="BJ45" s="632"/>
      <c r="BK45" s="632"/>
      <c r="BL45" s="632"/>
      <c r="BM45" s="632"/>
      <c r="BN45" s="632"/>
      <c r="BO45" s="632"/>
      <c r="BP45" s="632"/>
      <c r="BQ45" s="632"/>
      <c r="BR45" s="632"/>
      <c r="BS45" s="632"/>
      <c r="BT45" s="632"/>
      <c r="BU45" s="632"/>
      <c r="BV45" s="632"/>
      <c r="BW45" s="632"/>
      <c r="BX45" s="632"/>
      <c r="BY45" s="632"/>
      <c r="BZ45" s="632"/>
      <c r="CA45" s="632"/>
      <c r="CB45" s="632"/>
      <c r="CC45" s="632"/>
      <c r="CD45" s="632"/>
      <c r="CE45" s="632"/>
      <c r="CF45" s="632"/>
      <c r="CG45" s="632"/>
      <c r="CH45" s="632"/>
      <c r="CI45" s="632"/>
      <c r="CJ45" s="632"/>
      <c r="CK45" s="632"/>
      <c r="CL45" s="632"/>
      <c r="CM45" s="632"/>
      <c r="CN45" s="631"/>
    </row>
    <row r="46" spans="2:92" ht="15.75" x14ac:dyDescent="0.25">
      <c r="B46" s="610"/>
      <c r="C46" s="336"/>
      <c r="D46" s="611"/>
      <c r="E46" s="612"/>
      <c r="F46" s="612"/>
      <c r="G46" s="612"/>
      <c r="H46" s="618">
        <f>'I. Stream &amp; Compound Data'!C73</f>
        <v>42</v>
      </c>
      <c r="I46" s="704" t="str">
        <f>IF('I. Stream &amp; Compound Data'!G303&lt;&gt;"",'I. Stream &amp; Compound Data'!G303,"")</f>
        <v/>
      </c>
      <c r="J46" s="703" t="str">
        <f>IF('I. Stream &amp; Compound Data'!V303&lt;&gt;"",'I. Stream &amp; Compound Data'!V303,"")</f>
        <v/>
      </c>
      <c r="K46" s="703" t="str">
        <f>IF('I. Stream &amp; Compound Data'!U303&lt;&gt;"",'I. Stream &amp; Compound Data'!U303,"")</f>
        <v/>
      </c>
      <c r="L46" s="619" t="str">
        <f>IF(H46&gt;'I. Stream &amp; Compound Data'!$F$18,"",IF(J46="","N/A",IF(J46=0,0,1)))</f>
        <v/>
      </c>
      <c r="M46" s="620" t="str">
        <f>IF(H46&gt;'I. Stream &amp; Compound Data'!$F$18,"",IF(L46=0,K46,0))</f>
        <v/>
      </c>
      <c r="N46" s="621" t="str">
        <f>IF(H46&gt;'I. Stream &amp; Compound Data'!$F$18,"",IF(L46&lt;&gt;0,L46,M46))</f>
        <v/>
      </c>
      <c r="O46" s="621" t="str">
        <f>IF(H46&gt;'I. Stream &amp; Compound Data'!$F$18,"",N46)</f>
        <v/>
      </c>
      <c r="P46" s="621" t="str">
        <f>'I. Stream &amp; Compound Data'!P303</f>
        <v/>
      </c>
      <c r="Q46" s="702" t="str">
        <f t="shared" si="1"/>
        <v/>
      </c>
      <c r="R46" s="622" t="str">
        <f>IF(P46="","",IF(OR('I. Stream &amp; Compound Data'!U303=1,'I. Stream &amp; Compound Data'!W303=1),'Solid Estimation'!P46,0))</f>
        <v/>
      </c>
      <c r="S46" s="634"/>
      <c r="T46" s="634"/>
      <c r="U46" s="633"/>
      <c r="V46" s="336"/>
      <c r="W46" s="336"/>
      <c r="X46" s="336"/>
      <c r="Y46" s="336"/>
      <c r="Z46" s="336"/>
      <c r="AA46" s="336"/>
      <c r="AB46" s="336"/>
      <c r="AC46" s="336"/>
      <c r="AD46" s="336"/>
      <c r="AE46" s="336"/>
      <c r="AF46" s="336"/>
      <c r="AG46" s="336"/>
      <c r="AH46" s="336"/>
      <c r="AI46" s="336"/>
      <c r="AJ46" s="336"/>
      <c r="AK46" s="336"/>
      <c r="AL46" s="336"/>
      <c r="AM46" s="336"/>
      <c r="AN46" s="336"/>
      <c r="AO46" s="336"/>
      <c r="AP46" s="336"/>
      <c r="AQ46" s="336"/>
      <c r="AR46" s="336"/>
      <c r="AS46" s="336"/>
      <c r="AT46" s="336"/>
      <c r="AU46" s="336"/>
      <c r="AV46" s="336"/>
      <c r="AW46" s="336"/>
      <c r="AX46" s="336"/>
      <c r="AY46" s="336"/>
      <c r="AZ46" s="336"/>
      <c r="BA46" s="632"/>
      <c r="BB46" s="632"/>
      <c r="BC46" s="632"/>
      <c r="BD46" s="632"/>
      <c r="BE46" s="632"/>
      <c r="BF46" s="632"/>
      <c r="BG46" s="632"/>
      <c r="BH46" s="632"/>
      <c r="BI46" s="632"/>
      <c r="BJ46" s="632"/>
      <c r="BK46" s="632"/>
      <c r="BL46" s="632"/>
      <c r="BM46" s="632"/>
      <c r="BN46" s="632"/>
      <c r="BO46" s="632"/>
      <c r="BP46" s="632"/>
      <c r="BQ46" s="632"/>
      <c r="BR46" s="632"/>
      <c r="BS46" s="632"/>
      <c r="BT46" s="632"/>
      <c r="BU46" s="632"/>
      <c r="BV46" s="632"/>
      <c r="BW46" s="632"/>
      <c r="BX46" s="632"/>
      <c r="BY46" s="632"/>
      <c r="BZ46" s="632"/>
      <c r="CA46" s="632"/>
      <c r="CB46" s="632"/>
      <c r="CC46" s="632"/>
      <c r="CD46" s="632"/>
      <c r="CE46" s="632"/>
      <c r="CF46" s="632"/>
      <c r="CG46" s="632"/>
      <c r="CH46" s="632"/>
      <c r="CI46" s="632"/>
      <c r="CJ46" s="632"/>
      <c r="CK46" s="632"/>
      <c r="CL46" s="632"/>
      <c r="CM46" s="632"/>
      <c r="CN46" s="631"/>
    </row>
    <row r="47" spans="2:92" ht="15.75" x14ac:dyDescent="0.25">
      <c r="B47" s="610"/>
      <c r="C47" s="336"/>
      <c r="D47" s="611"/>
      <c r="E47" s="612"/>
      <c r="F47" s="612"/>
      <c r="G47" s="612"/>
      <c r="H47" s="618">
        <f>'I. Stream &amp; Compound Data'!C74</f>
        <v>43</v>
      </c>
      <c r="I47" s="704" t="str">
        <f>IF('I. Stream &amp; Compound Data'!G304&lt;&gt;"",'I. Stream &amp; Compound Data'!G304,"")</f>
        <v/>
      </c>
      <c r="J47" s="703" t="str">
        <f>IF('I. Stream &amp; Compound Data'!V304&lt;&gt;"",'I. Stream &amp; Compound Data'!V304,"")</f>
        <v/>
      </c>
      <c r="K47" s="703" t="str">
        <f>IF('I. Stream &amp; Compound Data'!U304&lt;&gt;"",'I. Stream &amp; Compound Data'!U304,"")</f>
        <v/>
      </c>
      <c r="L47" s="619" t="str">
        <f>IF(H47&gt;'I. Stream &amp; Compound Data'!$F$18,"",IF(J47="","N/A",IF(J47=0,0,1)))</f>
        <v/>
      </c>
      <c r="M47" s="620" t="str">
        <f>IF(H47&gt;'I. Stream &amp; Compound Data'!$F$18,"",IF(L47=0,K47,0))</f>
        <v/>
      </c>
      <c r="N47" s="621" t="str">
        <f>IF(H47&gt;'I. Stream &amp; Compound Data'!$F$18,"",IF(L47&lt;&gt;0,L47,M47))</f>
        <v/>
      </c>
      <c r="O47" s="621" t="str">
        <f>IF(H47&gt;'I. Stream &amp; Compound Data'!$F$18,"",N47)</f>
        <v/>
      </c>
      <c r="P47" s="621" t="str">
        <f>'I. Stream &amp; Compound Data'!P304</f>
        <v/>
      </c>
      <c r="Q47" s="702" t="str">
        <f t="shared" si="1"/>
        <v/>
      </c>
      <c r="R47" s="622" t="str">
        <f>IF(P47="","",IF(OR('I. Stream &amp; Compound Data'!U304=1,'I. Stream &amp; Compound Data'!W304=1),'Solid Estimation'!P47,0))</f>
        <v/>
      </c>
      <c r="S47" s="634"/>
      <c r="T47" s="634"/>
      <c r="U47" s="633"/>
      <c r="V47" s="336"/>
      <c r="W47" s="336"/>
      <c r="X47" s="336"/>
      <c r="Y47" s="336"/>
      <c r="Z47" s="336"/>
      <c r="AA47" s="336"/>
      <c r="AB47" s="336"/>
      <c r="AC47" s="336"/>
      <c r="AD47" s="336"/>
      <c r="AE47" s="336"/>
      <c r="AF47" s="336"/>
      <c r="AG47" s="336"/>
      <c r="AH47" s="336"/>
      <c r="AI47" s="336"/>
      <c r="AJ47" s="336"/>
      <c r="AK47" s="336"/>
      <c r="AL47" s="336"/>
      <c r="AM47" s="336"/>
      <c r="AN47" s="336"/>
      <c r="AO47" s="336"/>
      <c r="AP47" s="336"/>
      <c r="AQ47" s="336"/>
      <c r="AR47" s="336"/>
      <c r="AS47" s="336"/>
      <c r="AT47" s="336"/>
      <c r="AU47" s="336"/>
      <c r="AV47" s="336"/>
      <c r="AW47" s="336"/>
      <c r="AX47" s="336"/>
      <c r="AY47" s="336"/>
      <c r="AZ47" s="336"/>
      <c r="BA47" s="632"/>
      <c r="BB47" s="632"/>
      <c r="BC47" s="632"/>
      <c r="BD47" s="632"/>
      <c r="BE47" s="632"/>
      <c r="BF47" s="632"/>
      <c r="BG47" s="632"/>
      <c r="BH47" s="632"/>
      <c r="BI47" s="632"/>
      <c r="BJ47" s="632"/>
      <c r="BK47" s="632"/>
      <c r="BL47" s="632"/>
      <c r="BM47" s="632"/>
      <c r="BN47" s="632"/>
      <c r="BO47" s="632"/>
      <c r="BP47" s="632"/>
      <c r="BQ47" s="632"/>
      <c r="BR47" s="632"/>
      <c r="BS47" s="632"/>
      <c r="BT47" s="632"/>
      <c r="BU47" s="632"/>
      <c r="BV47" s="632"/>
      <c r="BW47" s="632"/>
      <c r="BX47" s="632"/>
      <c r="BY47" s="632"/>
      <c r="BZ47" s="632"/>
      <c r="CA47" s="632"/>
      <c r="CB47" s="632"/>
      <c r="CC47" s="632"/>
      <c r="CD47" s="632"/>
      <c r="CE47" s="632"/>
      <c r="CF47" s="632"/>
      <c r="CG47" s="632"/>
      <c r="CH47" s="632"/>
      <c r="CI47" s="632"/>
      <c r="CJ47" s="632"/>
      <c r="CK47" s="632"/>
      <c r="CL47" s="632"/>
      <c r="CM47" s="632"/>
      <c r="CN47" s="631"/>
    </row>
    <row r="48" spans="2:92" ht="15.75" x14ac:dyDescent="0.25">
      <c r="B48" s="610"/>
      <c r="C48" s="336"/>
      <c r="D48" s="611"/>
      <c r="E48" s="612"/>
      <c r="F48" s="612"/>
      <c r="G48" s="612"/>
      <c r="H48" s="618">
        <f>'I. Stream &amp; Compound Data'!C75</f>
        <v>44</v>
      </c>
      <c r="I48" s="704" t="str">
        <f>IF('I. Stream &amp; Compound Data'!G305&lt;&gt;"",'I. Stream &amp; Compound Data'!G305,"")</f>
        <v/>
      </c>
      <c r="J48" s="703" t="str">
        <f>IF('I. Stream &amp; Compound Data'!V305&lt;&gt;"",'I. Stream &amp; Compound Data'!V305,"")</f>
        <v/>
      </c>
      <c r="K48" s="703" t="str">
        <f>IF('I. Stream &amp; Compound Data'!U305&lt;&gt;"",'I. Stream &amp; Compound Data'!U305,"")</f>
        <v/>
      </c>
      <c r="L48" s="619" t="str">
        <f>IF(H48&gt;'I. Stream &amp; Compound Data'!$F$18,"",IF(J48="","N/A",IF(J48=0,0,1)))</f>
        <v/>
      </c>
      <c r="M48" s="620" t="str">
        <f>IF(H48&gt;'I. Stream &amp; Compound Data'!$F$18,"",IF(L48=0,K48,0))</f>
        <v/>
      </c>
      <c r="N48" s="621" t="str">
        <f>IF(H48&gt;'I. Stream &amp; Compound Data'!$F$18,"",IF(L48&lt;&gt;0,L48,M48))</f>
        <v/>
      </c>
      <c r="O48" s="621" t="str">
        <f>IF(H48&gt;'I. Stream &amp; Compound Data'!$F$18,"",N48)</f>
        <v/>
      </c>
      <c r="P48" s="621" t="str">
        <f>'I. Stream &amp; Compound Data'!P305</f>
        <v/>
      </c>
      <c r="Q48" s="702" t="str">
        <f t="shared" si="1"/>
        <v/>
      </c>
      <c r="R48" s="622" t="str">
        <f>IF(P48="","",IF(OR('I. Stream &amp; Compound Data'!U305=1,'I. Stream &amp; Compound Data'!W305=1),'Solid Estimation'!P48,0))</f>
        <v/>
      </c>
      <c r="S48" s="634"/>
      <c r="T48" s="634"/>
      <c r="U48" s="633"/>
      <c r="V48" s="336"/>
      <c r="W48" s="336"/>
      <c r="X48" s="336"/>
      <c r="Y48" s="336"/>
      <c r="Z48" s="336"/>
      <c r="AA48" s="336"/>
      <c r="AB48" s="336"/>
      <c r="AC48" s="336"/>
      <c r="AD48" s="336"/>
      <c r="AE48" s="336"/>
      <c r="AF48" s="336"/>
      <c r="AG48" s="336"/>
      <c r="AH48" s="336"/>
      <c r="AI48" s="336"/>
      <c r="AJ48" s="336"/>
      <c r="AK48" s="336"/>
      <c r="AL48" s="336"/>
      <c r="AM48" s="336"/>
      <c r="AN48" s="336"/>
      <c r="AO48" s="336"/>
      <c r="AP48" s="336"/>
      <c r="AQ48" s="336"/>
      <c r="AR48" s="336"/>
      <c r="AS48" s="336"/>
      <c r="AT48" s="336"/>
      <c r="AU48" s="336"/>
      <c r="AV48" s="336"/>
      <c r="AW48" s="336"/>
      <c r="AX48" s="336"/>
      <c r="AY48" s="336"/>
      <c r="AZ48" s="336"/>
      <c r="BA48" s="632"/>
      <c r="BB48" s="632"/>
      <c r="BC48" s="632"/>
      <c r="BD48" s="632"/>
      <c r="BE48" s="632"/>
      <c r="BF48" s="632"/>
      <c r="BG48" s="632"/>
      <c r="BH48" s="632"/>
      <c r="BI48" s="632"/>
      <c r="BJ48" s="632"/>
      <c r="BK48" s="632"/>
      <c r="BL48" s="632"/>
      <c r="BM48" s="632"/>
      <c r="BN48" s="632"/>
      <c r="BO48" s="632"/>
      <c r="BP48" s="632"/>
      <c r="BQ48" s="632"/>
      <c r="BR48" s="632"/>
      <c r="BS48" s="632"/>
      <c r="BT48" s="632"/>
      <c r="BU48" s="632"/>
      <c r="BV48" s="632"/>
      <c r="BW48" s="632"/>
      <c r="BX48" s="632"/>
      <c r="BY48" s="632"/>
      <c r="BZ48" s="632"/>
      <c r="CA48" s="632"/>
      <c r="CB48" s="632"/>
      <c r="CC48" s="632"/>
      <c r="CD48" s="632"/>
      <c r="CE48" s="632"/>
      <c r="CF48" s="632"/>
      <c r="CG48" s="632"/>
      <c r="CH48" s="632"/>
      <c r="CI48" s="632"/>
      <c r="CJ48" s="632"/>
      <c r="CK48" s="632"/>
      <c r="CL48" s="632"/>
      <c r="CM48" s="632"/>
      <c r="CN48" s="631"/>
    </row>
    <row r="49" spans="2:92" ht="15.75" x14ac:dyDescent="0.25">
      <c r="B49" s="610"/>
      <c r="C49" s="336"/>
      <c r="D49" s="611"/>
      <c r="E49" s="612"/>
      <c r="F49" s="612"/>
      <c r="G49" s="612"/>
      <c r="H49" s="618">
        <f>'I. Stream &amp; Compound Data'!C76</f>
        <v>45</v>
      </c>
      <c r="I49" s="704" t="str">
        <f>IF('I. Stream &amp; Compound Data'!G306&lt;&gt;"",'I. Stream &amp; Compound Data'!G306,"")</f>
        <v/>
      </c>
      <c r="J49" s="703" t="str">
        <f>IF('I. Stream &amp; Compound Data'!V306&lt;&gt;"",'I. Stream &amp; Compound Data'!V306,"")</f>
        <v/>
      </c>
      <c r="K49" s="703" t="str">
        <f>IF('I. Stream &amp; Compound Data'!U306&lt;&gt;"",'I. Stream &amp; Compound Data'!U306,"")</f>
        <v/>
      </c>
      <c r="L49" s="619" t="str">
        <f>IF(H49&gt;'I. Stream &amp; Compound Data'!$F$18,"",IF(J49="","N/A",IF(J49=0,0,1)))</f>
        <v/>
      </c>
      <c r="M49" s="620" t="str">
        <f>IF(H49&gt;'I. Stream &amp; Compound Data'!$F$18,"",IF(L49=0,K49,0))</f>
        <v/>
      </c>
      <c r="N49" s="621" t="str">
        <f>IF(H49&gt;'I. Stream &amp; Compound Data'!$F$18,"",IF(L49&lt;&gt;0,L49,M49))</f>
        <v/>
      </c>
      <c r="O49" s="621" t="str">
        <f>IF(H49&gt;'I. Stream &amp; Compound Data'!$F$18,"",N49)</f>
        <v/>
      </c>
      <c r="P49" s="621" t="str">
        <f>'I. Stream &amp; Compound Data'!P306</f>
        <v/>
      </c>
      <c r="Q49" s="702" t="str">
        <f t="shared" si="1"/>
        <v/>
      </c>
      <c r="R49" s="622" t="str">
        <f>IF(P49="","",IF(OR('I. Stream &amp; Compound Data'!U306=1,'I. Stream &amp; Compound Data'!W306=1),'Solid Estimation'!P49,0))</f>
        <v/>
      </c>
      <c r="S49" s="634"/>
      <c r="T49" s="634"/>
      <c r="U49" s="633"/>
      <c r="V49" s="336"/>
      <c r="W49" s="336"/>
      <c r="X49" s="336"/>
      <c r="Y49" s="336"/>
      <c r="Z49" s="336"/>
      <c r="AA49" s="336"/>
      <c r="AB49" s="336"/>
      <c r="AC49" s="336"/>
      <c r="AD49" s="336"/>
      <c r="AE49" s="336"/>
      <c r="AF49" s="336"/>
      <c r="AG49" s="336"/>
      <c r="AH49" s="336"/>
      <c r="AI49" s="336"/>
      <c r="AJ49" s="336"/>
      <c r="AK49" s="336"/>
      <c r="AL49" s="336"/>
      <c r="AM49" s="336"/>
      <c r="AN49" s="336"/>
      <c r="AO49" s="336"/>
      <c r="AP49" s="336"/>
      <c r="AQ49" s="336"/>
      <c r="AR49" s="336"/>
      <c r="AS49" s="336"/>
      <c r="AT49" s="336"/>
      <c r="AU49" s="336"/>
      <c r="AV49" s="336"/>
      <c r="AW49" s="336"/>
      <c r="AX49" s="336"/>
      <c r="AY49" s="336"/>
      <c r="AZ49" s="336"/>
      <c r="BA49" s="632"/>
      <c r="BB49" s="632"/>
      <c r="BC49" s="632"/>
      <c r="BD49" s="632"/>
      <c r="BE49" s="632"/>
      <c r="BF49" s="632"/>
      <c r="BG49" s="632"/>
      <c r="BH49" s="632"/>
      <c r="BI49" s="632"/>
      <c r="BJ49" s="632"/>
      <c r="BK49" s="632"/>
      <c r="BL49" s="632"/>
      <c r="BM49" s="632"/>
      <c r="BN49" s="632"/>
      <c r="BO49" s="632"/>
      <c r="BP49" s="632"/>
      <c r="BQ49" s="632"/>
      <c r="BR49" s="632"/>
      <c r="BS49" s="632"/>
      <c r="BT49" s="632"/>
      <c r="BU49" s="632"/>
      <c r="BV49" s="632"/>
      <c r="BW49" s="632"/>
      <c r="BX49" s="632"/>
      <c r="BY49" s="632"/>
      <c r="BZ49" s="632"/>
      <c r="CA49" s="632"/>
      <c r="CB49" s="632"/>
      <c r="CC49" s="632"/>
      <c r="CD49" s="632"/>
      <c r="CE49" s="632"/>
      <c r="CF49" s="632"/>
      <c r="CG49" s="632"/>
      <c r="CH49" s="632"/>
      <c r="CI49" s="632"/>
      <c r="CJ49" s="632"/>
      <c r="CK49" s="632"/>
      <c r="CL49" s="632"/>
      <c r="CM49" s="632"/>
      <c r="CN49" s="631"/>
    </row>
    <row r="50" spans="2:92" ht="15.75" x14ac:dyDescent="0.25">
      <c r="B50" s="610"/>
      <c r="C50" s="336"/>
      <c r="D50" s="611"/>
      <c r="E50" s="612"/>
      <c r="F50" s="612"/>
      <c r="G50" s="612"/>
      <c r="H50" s="618">
        <f>'I. Stream &amp; Compound Data'!C77</f>
        <v>46</v>
      </c>
      <c r="I50" s="704" t="str">
        <f>IF('I. Stream &amp; Compound Data'!G307&lt;&gt;"",'I. Stream &amp; Compound Data'!G307,"")</f>
        <v/>
      </c>
      <c r="J50" s="703" t="str">
        <f>IF('I. Stream &amp; Compound Data'!V307&lt;&gt;"",'I. Stream &amp; Compound Data'!V307,"")</f>
        <v/>
      </c>
      <c r="K50" s="703" t="str">
        <f>IF('I. Stream &amp; Compound Data'!U307&lt;&gt;"",'I. Stream &amp; Compound Data'!U307,"")</f>
        <v/>
      </c>
      <c r="L50" s="619" t="str">
        <f>IF(H50&gt;'I. Stream &amp; Compound Data'!$F$18,"",IF(J50="","N/A",IF(J50=0,0,1)))</f>
        <v/>
      </c>
      <c r="M50" s="620" t="str">
        <f>IF(H50&gt;'I. Stream &amp; Compound Data'!$F$18,"",IF(L50=0,K50,0))</f>
        <v/>
      </c>
      <c r="N50" s="621" t="str">
        <f>IF(H50&gt;'I. Stream &amp; Compound Data'!$F$18,"",IF(L50&lt;&gt;0,L50,M50))</f>
        <v/>
      </c>
      <c r="O50" s="621" t="str">
        <f>IF(H50&gt;'I. Stream &amp; Compound Data'!$F$18,"",N50)</f>
        <v/>
      </c>
      <c r="P50" s="621" t="str">
        <f>'I. Stream &amp; Compound Data'!P307</f>
        <v/>
      </c>
      <c r="Q50" s="702" t="str">
        <f t="shared" si="1"/>
        <v/>
      </c>
      <c r="R50" s="622" t="str">
        <f>IF(P50="","",IF(OR('I. Stream &amp; Compound Data'!U307=1,'I. Stream &amp; Compound Data'!W307=1),'Solid Estimation'!P50,0))</f>
        <v/>
      </c>
      <c r="S50" s="634"/>
      <c r="T50" s="634"/>
      <c r="U50" s="633"/>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336"/>
      <c r="AT50" s="336"/>
      <c r="AU50" s="336"/>
      <c r="AV50" s="336"/>
      <c r="AW50" s="336"/>
      <c r="AX50" s="336"/>
      <c r="AY50" s="336"/>
      <c r="AZ50" s="336"/>
      <c r="BA50" s="632"/>
      <c r="BB50" s="632"/>
      <c r="BC50" s="632"/>
      <c r="BD50" s="632"/>
      <c r="BE50" s="632"/>
      <c r="BF50" s="632"/>
      <c r="BG50" s="632"/>
      <c r="BH50" s="632"/>
      <c r="BI50" s="632"/>
      <c r="BJ50" s="632"/>
      <c r="BK50" s="632"/>
      <c r="BL50" s="632"/>
      <c r="BM50" s="632"/>
      <c r="BN50" s="632"/>
      <c r="BO50" s="632"/>
      <c r="BP50" s="632"/>
      <c r="BQ50" s="632"/>
      <c r="BR50" s="632"/>
      <c r="BS50" s="632"/>
      <c r="BT50" s="632"/>
      <c r="BU50" s="632"/>
      <c r="BV50" s="632"/>
      <c r="BW50" s="632"/>
      <c r="BX50" s="632"/>
      <c r="BY50" s="632"/>
      <c r="BZ50" s="632"/>
      <c r="CA50" s="632"/>
      <c r="CB50" s="632"/>
      <c r="CC50" s="632"/>
      <c r="CD50" s="632"/>
      <c r="CE50" s="632"/>
      <c r="CF50" s="632"/>
      <c r="CG50" s="632"/>
      <c r="CH50" s="632"/>
      <c r="CI50" s="632"/>
      <c r="CJ50" s="632"/>
      <c r="CK50" s="632"/>
      <c r="CL50" s="632"/>
      <c r="CM50" s="632"/>
      <c r="CN50" s="631"/>
    </row>
    <row r="51" spans="2:92" ht="15.75" x14ac:dyDescent="0.25">
      <c r="B51" s="610"/>
      <c r="C51" s="336"/>
      <c r="D51" s="611"/>
      <c r="E51" s="612"/>
      <c r="F51" s="612"/>
      <c r="G51" s="612"/>
      <c r="H51" s="618">
        <f>'I. Stream &amp; Compound Data'!C78</f>
        <v>47</v>
      </c>
      <c r="I51" s="704" t="str">
        <f>IF('I. Stream &amp; Compound Data'!G308&lt;&gt;"",'I. Stream &amp; Compound Data'!G308,"")</f>
        <v/>
      </c>
      <c r="J51" s="703" t="str">
        <f>IF('I. Stream &amp; Compound Data'!V308&lt;&gt;"",'I. Stream &amp; Compound Data'!V308,"")</f>
        <v/>
      </c>
      <c r="K51" s="703" t="str">
        <f>IF('I. Stream &amp; Compound Data'!U308&lt;&gt;"",'I. Stream &amp; Compound Data'!U308,"")</f>
        <v/>
      </c>
      <c r="L51" s="619" t="str">
        <f>IF(H51&gt;'I. Stream &amp; Compound Data'!$F$18,"",IF(J51="","N/A",IF(J51=0,0,1)))</f>
        <v/>
      </c>
      <c r="M51" s="620" t="str">
        <f>IF(H51&gt;'I. Stream &amp; Compound Data'!$F$18,"",IF(L51=0,K51,0))</f>
        <v/>
      </c>
      <c r="N51" s="621" t="str">
        <f>IF(H51&gt;'I. Stream &amp; Compound Data'!$F$18,"",IF(L51&lt;&gt;0,L51,M51))</f>
        <v/>
      </c>
      <c r="O51" s="621" t="str">
        <f>IF(H51&gt;'I. Stream &amp; Compound Data'!$F$18,"",N51)</f>
        <v/>
      </c>
      <c r="P51" s="621" t="str">
        <f>'I. Stream &amp; Compound Data'!P308</f>
        <v/>
      </c>
      <c r="Q51" s="702" t="str">
        <f t="shared" si="1"/>
        <v/>
      </c>
      <c r="R51" s="622" t="str">
        <f>IF(P51="","",IF(OR('I. Stream &amp; Compound Data'!U308=1,'I. Stream &amp; Compound Data'!W308=1),'Solid Estimation'!P51,0))</f>
        <v/>
      </c>
      <c r="S51" s="634"/>
      <c r="T51" s="634"/>
      <c r="U51" s="633"/>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336"/>
      <c r="AT51" s="336"/>
      <c r="AU51" s="336"/>
      <c r="AV51" s="336"/>
      <c r="AW51" s="336"/>
      <c r="AX51" s="336"/>
      <c r="AY51" s="336"/>
      <c r="AZ51" s="336"/>
      <c r="BA51" s="632"/>
      <c r="BB51" s="632"/>
      <c r="BC51" s="632"/>
      <c r="BD51" s="632"/>
      <c r="BE51" s="632"/>
      <c r="BF51" s="632"/>
      <c r="BG51" s="632"/>
      <c r="BH51" s="632"/>
      <c r="BI51" s="632"/>
      <c r="BJ51" s="632"/>
      <c r="BK51" s="632"/>
      <c r="BL51" s="632"/>
      <c r="BM51" s="632"/>
      <c r="BN51" s="632"/>
      <c r="BO51" s="632"/>
      <c r="BP51" s="632"/>
      <c r="BQ51" s="632"/>
      <c r="BR51" s="632"/>
      <c r="BS51" s="632"/>
      <c r="BT51" s="632"/>
      <c r="BU51" s="632"/>
      <c r="BV51" s="632"/>
      <c r="BW51" s="632"/>
      <c r="BX51" s="632"/>
      <c r="BY51" s="632"/>
      <c r="BZ51" s="632"/>
      <c r="CA51" s="632"/>
      <c r="CB51" s="632"/>
      <c r="CC51" s="632"/>
      <c r="CD51" s="632"/>
      <c r="CE51" s="632"/>
      <c r="CF51" s="632"/>
      <c r="CG51" s="632"/>
      <c r="CH51" s="632"/>
      <c r="CI51" s="632"/>
      <c r="CJ51" s="632"/>
      <c r="CK51" s="632"/>
      <c r="CL51" s="632"/>
      <c r="CM51" s="632"/>
      <c r="CN51" s="631"/>
    </row>
    <row r="52" spans="2:92" ht="15.75" x14ac:dyDescent="0.25">
      <c r="B52" s="610"/>
      <c r="C52" s="336"/>
      <c r="D52" s="611"/>
      <c r="E52" s="612"/>
      <c r="F52" s="612"/>
      <c r="G52" s="612"/>
      <c r="H52" s="618">
        <f>'I. Stream &amp; Compound Data'!C79</f>
        <v>48</v>
      </c>
      <c r="I52" s="704" t="str">
        <f>IF('I. Stream &amp; Compound Data'!G309&lt;&gt;"",'I. Stream &amp; Compound Data'!G309,"")</f>
        <v/>
      </c>
      <c r="J52" s="703" t="str">
        <f>IF('I. Stream &amp; Compound Data'!V309&lt;&gt;"",'I. Stream &amp; Compound Data'!V309,"")</f>
        <v/>
      </c>
      <c r="K52" s="703" t="str">
        <f>IF('I. Stream &amp; Compound Data'!U309&lt;&gt;"",'I. Stream &amp; Compound Data'!U309,"")</f>
        <v/>
      </c>
      <c r="L52" s="619" t="str">
        <f>IF(H52&gt;'I. Stream &amp; Compound Data'!$F$18,"",IF(J52="","N/A",IF(J52=0,0,1)))</f>
        <v/>
      </c>
      <c r="M52" s="620" t="str">
        <f>IF(H52&gt;'I. Stream &amp; Compound Data'!$F$18,"",IF(L52=0,K52,0))</f>
        <v/>
      </c>
      <c r="N52" s="621" t="str">
        <f>IF(H52&gt;'I. Stream &amp; Compound Data'!$F$18,"",IF(L52&lt;&gt;0,L52,M52))</f>
        <v/>
      </c>
      <c r="O52" s="621" t="str">
        <f>IF(H52&gt;'I. Stream &amp; Compound Data'!$F$18,"",N52)</f>
        <v/>
      </c>
      <c r="P52" s="621" t="str">
        <f>'I. Stream &amp; Compound Data'!P309</f>
        <v/>
      </c>
      <c r="Q52" s="702" t="str">
        <f t="shared" si="1"/>
        <v/>
      </c>
      <c r="R52" s="622" t="str">
        <f>IF(P52="","",IF(OR('I. Stream &amp; Compound Data'!U309=1,'I. Stream &amp; Compound Data'!W309=1),'Solid Estimation'!P52,0))</f>
        <v/>
      </c>
      <c r="S52" s="634"/>
      <c r="T52" s="634"/>
      <c r="U52" s="633"/>
      <c r="V52" s="336"/>
      <c r="W52" s="336"/>
      <c r="X52" s="336"/>
      <c r="Y52" s="336"/>
      <c r="Z52" s="336"/>
      <c r="AA52" s="336"/>
      <c r="AB52" s="336"/>
      <c r="AC52" s="336"/>
      <c r="AD52" s="336"/>
      <c r="AE52" s="336"/>
      <c r="AF52" s="336"/>
      <c r="AG52" s="336"/>
      <c r="AH52" s="336"/>
      <c r="AI52" s="336"/>
      <c r="AJ52" s="336"/>
      <c r="AK52" s="336"/>
      <c r="AL52" s="336"/>
      <c r="AM52" s="336"/>
      <c r="AN52" s="336"/>
      <c r="AO52" s="336"/>
      <c r="AP52" s="336"/>
      <c r="AQ52" s="336"/>
      <c r="AR52" s="336"/>
      <c r="AS52" s="336"/>
      <c r="AT52" s="336"/>
      <c r="AU52" s="336"/>
      <c r="AV52" s="336"/>
      <c r="AW52" s="336"/>
      <c r="AX52" s="336"/>
      <c r="AY52" s="336"/>
      <c r="AZ52" s="336"/>
      <c r="BA52" s="632"/>
      <c r="BB52" s="632"/>
      <c r="BC52" s="632"/>
      <c r="BD52" s="632"/>
      <c r="BE52" s="632"/>
      <c r="BF52" s="632"/>
      <c r="BG52" s="632"/>
      <c r="BH52" s="632"/>
      <c r="BI52" s="632"/>
      <c r="BJ52" s="632"/>
      <c r="BK52" s="632"/>
      <c r="BL52" s="632"/>
      <c r="BM52" s="632"/>
      <c r="BN52" s="632"/>
      <c r="BO52" s="632"/>
      <c r="BP52" s="632"/>
      <c r="BQ52" s="632"/>
      <c r="BR52" s="632"/>
      <c r="BS52" s="632"/>
      <c r="BT52" s="632"/>
      <c r="BU52" s="632"/>
      <c r="BV52" s="632"/>
      <c r="BW52" s="632"/>
      <c r="BX52" s="632"/>
      <c r="BY52" s="632"/>
      <c r="BZ52" s="632"/>
      <c r="CA52" s="632"/>
      <c r="CB52" s="632"/>
      <c r="CC52" s="632"/>
      <c r="CD52" s="632"/>
      <c r="CE52" s="632"/>
      <c r="CF52" s="632"/>
      <c r="CG52" s="632"/>
      <c r="CH52" s="632"/>
      <c r="CI52" s="632"/>
      <c r="CJ52" s="632"/>
      <c r="CK52" s="632"/>
      <c r="CL52" s="632"/>
      <c r="CM52" s="632"/>
      <c r="CN52" s="631"/>
    </row>
    <row r="53" spans="2:92" ht="15.75" x14ac:dyDescent="0.25">
      <c r="B53" s="610"/>
      <c r="C53" s="336"/>
      <c r="D53" s="611"/>
      <c r="E53" s="612"/>
      <c r="F53" s="612"/>
      <c r="G53" s="612"/>
      <c r="H53" s="618">
        <f>'I. Stream &amp; Compound Data'!C80</f>
        <v>49</v>
      </c>
      <c r="I53" s="704" t="str">
        <f>IF('I. Stream &amp; Compound Data'!G310&lt;&gt;"",'I. Stream &amp; Compound Data'!G310,"")</f>
        <v/>
      </c>
      <c r="J53" s="703" t="str">
        <f>IF('I. Stream &amp; Compound Data'!V310&lt;&gt;"",'I. Stream &amp; Compound Data'!V310,"")</f>
        <v/>
      </c>
      <c r="K53" s="703" t="str">
        <f>IF('I. Stream &amp; Compound Data'!U310&lt;&gt;"",'I. Stream &amp; Compound Data'!U310,"")</f>
        <v/>
      </c>
      <c r="L53" s="619" t="str">
        <f>IF(H53&gt;'I. Stream &amp; Compound Data'!$F$18,"",IF(J53="","N/A",IF(J53=0,0,1)))</f>
        <v/>
      </c>
      <c r="M53" s="620" t="str">
        <f>IF(H53&gt;'I. Stream &amp; Compound Data'!$F$18,"",IF(L53=0,K53,0))</f>
        <v/>
      </c>
      <c r="N53" s="621" t="str">
        <f>IF(H53&gt;'I. Stream &amp; Compound Data'!$F$18,"",IF(L53&lt;&gt;0,L53,M53))</f>
        <v/>
      </c>
      <c r="O53" s="621" t="str">
        <f>IF(H53&gt;'I. Stream &amp; Compound Data'!$F$18,"",N53)</f>
        <v/>
      </c>
      <c r="P53" s="621" t="str">
        <f>'I. Stream &amp; Compound Data'!P310</f>
        <v/>
      </c>
      <c r="Q53" s="702" t="str">
        <f t="shared" si="1"/>
        <v/>
      </c>
      <c r="R53" s="622" t="str">
        <f>IF(P53="","",IF(OR('I. Stream &amp; Compound Data'!U310=1,'I. Stream &amp; Compound Data'!W310=1),'Solid Estimation'!P53,0))</f>
        <v/>
      </c>
      <c r="S53" s="634"/>
      <c r="T53" s="634"/>
      <c r="U53" s="633"/>
      <c r="V53" s="336"/>
      <c r="W53" s="336"/>
      <c r="X53" s="336"/>
      <c r="Y53" s="336"/>
      <c r="Z53" s="336"/>
      <c r="AA53" s="336"/>
      <c r="AB53" s="336"/>
      <c r="AC53" s="336"/>
      <c r="AD53" s="336"/>
      <c r="AE53" s="336"/>
      <c r="AF53" s="336"/>
      <c r="AG53" s="336"/>
      <c r="AH53" s="336"/>
      <c r="AI53" s="336"/>
      <c r="AJ53" s="336"/>
      <c r="AK53" s="336"/>
      <c r="AL53" s="336"/>
      <c r="AM53" s="336"/>
      <c r="AN53" s="336"/>
      <c r="AO53" s="336"/>
      <c r="AP53" s="336"/>
      <c r="AQ53" s="336"/>
      <c r="AR53" s="336"/>
      <c r="AS53" s="336"/>
      <c r="AT53" s="336"/>
      <c r="AU53" s="336"/>
      <c r="AV53" s="336"/>
      <c r="AW53" s="336"/>
      <c r="AX53" s="336"/>
      <c r="AY53" s="336"/>
      <c r="AZ53" s="336"/>
      <c r="BA53" s="632"/>
      <c r="BB53" s="632"/>
      <c r="BC53" s="632"/>
      <c r="BD53" s="632"/>
      <c r="BE53" s="632"/>
      <c r="BF53" s="632"/>
      <c r="BG53" s="632"/>
      <c r="BH53" s="632"/>
      <c r="BI53" s="632"/>
      <c r="BJ53" s="632"/>
      <c r="BK53" s="632"/>
      <c r="BL53" s="632"/>
      <c r="BM53" s="632"/>
      <c r="BN53" s="632"/>
      <c r="BO53" s="632"/>
      <c r="BP53" s="632"/>
      <c r="BQ53" s="632"/>
      <c r="BR53" s="632"/>
      <c r="BS53" s="632"/>
      <c r="BT53" s="632"/>
      <c r="BU53" s="632"/>
      <c r="BV53" s="632"/>
      <c r="BW53" s="632"/>
      <c r="BX53" s="632"/>
      <c r="BY53" s="632"/>
      <c r="BZ53" s="632"/>
      <c r="CA53" s="632"/>
      <c r="CB53" s="632"/>
      <c r="CC53" s="632"/>
      <c r="CD53" s="632"/>
      <c r="CE53" s="632"/>
      <c r="CF53" s="632"/>
      <c r="CG53" s="632"/>
      <c r="CH53" s="632"/>
      <c r="CI53" s="632"/>
      <c r="CJ53" s="632"/>
      <c r="CK53" s="632"/>
      <c r="CL53" s="632"/>
      <c r="CM53" s="632"/>
      <c r="CN53" s="631"/>
    </row>
    <row r="54" spans="2:92" ht="16.5" thickBot="1" x14ac:dyDescent="0.3">
      <c r="B54" s="610"/>
      <c r="C54" s="336"/>
      <c r="D54" s="611"/>
      <c r="E54" s="612"/>
      <c r="F54" s="612"/>
      <c r="G54" s="612"/>
      <c r="H54" s="618">
        <f>'I. Stream &amp; Compound Data'!C81</f>
        <v>50</v>
      </c>
      <c r="I54" s="701" t="str">
        <f>IF('I. Stream &amp; Compound Data'!G311&lt;&gt;"",'I. Stream &amp; Compound Data'!G311,"")</f>
        <v/>
      </c>
      <c r="J54" s="700" t="str">
        <f>IF('I. Stream &amp; Compound Data'!V311&lt;&gt;"",'I. Stream &amp; Compound Data'!V311,"")</f>
        <v/>
      </c>
      <c r="K54" s="700" t="str">
        <f>IF('I. Stream &amp; Compound Data'!U311&lt;&gt;"",'I. Stream &amp; Compound Data'!U311,"")</f>
        <v/>
      </c>
      <c r="L54" s="623" t="str">
        <f>IF(H54&gt;'I. Stream &amp; Compound Data'!$F$18,"",IF(J54="","N/A",IF(J54=0,0,1)))</f>
        <v/>
      </c>
      <c r="M54" s="624" t="str">
        <f>IF(H54&gt;'I. Stream &amp; Compound Data'!$F$18,"",IF(L54=0,K54,0))</f>
        <v/>
      </c>
      <c r="N54" s="625" t="str">
        <f>IF(H54&gt;'I. Stream &amp; Compound Data'!$F$18,"",IF(L54&lt;&gt;0,L54,M54))</f>
        <v/>
      </c>
      <c r="O54" s="625" t="str">
        <f>IF(H54&gt;'I. Stream &amp; Compound Data'!$F$18,"",N54)</f>
        <v/>
      </c>
      <c r="P54" s="625" t="str">
        <f>'I. Stream &amp; Compound Data'!P311</f>
        <v/>
      </c>
      <c r="Q54" s="699" t="str">
        <f t="shared" si="1"/>
        <v/>
      </c>
      <c r="R54" s="626" t="str">
        <f>IF(P54="","",IF(OR('I. Stream &amp; Compound Data'!U311=1,'I. Stream &amp; Compound Data'!W311=1),'Solid Estimation'!P54,0))</f>
        <v/>
      </c>
      <c r="S54" s="634"/>
      <c r="T54" s="634"/>
      <c r="U54" s="633"/>
      <c r="V54" s="336"/>
      <c r="W54" s="336"/>
      <c r="X54" s="336"/>
      <c r="Y54" s="336"/>
      <c r="Z54" s="336"/>
      <c r="AA54" s="336"/>
      <c r="AB54" s="336"/>
      <c r="AC54" s="336"/>
      <c r="AD54" s="336"/>
      <c r="AE54" s="336"/>
      <c r="AF54" s="336"/>
      <c r="AG54" s="336"/>
      <c r="AH54" s="336"/>
      <c r="AI54" s="336"/>
      <c r="AJ54" s="336"/>
      <c r="AK54" s="336"/>
      <c r="AL54" s="336"/>
      <c r="AM54" s="336"/>
      <c r="AN54" s="336"/>
      <c r="AO54" s="336"/>
      <c r="AP54" s="336"/>
      <c r="AQ54" s="336"/>
      <c r="AR54" s="336"/>
      <c r="AS54" s="336"/>
      <c r="AT54" s="336"/>
      <c r="AU54" s="336"/>
      <c r="AV54" s="336"/>
      <c r="AW54" s="336"/>
      <c r="AX54" s="336"/>
      <c r="AY54" s="336"/>
      <c r="AZ54" s="336"/>
      <c r="BA54" s="632"/>
      <c r="BB54" s="632"/>
      <c r="BC54" s="632"/>
      <c r="BD54" s="632"/>
      <c r="BE54" s="632"/>
      <c r="BF54" s="632"/>
      <c r="BG54" s="632"/>
      <c r="BH54" s="632"/>
      <c r="BI54" s="632"/>
      <c r="BJ54" s="632"/>
      <c r="BK54" s="632"/>
      <c r="BL54" s="632"/>
      <c r="BM54" s="632"/>
      <c r="BN54" s="632"/>
      <c r="BO54" s="632"/>
      <c r="BP54" s="632"/>
      <c r="BQ54" s="632"/>
      <c r="BR54" s="632"/>
      <c r="BS54" s="632"/>
      <c r="BT54" s="632"/>
      <c r="BU54" s="632"/>
      <c r="BV54" s="632"/>
      <c r="BW54" s="632"/>
      <c r="BX54" s="632"/>
      <c r="BY54" s="632"/>
      <c r="BZ54" s="632"/>
      <c r="CA54" s="632"/>
      <c r="CB54" s="632"/>
      <c r="CC54" s="632"/>
      <c r="CD54" s="632"/>
      <c r="CE54" s="632"/>
      <c r="CF54" s="632"/>
      <c r="CG54" s="632"/>
      <c r="CH54" s="632"/>
      <c r="CI54" s="632"/>
      <c r="CJ54" s="632"/>
      <c r="CK54" s="632"/>
      <c r="CL54" s="632"/>
      <c r="CM54" s="632"/>
      <c r="CN54" s="631"/>
    </row>
    <row r="55" spans="2:92" ht="16.5" thickBot="1" x14ac:dyDescent="0.25">
      <c r="B55" s="610"/>
      <c r="C55" s="336"/>
      <c r="D55" s="611"/>
      <c r="E55" s="612"/>
      <c r="F55" s="612"/>
      <c r="G55" s="612"/>
      <c r="H55" s="611"/>
      <c r="I55" s="336"/>
      <c r="J55" s="336"/>
      <c r="K55" s="336"/>
      <c r="L55" s="611"/>
      <c r="M55" s="336"/>
      <c r="N55" s="336"/>
      <c r="O55" s="336"/>
      <c r="P55" s="612" t="s">
        <v>26</v>
      </c>
      <c r="Q55" s="627">
        <f>SUM(Q5:Q54)</f>
        <v>197.93090000000001</v>
      </c>
      <c r="R55" s="627">
        <f>SUM(R5:R54)</f>
        <v>211.42729999999997</v>
      </c>
      <c r="S55" s="634"/>
      <c r="T55" s="634"/>
      <c r="U55" s="633"/>
      <c r="V55" s="336"/>
      <c r="W55" s="336"/>
      <c r="X55" s="336"/>
      <c r="Y55" s="336"/>
      <c r="Z55" s="336"/>
      <c r="AA55" s="336"/>
      <c r="AB55" s="336"/>
      <c r="AC55" s="336"/>
      <c r="AD55" s="336"/>
      <c r="AE55" s="336"/>
      <c r="AF55" s="336"/>
      <c r="AG55" s="336"/>
      <c r="AH55" s="336"/>
      <c r="AI55" s="336"/>
      <c r="AJ55" s="336"/>
      <c r="AK55" s="336"/>
      <c r="AL55" s="336"/>
      <c r="AM55" s="336"/>
      <c r="AN55" s="336"/>
      <c r="AO55" s="336"/>
      <c r="AP55" s="336"/>
      <c r="AQ55" s="336"/>
      <c r="AR55" s="336"/>
      <c r="AS55" s="336"/>
      <c r="AT55" s="336"/>
      <c r="AU55" s="336"/>
      <c r="AV55" s="336"/>
      <c r="AW55" s="336"/>
      <c r="AX55" s="336"/>
      <c r="AY55" s="336"/>
      <c r="AZ55" s="336"/>
      <c r="BA55" s="632"/>
      <c r="BB55" s="632"/>
      <c r="BC55" s="632"/>
      <c r="BD55" s="632"/>
      <c r="BE55" s="632"/>
      <c r="BF55" s="632"/>
      <c r="BG55" s="632"/>
      <c r="BH55" s="632"/>
      <c r="BI55" s="632"/>
      <c r="BJ55" s="632"/>
      <c r="BK55" s="632"/>
      <c r="BL55" s="632"/>
      <c r="BM55" s="632"/>
      <c r="BN55" s="632"/>
      <c r="BO55" s="632"/>
      <c r="BP55" s="632"/>
      <c r="BQ55" s="632"/>
      <c r="BR55" s="632"/>
      <c r="BS55" s="632"/>
      <c r="BT55" s="632"/>
      <c r="BU55" s="632"/>
      <c r="BV55" s="632"/>
      <c r="BW55" s="632"/>
      <c r="BX55" s="632"/>
      <c r="BY55" s="632"/>
      <c r="BZ55" s="632"/>
      <c r="CA55" s="632"/>
      <c r="CB55" s="632"/>
      <c r="CC55" s="632"/>
      <c r="CD55" s="632"/>
      <c r="CE55" s="632"/>
      <c r="CF55" s="632"/>
      <c r="CG55" s="632"/>
      <c r="CH55" s="632"/>
      <c r="CI55" s="632"/>
      <c r="CJ55" s="632"/>
      <c r="CK55" s="632"/>
      <c r="CL55" s="632"/>
      <c r="CM55" s="632"/>
      <c r="CN55" s="631"/>
    </row>
    <row r="56" spans="2:92" ht="15.75" x14ac:dyDescent="0.2">
      <c r="B56" s="610"/>
      <c r="C56" s="336"/>
      <c r="D56" s="611"/>
      <c r="E56" s="612"/>
      <c r="F56" s="612"/>
      <c r="G56" s="612"/>
      <c r="H56" s="611"/>
      <c r="I56" s="336"/>
      <c r="J56" s="336"/>
      <c r="K56" s="336"/>
      <c r="L56" s="611"/>
      <c r="M56" s="336"/>
      <c r="N56" s="336"/>
      <c r="O56" s="336"/>
      <c r="P56" s="612"/>
      <c r="Q56" s="612"/>
      <c r="R56" s="612"/>
      <c r="S56" s="634"/>
      <c r="T56" s="634"/>
      <c r="U56" s="633"/>
      <c r="V56" s="336"/>
      <c r="W56" s="336"/>
      <c r="X56" s="336"/>
      <c r="Y56" s="336"/>
      <c r="Z56" s="336"/>
      <c r="AA56" s="336"/>
      <c r="AB56" s="336"/>
      <c r="AC56" s="336"/>
      <c r="AD56" s="336"/>
      <c r="AE56" s="336"/>
      <c r="AF56" s="336"/>
      <c r="AG56" s="336"/>
      <c r="AH56" s="336"/>
      <c r="AI56" s="336"/>
      <c r="AJ56" s="336"/>
      <c r="AK56" s="336"/>
      <c r="AL56" s="336"/>
      <c r="AM56" s="336"/>
      <c r="AN56" s="336"/>
      <c r="AO56" s="336"/>
      <c r="AP56" s="336"/>
      <c r="AQ56" s="336"/>
      <c r="AR56" s="336"/>
      <c r="AS56" s="336"/>
      <c r="AT56" s="336"/>
      <c r="AU56" s="336"/>
      <c r="AV56" s="336"/>
      <c r="AW56" s="336"/>
      <c r="AX56" s="336"/>
      <c r="AY56" s="336"/>
      <c r="AZ56" s="336"/>
      <c r="BA56" s="632"/>
      <c r="BB56" s="632"/>
      <c r="BC56" s="632"/>
      <c r="BD56" s="632"/>
      <c r="BE56" s="632"/>
      <c r="BF56" s="632"/>
      <c r="BG56" s="632"/>
      <c r="BH56" s="632"/>
      <c r="BI56" s="632"/>
      <c r="BJ56" s="632"/>
      <c r="BK56" s="632"/>
      <c r="BL56" s="632"/>
      <c r="BM56" s="632"/>
      <c r="BN56" s="632"/>
      <c r="BO56" s="632"/>
      <c r="BP56" s="632"/>
      <c r="BQ56" s="632"/>
      <c r="BR56" s="632"/>
      <c r="BS56" s="632"/>
      <c r="BT56" s="632"/>
      <c r="BU56" s="632"/>
      <c r="BV56" s="632"/>
      <c r="BW56" s="632"/>
      <c r="BX56" s="632"/>
      <c r="BY56" s="632"/>
      <c r="BZ56" s="632"/>
      <c r="CA56" s="632"/>
      <c r="CB56" s="632"/>
      <c r="CC56" s="632"/>
      <c r="CD56" s="632"/>
      <c r="CE56" s="632"/>
      <c r="CF56" s="632"/>
      <c r="CG56" s="632"/>
      <c r="CH56" s="632"/>
      <c r="CI56" s="632"/>
      <c r="CJ56" s="632"/>
      <c r="CK56" s="632"/>
      <c r="CL56" s="632"/>
      <c r="CM56" s="632"/>
      <c r="CN56" s="631"/>
    </row>
    <row r="57" spans="2:92" ht="15.75" x14ac:dyDescent="0.2">
      <c r="B57" s="610"/>
      <c r="C57" s="336"/>
      <c r="D57" s="611"/>
      <c r="E57" s="612"/>
      <c r="F57" s="612"/>
      <c r="G57" s="612"/>
      <c r="H57" s="611"/>
      <c r="I57" s="336"/>
      <c r="J57" s="336"/>
      <c r="K57" s="336"/>
      <c r="L57" s="611"/>
      <c r="M57" s="336"/>
      <c r="N57" s="336"/>
      <c r="O57" s="336"/>
      <c r="P57" s="612"/>
      <c r="Q57" s="612"/>
      <c r="R57" s="612"/>
      <c r="S57" s="634"/>
      <c r="T57" s="634"/>
      <c r="U57" s="633"/>
      <c r="V57" s="336"/>
      <c r="W57" s="336"/>
      <c r="X57" s="336"/>
      <c r="Y57" s="336"/>
      <c r="Z57" s="336"/>
      <c r="AA57" s="336"/>
      <c r="AB57" s="336"/>
      <c r="AC57" s="336"/>
      <c r="AD57" s="336"/>
      <c r="AE57" s="336"/>
      <c r="AF57" s="336"/>
      <c r="AG57" s="336"/>
      <c r="AH57" s="336"/>
      <c r="AI57" s="336"/>
      <c r="AJ57" s="336"/>
      <c r="AK57" s="336"/>
      <c r="AL57" s="336"/>
      <c r="AM57" s="336"/>
      <c r="AN57" s="336"/>
      <c r="AO57" s="336"/>
      <c r="AP57" s="336"/>
      <c r="AQ57" s="336"/>
      <c r="AR57" s="336"/>
      <c r="AS57" s="336"/>
      <c r="AT57" s="336"/>
      <c r="AU57" s="336"/>
      <c r="AV57" s="336"/>
      <c r="AW57" s="336"/>
      <c r="AX57" s="336"/>
      <c r="AY57" s="336"/>
      <c r="AZ57" s="336"/>
      <c r="BA57" s="632"/>
      <c r="BB57" s="632"/>
      <c r="BC57" s="632"/>
      <c r="BD57" s="632"/>
      <c r="BE57" s="632"/>
      <c r="BF57" s="632"/>
      <c r="BG57" s="632"/>
      <c r="BH57" s="632"/>
      <c r="BI57" s="632"/>
      <c r="BJ57" s="632"/>
      <c r="BK57" s="632"/>
      <c r="BL57" s="632"/>
      <c r="BM57" s="632"/>
      <c r="BN57" s="632"/>
      <c r="BO57" s="632"/>
      <c r="BP57" s="632"/>
      <c r="BQ57" s="632"/>
      <c r="BR57" s="632"/>
      <c r="BS57" s="632"/>
      <c r="BT57" s="632"/>
      <c r="BU57" s="632"/>
      <c r="BV57" s="632"/>
      <c r="BW57" s="632"/>
      <c r="BX57" s="632"/>
      <c r="BY57" s="632"/>
      <c r="BZ57" s="632"/>
      <c r="CA57" s="632"/>
      <c r="CB57" s="632"/>
      <c r="CC57" s="632"/>
      <c r="CD57" s="632"/>
      <c r="CE57" s="632"/>
      <c r="CF57" s="632"/>
      <c r="CG57" s="632"/>
      <c r="CH57" s="632"/>
      <c r="CI57" s="632"/>
      <c r="CJ57" s="632"/>
      <c r="CK57" s="632"/>
      <c r="CL57" s="632"/>
      <c r="CM57" s="632"/>
      <c r="CN57" s="631"/>
    </row>
    <row r="58" spans="2:92" ht="15.75" x14ac:dyDescent="0.2">
      <c r="B58" s="610"/>
      <c r="C58" s="336"/>
      <c r="D58" s="611"/>
      <c r="E58" s="612"/>
      <c r="F58" s="612"/>
      <c r="G58" s="612"/>
      <c r="H58" s="611"/>
      <c r="I58" s="336"/>
      <c r="J58" s="336"/>
      <c r="K58" s="336"/>
      <c r="L58" s="611"/>
      <c r="M58" s="336"/>
      <c r="N58" s="336"/>
      <c r="O58" s="336"/>
      <c r="P58" s="336"/>
      <c r="Q58" s="336"/>
      <c r="R58" s="336"/>
      <c r="S58" s="634"/>
      <c r="T58" s="634"/>
      <c r="U58" s="633"/>
      <c r="V58" s="336"/>
      <c r="W58" s="336"/>
      <c r="X58" s="336"/>
      <c r="Y58" s="336"/>
      <c r="Z58" s="336"/>
      <c r="AA58" s="336"/>
      <c r="AB58" s="336"/>
      <c r="AC58" s="336"/>
      <c r="AD58" s="336"/>
      <c r="AE58" s="336"/>
      <c r="AF58" s="336"/>
      <c r="AG58" s="336"/>
      <c r="AH58" s="336"/>
      <c r="AI58" s="336"/>
      <c r="AJ58" s="336"/>
      <c r="AK58" s="336"/>
      <c r="AL58" s="336"/>
      <c r="AM58" s="336"/>
      <c r="AN58" s="336"/>
      <c r="AO58" s="336"/>
      <c r="AP58" s="336"/>
      <c r="AQ58" s="336"/>
      <c r="AR58" s="336"/>
      <c r="AS58" s="336"/>
      <c r="AT58" s="336"/>
      <c r="AU58" s="336"/>
      <c r="AV58" s="336"/>
      <c r="AW58" s="336"/>
      <c r="AX58" s="336"/>
      <c r="AY58" s="336"/>
      <c r="AZ58" s="336"/>
      <c r="BA58" s="632"/>
      <c r="BB58" s="632"/>
      <c r="BC58" s="632"/>
      <c r="BD58" s="632"/>
      <c r="BE58" s="632"/>
      <c r="BF58" s="632"/>
      <c r="BG58" s="632"/>
      <c r="BH58" s="632"/>
      <c r="BI58" s="632"/>
      <c r="BJ58" s="632"/>
      <c r="BK58" s="632"/>
      <c r="BL58" s="632"/>
      <c r="BM58" s="632"/>
      <c r="BN58" s="632"/>
      <c r="BO58" s="632"/>
      <c r="BP58" s="632"/>
      <c r="BQ58" s="632"/>
      <c r="BR58" s="632"/>
      <c r="BS58" s="632"/>
      <c r="BT58" s="632"/>
      <c r="BU58" s="632"/>
      <c r="BV58" s="632"/>
      <c r="BW58" s="632"/>
      <c r="BX58" s="632"/>
      <c r="BY58" s="632"/>
      <c r="BZ58" s="632"/>
      <c r="CA58" s="632"/>
      <c r="CB58" s="632"/>
      <c r="CC58" s="632"/>
      <c r="CD58" s="632"/>
      <c r="CE58" s="632"/>
      <c r="CF58" s="632"/>
      <c r="CG58" s="632"/>
      <c r="CH58" s="632"/>
      <c r="CI58" s="632"/>
      <c r="CJ58" s="632"/>
      <c r="CK58" s="632"/>
      <c r="CL58" s="632"/>
      <c r="CM58" s="632"/>
      <c r="CN58" s="631"/>
    </row>
    <row r="59" spans="2:92" ht="15.75" x14ac:dyDescent="0.2">
      <c r="B59" s="610"/>
      <c r="C59" s="336"/>
      <c r="D59" s="611"/>
      <c r="E59" s="612"/>
      <c r="F59" s="612"/>
      <c r="G59" s="612"/>
      <c r="H59" s="611"/>
      <c r="I59" s="336"/>
      <c r="J59" s="336"/>
      <c r="K59" s="336"/>
      <c r="L59" s="611"/>
      <c r="M59" s="336"/>
      <c r="N59" s="336"/>
      <c r="O59" s="336"/>
      <c r="P59" s="336"/>
      <c r="Q59" s="336"/>
      <c r="R59" s="336"/>
      <c r="S59" s="634"/>
      <c r="T59" s="634"/>
      <c r="U59" s="633"/>
      <c r="V59" s="336"/>
      <c r="W59" s="336"/>
      <c r="X59" s="336"/>
      <c r="Y59" s="336"/>
      <c r="Z59" s="336"/>
      <c r="AA59" s="336"/>
      <c r="AB59" s="336"/>
      <c r="AC59" s="336"/>
      <c r="AD59" s="336"/>
      <c r="AE59" s="336"/>
      <c r="AF59" s="336"/>
      <c r="AG59" s="336"/>
      <c r="AH59" s="336"/>
      <c r="AI59" s="336"/>
      <c r="AJ59" s="336"/>
      <c r="AK59" s="336"/>
      <c r="AL59" s="336"/>
      <c r="AM59" s="336"/>
      <c r="AN59" s="336"/>
      <c r="AO59" s="336"/>
      <c r="AP59" s="336"/>
      <c r="AQ59" s="336"/>
      <c r="AR59" s="336"/>
      <c r="AS59" s="336"/>
      <c r="AT59" s="336"/>
      <c r="AU59" s="336"/>
      <c r="AV59" s="336"/>
      <c r="AW59" s="336"/>
      <c r="AX59" s="336"/>
      <c r="AY59" s="336"/>
      <c r="AZ59" s="336"/>
      <c r="BA59" s="632"/>
      <c r="BB59" s="632"/>
      <c r="BC59" s="632"/>
      <c r="BD59" s="632"/>
      <c r="BE59" s="632"/>
      <c r="BF59" s="632"/>
      <c r="BG59" s="632"/>
      <c r="BH59" s="632"/>
      <c r="BI59" s="632"/>
      <c r="BJ59" s="632"/>
      <c r="BK59" s="632"/>
      <c r="BL59" s="632"/>
      <c r="BM59" s="632"/>
      <c r="BN59" s="632"/>
      <c r="BO59" s="632"/>
      <c r="BP59" s="632"/>
      <c r="BQ59" s="632"/>
      <c r="BR59" s="632"/>
      <c r="BS59" s="632"/>
      <c r="BT59" s="632"/>
      <c r="BU59" s="632"/>
      <c r="BV59" s="632"/>
      <c r="BW59" s="632"/>
      <c r="BX59" s="632"/>
      <c r="BY59" s="632"/>
      <c r="BZ59" s="632"/>
      <c r="CA59" s="632"/>
      <c r="CB59" s="632"/>
      <c r="CC59" s="632"/>
      <c r="CD59" s="632"/>
      <c r="CE59" s="632"/>
      <c r="CF59" s="632"/>
      <c r="CG59" s="632"/>
      <c r="CH59" s="632"/>
      <c r="CI59" s="632"/>
      <c r="CJ59" s="632"/>
      <c r="CK59" s="632"/>
      <c r="CL59" s="632"/>
      <c r="CM59" s="632"/>
      <c r="CN59" s="631"/>
    </row>
    <row r="60" spans="2:92" ht="16.5" thickBot="1" x14ac:dyDescent="0.25">
      <c r="B60" s="610"/>
      <c r="C60" s="336"/>
      <c r="D60" s="611"/>
      <c r="E60" s="612"/>
      <c r="F60" s="612"/>
      <c r="G60" s="612"/>
      <c r="H60" s="611"/>
      <c r="I60" s="336"/>
      <c r="J60" s="336"/>
      <c r="K60" s="336"/>
      <c r="L60" s="611"/>
      <c r="M60" s="336"/>
      <c r="N60" s="336"/>
      <c r="O60" s="336"/>
      <c r="P60" s="336"/>
      <c r="Q60" s="336"/>
      <c r="R60" s="336"/>
      <c r="S60" s="634"/>
      <c r="T60" s="634"/>
      <c r="U60" s="633"/>
      <c r="V60" s="336"/>
      <c r="W60" s="336"/>
      <c r="X60" s="336"/>
      <c r="Y60" s="336"/>
      <c r="Z60" s="336"/>
      <c r="AA60" s="336"/>
      <c r="AB60" s="336"/>
      <c r="AC60" s="336"/>
      <c r="AD60" s="336"/>
      <c r="AE60" s="336"/>
      <c r="AF60" s="336"/>
      <c r="AG60" s="336"/>
      <c r="AH60" s="336"/>
      <c r="AI60" s="336"/>
      <c r="AJ60" s="336"/>
      <c r="AK60" s="336"/>
      <c r="AL60" s="336"/>
      <c r="AM60" s="336"/>
      <c r="AN60" s="336"/>
      <c r="AO60" s="336"/>
      <c r="AP60" s="336"/>
      <c r="AQ60" s="336"/>
      <c r="AR60" s="336"/>
      <c r="AS60" s="336"/>
      <c r="AT60" s="336"/>
      <c r="AU60" s="336"/>
      <c r="AV60" s="336"/>
      <c r="AW60" s="336"/>
      <c r="AX60" s="336"/>
      <c r="AY60" s="336"/>
      <c r="AZ60" s="336"/>
      <c r="BA60" s="632"/>
      <c r="BB60" s="632"/>
      <c r="BC60" s="632"/>
      <c r="BD60" s="632"/>
      <c r="BE60" s="632"/>
      <c r="BF60" s="632"/>
      <c r="BG60" s="632"/>
      <c r="BH60" s="632"/>
      <c r="BI60" s="632"/>
      <c r="BJ60" s="632"/>
      <c r="BK60" s="632"/>
      <c r="BL60" s="632"/>
      <c r="BM60" s="632"/>
      <c r="BN60" s="632"/>
      <c r="BO60" s="632"/>
      <c r="BP60" s="632"/>
      <c r="BQ60" s="632"/>
      <c r="BR60" s="632"/>
      <c r="BS60" s="632"/>
      <c r="BT60" s="632"/>
      <c r="BU60" s="632"/>
      <c r="BV60" s="632"/>
      <c r="BW60" s="632"/>
      <c r="BX60" s="632"/>
      <c r="BY60" s="632"/>
      <c r="BZ60" s="632"/>
      <c r="CA60" s="632"/>
      <c r="CB60" s="632"/>
      <c r="CC60" s="632"/>
      <c r="CD60" s="632"/>
      <c r="CE60" s="632"/>
      <c r="CF60" s="632"/>
      <c r="CG60" s="632"/>
      <c r="CH60" s="632"/>
      <c r="CI60" s="632"/>
      <c r="CJ60" s="632"/>
      <c r="CK60" s="632"/>
      <c r="CL60" s="632"/>
      <c r="CM60" s="632"/>
      <c r="CN60" s="631"/>
    </row>
    <row r="61" spans="2:92" ht="27" thickBot="1" x14ac:dyDescent="0.25">
      <c r="B61" s="610"/>
      <c r="C61" s="336"/>
      <c r="D61" s="611"/>
      <c r="E61" s="612"/>
      <c r="F61" s="612"/>
      <c r="G61" s="612"/>
      <c r="H61" s="1018" t="s">
        <v>1328</v>
      </c>
      <c r="I61" s="1019"/>
      <c r="J61" s="1019"/>
      <c r="K61" s="1019"/>
      <c r="L61" s="1019"/>
      <c r="M61" s="1019"/>
      <c r="N61" s="1019"/>
      <c r="O61" s="1019"/>
      <c r="P61" s="1019"/>
      <c r="Q61" s="1020"/>
      <c r="R61" s="336"/>
      <c r="S61" s="634"/>
      <c r="T61" s="634"/>
      <c r="U61" s="633"/>
      <c r="V61" s="336"/>
      <c r="W61" s="336"/>
      <c r="X61" s="336"/>
      <c r="Y61" s="336"/>
      <c r="Z61" s="336"/>
      <c r="AA61" s="336"/>
      <c r="AB61" s="336"/>
      <c r="AC61" s="336"/>
      <c r="AD61" s="336"/>
      <c r="AE61" s="336"/>
      <c r="AF61" s="336"/>
      <c r="AG61" s="336"/>
      <c r="AH61" s="336"/>
      <c r="AI61" s="336"/>
      <c r="AJ61" s="336"/>
      <c r="AK61" s="336"/>
      <c r="AL61" s="336"/>
      <c r="AM61" s="336"/>
      <c r="AN61" s="336"/>
      <c r="AO61" s="336"/>
      <c r="AP61" s="336"/>
      <c r="AQ61" s="336"/>
      <c r="AR61" s="336"/>
      <c r="AS61" s="336"/>
      <c r="AT61" s="336"/>
      <c r="AU61" s="336"/>
      <c r="AV61" s="336"/>
      <c r="AW61" s="336"/>
      <c r="AX61" s="336"/>
      <c r="AY61" s="336"/>
      <c r="AZ61" s="336"/>
      <c r="BA61" s="632"/>
      <c r="BB61" s="632"/>
      <c r="BC61" s="632"/>
      <c r="BD61" s="632"/>
      <c r="BE61" s="632"/>
      <c r="BF61" s="632"/>
      <c r="BG61" s="632"/>
      <c r="BH61" s="632"/>
      <c r="BI61" s="632"/>
      <c r="BJ61" s="632"/>
      <c r="BK61" s="632"/>
      <c r="BL61" s="632"/>
      <c r="BM61" s="632"/>
      <c r="BN61" s="632"/>
      <c r="BO61" s="632"/>
      <c r="BP61" s="632"/>
      <c r="BQ61" s="632"/>
      <c r="BR61" s="632"/>
      <c r="BS61" s="632"/>
      <c r="BT61" s="632"/>
      <c r="BU61" s="632"/>
      <c r="BV61" s="632"/>
      <c r="BW61" s="632"/>
      <c r="BX61" s="632"/>
      <c r="BY61" s="632"/>
      <c r="BZ61" s="632"/>
      <c r="CA61" s="632"/>
      <c r="CB61" s="632"/>
      <c r="CC61" s="632"/>
      <c r="CD61" s="632"/>
      <c r="CE61" s="632"/>
      <c r="CF61" s="632"/>
      <c r="CG61" s="632"/>
      <c r="CH61" s="632"/>
      <c r="CI61" s="632"/>
      <c r="CJ61" s="632"/>
      <c r="CK61" s="632"/>
      <c r="CL61" s="632"/>
      <c r="CM61" s="632"/>
      <c r="CN61" s="631"/>
    </row>
    <row r="62" spans="2:92" ht="30" x14ac:dyDescent="0.2">
      <c r="B62" s="610"/>
      <c r="C62" s="336"/>
      <c r="D62" s="611"/>
      <c r="E62" s="612"/>
      <c r="F62" s="612"/>
      <c r="G62" s="612"/>
      <c r="H62" s="613" t="s">
        <v>768</v>
      </c>
      <c r="I62" s="655" t="s">
        <v>65</v>
      </c>
      <c r="J62" s="655" t="s">
        <v>1326</v>
      </c>
      <c r="K62" s="698" t="s">
        <v>1329</v>
      </c>
      <c r="L62" s="655" t="s">
        <v>1330</v>
      </c>
      <c r="M62" s="655" t="s">
        <v>1331</v>
      </c>
      <c r="N62" s="655" t="s">
        <v>1332</v>
      </c>
      <c r="O62" s="697" t="s">
        <v>1333</v>
      </c>
      <c r="P62" s="697" t="s">
        <v>1334</v>
      </c>
      <c r="Q62" s="696" t="s">
        <v>1335</v>
      </c>
      <c r="R62" s="336"/>
      <c r="S62" s="634"/>
      <c r="T62" s="634"/>
      <c r="U62" s="633"/>
      <c r="V62" s="336"/>
      <c r="W62" s="336"/>
      <c r="X62" s="336"/>
      <c r="Y62" s="336"/>
      <c r="Z62" s="336"/>
      <c r="AA62" s="336"/>
      <c r="AB62" s="336"/>
      <c r="AC62" s="336"/>
      <c r="AD62" s="336"/>
      <c r="AE62" s="336"/>
      <c r="AF62" s="336"/>
      <c r="AG62" s="336"/>
      <c r="AH62" s="336"/>
      <c r="AI62" s="336"/>
      <c r="AJ62" s="336"/>
      <c r="AK62" s="336"/>
      <c r="AL62" s="336"/>
      <c r="AM62" s="336"/>
      <c r="AN62" s="336"/>
      <c r="AO62" s="336"/>
      <c r="AP62" s="336"/>
      <c r="AQ62" s="336"/>
      <c r="AR62" s="336"/>
      <c r="AS62" s="336"/>
      <c r="AT62" s="336"/>
      <c r="AU62" s="336"/>
      <c r="AV62" s="336"/>
      <c r="AW62" s="336"/>
      <c r="AX62" s="336"/>
      <c r="AY62" s="336"/>
      <c r="AZ62" s="336"/>
      <c r="BA62" s="632"/>
      <c r="BB62" s="632"/>
      <c r="BC62" s="632"/>
      <c r="BD62" s="632"/>
      <c r="BE62" s="632"/>
      <c r="BF62" s="632"/>
      <c r="BG62" s="632"/>
      <c r="BH62" s="632"/>
      <c r="BI62" s="632"/>
      <c r="BJ62" s="632"/>
      <c r="BK62" s="632"/>
      <c r="BL62" s="632"/>
      <c r="BM62" s="632"/>
      <c r="BN62" s="632"/>
      <c r="BO62" s="632"/>
      <c r="BP62" s="632"/>
      <c r="BQ62" s="632"/>
      <c r="BR62" s="632"/>
      <c r="BS62" s="632"/>
      <c r="BT62" s="632"/>
      <c r="BU62" s="632"/>
      <c r="BV62" s="632"/>
      <c r="BW62" s="632"/>
      <c r="BX62" s="632"/>
      <c r="BY62" s="632"/>
      <c r="BZ62" s="632"/>
      <c r="CA62" s="632"/>
      <c r="CB62" s="632"/>
      <c r="CC62" s="632"/>
      <c r="CD62" s="632"/>
      <c r="CE62" s="632"/>
      <c r="CF62" s="632"/>
      <c r="CG62" s="632"/>
      <c r="CH62" s="632"/>
      <c r="CI62" s="632"/>
      <c r="CJ62" s="632"/>
      <c r="CK62" s="632"/>
      <c r="CL62" s="632"/>
      <c r="CM62" s="632"/>
      <c r="CN62" s="631"/>
    </row>
    <row r="63" spans="2:92" ht="15.75" x14ac:dyDescent="0.2">
      <c r="B63" s="610"/>
      <c r="C63" s="336"/>
      <c r="D63" s="611"/>
      <c r="E63" s="612"/>
      <c r="F63" s="612"/>
      <c r="G63" s="612"/>
      <c r="H63" s="618">
        <f>'I. Stream &amp; Compound Data'!F262</f>
        <v>1</v>
      </c>
      <c r="I63" s="677" t="str">
        <f>IF('I. Stream &amp; Compound Data'!G262&lt;&gt;"",'I. Stream &amp; Compound Data'!G262,"")</f>
        <v>FAME (Methyl oleate)</v>
      </c>
      <c r="J63" s="676">
        <f t="shared" ref="J63:J94" si="2">Q5</f>
        <v>19.897199999999998</v>
      </c>
      <c r="K63" s="652">
        <f>IF('I. Stream &amp; Compound Data'!T262&lt;&gt;"",'I. Stream &amp; Compound Data'!T262,IF(OR('I. Stream &amp; Compound Data'!U262=1,'I. Stream &amp; Compound Data'!V262=1),0,""))</f>
        <v>0</v>
      </c>
      <c r="L63" s="676">
        <f t="shared" ref="L63:L94" si="3">IF(J63&lt;&gt;"",J63*K63,"")</f>
        <v>0</v>
      </c>
      <c r="M63" s="651">
        <f t="shared" ref="M63:M94" si="4">IF(J63&lt;&gt;"",J63-L63,"")</f>
        <v>19.897199999999998</v>
      </c>
      <c r="N63" s="651">
        <f t="shared" ref="N63:N94" si="5">J63</f>
        <v>19.897199999999998</v>
      </c>
      <c r="O63" s="652">
        <f>IF(J63&lt;&gt;"",'I. Stream &amp; Compound Data'!AM262,"")</f>
        <v>0</v>
      </c>
      <c r="P63" s="651">
        <f t="shared" ref="P63:P94" si="6">IF(J63="","",J63*O63)</f>
        <v>0</v>
      </c>
      <c r="Q63" s="667">
        <f t="shared" ref="Q63:Q94" si="7">IF(I63="","",IF(P63=0,0,P63-L63))</f>
        <v>0</v>
      </c>
      <c r="R63" s="336"/>
      <c r="S63" s="634"/>
      <c r="T63" s="634"/>
      <c r="U63" s="633"/>
      <c r="V63" s="336"/>
      <c r="W63" s="336"/>
      <c r="X63" s="336"/>
      <c r="Y63" s="336"/>
      <c r="Z63" s="336"/>
      <c r="AA63" s="336"/>
      <c r="AB63" s="336"/>
      <c r="AC63" s="336"/>
      <c r="AD63" s="336"/>
      <c r="AE63" s="336"/>
      <c r="AF63" s="336"/>
      <c r="AG63" s="336"/>
      <c r="AH63" s="336"/>
      <c r="AI63" s="336"/>
      <c r="AJ63" s="336"/>
      <c r="AK63" s="336"/>
      <c r="AL63" s="336"/>
      <c r="AM63" s="336"/>
      <c r="AN63" s="336"/>
      <c r="AO63" s="336"/>
      <c r="AP63" s="336"/>
      <c r="AQ63" s="336"/>
      <c r="AR63" s="336"/>
      <c r="AS63" s="336"/>
      <c r="AT63" s="336"/>
      <c r="AU63" s="336"/>
      <c r="AV63" s="336"/>
      <c r="AW63" s="336"/>
      <c r="AX63" s="336"/>
      <c r="AY63" s="336"/>
      <c r="AZ63" s="336"/>
      <c r="BA63" s="632"/>
      <c r="BB63" s="632"/>
      <c r="BC63" s="632"/>
      <c r="BD63" s="632"/>
      <c r="BE63" s="632"/>
      <c r="BF63" s="632"/>
      <c r="BG63" s="632"/>
      <c r="BH63" s="632"/>
      <c r="BI63" s="632"/>
      <c r="BJ63" s="632"/>
      <c r="BK63" s="632"/>
      <c r="BL63" s="632"/>
      <c r="BM63" s="632"/>
      <c r="BN63" s="632"/>
      <c r="BO63" s="632"/>
      <c r="BP63" s="632"/>
      <c r="BQ63" s="632"/>
      <c r="BR63" s="632"/>
      <c r="BS63" s="632"/>
      <c r="BT63" s="632"/>
      <c r="BU63" s="632"/>
      <c r="BV63" s="632"/>
      <c r="BW63" s="632"/>
      <c r="BX63" s="632"/>
      <c r="BY63" s="632"/>
      <c r="BZ63" s="632"/>
      <c r="CA63" s="632"/>
      <c r="CB63" s="632"/>
      <c r="CC63" s="632"/>
      <c r="CD63" s="632"/>
      <c r="CE63" s="632"/>
      <c r="CF63" s="632"/>
      <c r="CG63" s="632"/>
      <c r="CH63" s="632"/>
      <c r="CI63" s="632"/>
      <c r="CJ63" s="632"/>
      <c r="CK63" s="632"/>
      <c r="CL63" s="632"/>
      <c r="CM63" s="632"/>
      <c r="CN63" s="631"/>
    </row>
    <row r="64" spans="2:92" ht="15.75" x14ac:dyDescent="0.2">
      <c r="B64" s="610"/>
      <c r="C64" s="336"/>
      <c r="D64" s="611"/>
      <c r="E64" s="612"/>
      <c r="F64" s="612"/>
      <c r="G64" s="612"/>
      <c r="H64" s="618">
        <f>'I. Stream &amp; Compound Data'!F263</f>
        <v>2</v>
      </c>
      <c r="I64" s="677" t="str">
        <f>IF('I. Stream &amp; Compound Data'!G263&lt;&gt;"",'I. Stream &amp; Compound Data'!G263,"")</f>
        <v>Glycerol</v>
      </c>
      <c r="J64" s="676">
        <f t="shared" si="2"/>
        <v>110.0103</v>
      </c>
      <c r="K64" s="652">
        <f>IF('I. Stream &amp; Compound Data'!T263&lt;&gt;"",'I. Stream &amp; Compound Data'!T263,IF(OR('I. Stream &amp; Compound Data'!U263=1,'I. Stream &amp; Compound Data'!V263=1),0,""))</f>
        <v>0.8</v>
      </c>
      <c r="L64" s="676">
        <f t="shared" si="3"/>
        <v>88.008240000000001</v>
      </c>
      <c r="M64" s="651">
        <f t="shared" si="4"/>
        <v>22.00206</v>
      </c>
      <c r="N64" s="651">
        <f t="shared" si="5"/>
        <v>110.0103</v>
      </c>
      <c r="O64" s="652">
        <f>IF(J64&lt;&gt;"",'I. Stream &amp; Compound Data'!AM263,"")</f>
        <v>0</v>
      </c>
      <c r="P64" s="651">
        <f t="shared" si="6"/>
        <v>0</v>
      </c>
      <c r="Q64" s="667">
        <f t="shared" si="7"/>
        <v>0</v>
      </c>
      <c r="R64" s="336"/>
      <c r="S64" s="634"/>
      <c r="T64" s="634"/>
      <c r="U64" s="633"/>
      <c r="V64" s="336"/>
      <c r="W64" s="336"/>
      <c r="X64" s="336"/>
      <c r="Y64" s="336"/>
      <c r="Z64" s="336"/>
      <c r="AA64" s="336"/>
      <c r="AB64" s="336"/>
      <c r="AC64" s="336"/>
      <c r="AD64" s="336"/>
      <c r="AE64" s="336"/>
      <c r="AF64" s="336"/>
      <c r="AG64" s="336"/>
      <c r="AH64" s="336"/>
      <c r="AI64" s="336"/>
      <c r="AJ64" s="336"/>
      <c r="AK64" s="336"/>
      <c r="AL64" s="336"/>
      <c r="AM64" s="336"/>
      <c r="AN64" s="336"/>
      <c r="AO64" s="336"/>
      <c r="AP64" s="336"/>
      <c r="AQ64" s="336"/>
      <c r="AR64" s="336"/>
      <c r="AS64" s="336"/>
      <c r="AT64" s="336"/>
      <c r="AU64" s="336"/>
      <c r="AV64" s="336"/>
      <c r="AW64" s="336"/>
      <c r="AX64" s="336"/>
      <c r="AY64" s="336"/>
      <c r="AZ64" s="336"/>
      <c r="BA64" s="632"/>
      <c r="BB64" s="632"/>
      <c r="BC64" s="632"/>
      <c r="BD64" s="632"/>
      <c r="BE64" s="632"/>
      <c r="BF64" s="632"/>
      <c r="BG64" s="632"/>
      <c r="BH64" s="632"/>
      <c r="BI64" s="632"/>
      <c r="BJ64" s="632"/>
      <c r="BK64" s="632"/>
      <c r="BL64" s="632"/>
      <c r="BM64" s="632"/>
      <c r="BN64" s="632"/>
      <c r="BO64" s="632"/>
      <c r="BP64" s="632"/>
      <c r="BQ64" s="632"/>
      <c r="BR64" s="632"/>
      <c r="BS64" s="632"/>
      <c r="BT64" s="632"/>
      <c r="BU64" s="632"/>
      <c r="BV64" s="632"/>
      <c r="BW64" s="632"/>
      <c r="BX64" s="632"/>
      <c r="BY64" s="632"/>
      <c r="BZ64" s="632"/>
      <c r="CA64" s="632"/>
      <c r="CB64" s="632"/>
      <c r="CC64" s="632"/>
      <c r="CD64" s="632"/>
      <c r="CE64" s="632"/>
      <c r="CF64" s="632"/>
      <c r="CG64" s="632"/>
      <c r="CH64" s="632"/>
      <c r="CI64" s="632"/>
      <c r="CJ64" s="632"/>
      <c r="CK64" s="632"/>
      <c r="CL64" s="632"/>
      <c r="CM64" s="632"/>
      <c r="CN64" s="631"/>
    </row>
    <row r="65" spans="2:92" ht="15.75" x14ac:dyDescent="0.2">
      <c r="B65" s="610"/>
      <c r="C65" s="336"/>
      <c r="D65" s="611"/>
      <c r="E65" s="612"/>
      <c r="F65" s="612"/>
      <c r="G65" s="612"/>
      <c r="H65" s="618">
        <f>'I. Stream &amp; Compound Data'!F264</f>
        <v>3</v>
      </c>
      <c r="I65" s="677" t="str">
        <f>IF('I. Stream &amp; Compound Data'!G264&lt;&gt;"",'I. Stream &amp; Compound Data'!G264,"")</f>
        <v>Methanol</v>
      </c>
      <c r="J65" s="676">
        <f t="shared" si="2"/>
        <v>0</v>
      </c>
      <c r="K65" s="652">
        <f>IF('I. Stream &amp; Compound Data'!T264&lt;&gt;"",'I. Stream &amp; Compound Data'!T264,IF(OR('I. Stream &amp; Compound Data'!U264=1,'I. Stream &amp; Compound Data'!V264=1),0,""))</f>
        <v>0</v>
      </c>
      <c r="L65" s="676">
        <f t="shared" si="3"/>
        <v>0</v>
      </c>
      <c r="M65" s="651">
        <f t="shared" si="4"/>
        <v>0</v>
      </c>
      <c r="N65" s="651">
        <f t="shared" si="5"/>
        <v>0</v>
      </c>
      <c r="O65" s="652">
        <f>IF(J65&lt;&gt;"",'I. Stream &amp; Compound Data'!AM264,"")</f>
        <v>1</v>
      </c>
      <c r="P65" s="651">
        <f t="shared" si="6"/>
        <v>0</v>
      </c>
      <c r="Q65" s="667">
        <f t="shared" si="7"/>
        <v>0</v>
      </c>
      <c r="R65" s="336"/>
      <c r="S65" s="634"/>
      <c r="T65" s="634"/>
      <c r="U65" s="633"/>
      <c r="V65" s="336"/>
      <c r="W65" s="336"/>
      <c r="X65" s="336"/>
      <c r="Y65" s="336"/>
      <c r="Z65" s="336"/>
      <c r="AA65" s="336"/>
      <c r="AB65" s="336"/>
      <c r="AC65" s="336"/>
      <c r="AD65" s="336"/>
      <c r="AE65" s="336"/>
      <c r="AF65" s="336"/>
      <c r="AG65" s="336"/>
      <c r="AH65" s="336"/>
      <c r="AI65" s="336"/>
      <c r="AJ65" s="336"/>
      <c r="AK65" s="336"/>
      <c r="AL65" s="336"/>
      <c r="AM65" s="336"/>
      <c r="AN65" s="336"/>
      <c r="AO65" s="336"/>
      <c r="AP65" s="336"/>
      <c r="AQ65" s="336"/>
      <c r="AR65" s="336"/>
      <c r="AS65" s="336"/>
      <c r="AT65" s="336"/>
      <c r="AU65" s="336"/>
      <c r="AV65" s="336"/>
      <c r="AW65" s="336"/>
      <c r="AX65" s="336"/>
      <c r="AY65" s="336"/>
      <c r="AZ65" s="336"/>
      <c r="BA65" s="632"/>
      <c r="BB65" s="632"/>
      <c r="BC65" s="632"/>
      <c r="BD65" s="632"/>
      <c r="BE65" s="632"/>
      <c r="BF65" s="632"/>
      <c r="BG65" s="632"/>
      <c r="BH65" s="632"/>
      <c r="BI65" s="632"/>
      <c r="BJ65" s="632"/>
      <c r="BK65" s="632"/>
      <c r="BL65" s="632"/>
      <c r="BM65" s="632"/>
      <c r="BN65" s="632"/>
      <c r="BO65" s="632"/>
      <c r="BP65" s="632"/>
      <c r="BQ65" s="632"/>
      <c r="BR65" s="632"/>
      <c r="BS65" s="632"/>
      <c r="BT65" s="632"/>
      <c r="BU65" s="632"/>
      <c r="BV65" s="632"/>
      <c r="BW65" s="632"/>
      <c r="BX65" s="632"/>
      <c r="BY65" s="632"/>
      <c r="BZ65" s="632"/>
      <c r="CA65" s="632"/>
      <c r="CB65" s="632"/>
      <c r="CC65" s="632"/>
      <c r="CD65" s="632"/>
      <c r="CE65" s="632"/>
      <c r="CF65" s="632"/>
      <c r="CG65" s="632"/>
      <c r="CH65" s="632"/>
      <c r="CI65" s="632"/>
      <c r="CJ65" s="632"/>
      <c r="CK65" s="632"/>
      <c r="CL65" s="632"/>
      <c r="CM65" s="632"/>
      <c r="CN65" s="631"/>
    </row>
    <row r="66" spans="2:92" ht="15.75" x14ac:dyDescent="0.2">
      <c r="B66" s="610"/>
      <c r="C66" s="336"/>
      <c r="D66" s="611"/>
      <c r="E66" s="612"/>
      <c r="F66" s="612"/>
      <c r="G66" s="612"/>
      <c r="H66" s="618">
        <f>'I. Stream &amp; Compound Data'!F265</f>
        <v>4</v>
      </c>
      <c r="I66" s="677" t="str">
        <f>IF('I. Stream &amp; Compound Data'!G265&lt;&gt;"",'I. Stream &amp; Compound Data'!G265,"")</f>
        <v>Phosphoric Acid</v>
      </c>
      <c r="J66" s="676">
        <f t="shared" si="2"/>
        <v>0</v>
      </c>
      <c r="K66" s="652">
        <f>IF('I. Stream &amp; Compound Data'!T265&lt;&gt;"",'I. Stream &amp; Compound Data'!T265,IF(OR('I. Stream &amp; Compound Data'!U265=1,'I. Stream &amp; Compound Data'!V265=1),0,""))</f>
        <v>0.8</v>
      </c>
      <c r="L66" s="676">
        <f t="shared" si="3"/>
        <v>0</v>
      </c>
      <c r="M66" s="651">
        <f t="shared" si="4"/>
        <v>0</v>
      </c>
      <c r="N66" s="651">
        <f t="shared" si="5"/>
        <v>0</v>
      </c>
      <c r="O66" s="652">
        <f>IF(J66&lt;&gt;"",'I. Stream &amp; Compound Data'!AM265,"")</f>
        <v>1</v>
      </c>
      <c r="P66" s="651">
        <f t="shared" si="6"/>
        <v>0</v>
      </c>
      <c r="Q66" s="667">
        <f t="shared" si="7"/>
        <v>0</v>
      </c>
      <c r="R66" s="336"/>
      <c r="S66" s="634"/>
      <c r="T66" s="634"/>
      <c r="U66" s="633"/>
      <c r="V66" s="336"/>
      <c r="W66" s="336"/>
      <c r="X66" s="336"/>
      <c r="Y66" s="336"/>
      <c r="Z66" s="336"/>
      <c r="AA66" s="336"/>
      <c r="AB66" s="336"/>
      <c r="AC66" s="336"/>
      <c r="AD66" s="336"/>
      <c r="AE66" s="336"/>
      <c r="AF66" s="336"/>
      <c r="AG66" s="336"/>
      <c r="AH66" s="336"/>
      <c r="AI66" s="336"/>
      <c r="AJ66" s="336"/>
      <c r="AK66" s="336"/>
      <c r="AL66" s="336"/>
      <c r="AM66" s="336"/>
      <c r="AN66" s="336"/>
      <c r="AO66" s="336"/>
      <c r="AP66" s="336"/>
      <c r="AQ66" s="336"/>
      <c r="AR66" s="336"/>
      <c r="AS66" s="336"/>
      <c r="AT66" s="336"/>
      <c r="AU66" s="336"/>
      <c r="AV66" s="336"/>
      <c r="AW66" s="336"/>
      <c r="AX66" s="336"/>
      <c r="AY66" s="336"/>
      <c r="AZ66" s="336"/>
      <c r="BA66" s="632"/>
      <c r="BB66" s="632"/>
      <c r="BC66" s="632"/>
      <c r="BD66" s="632"/>
      <c r="BE66" s="632"/>
      <c r="BF66" s="632"/>
      <c r="BG66" s="632"/>
      <c r="BH66" s="632"/>
      <c r="BI66" s="632"/>
      <c r="BJ66" s="632"/>
      <c r="BK66" s="632"/>
      <c r="BL66" s="632"/>
      <c r="BM66" s="632"/>
      <c r="BN66" s="632"/>
      <c r="BO66" s="632"/>
      <c r="BP66" s="632"/>
      <c r="BQ66" s="632"/>
      <c r="BR66" s="632"/>
      <c r="BS66" s="632"/>
      <c r="BT66" s="632"/>
      <c r="BU66" s="632"/>
      <c r="BV66" s="632"/>
      <c r="BW66" s="632"/>
      <c r="BX66" s="632"/>
      <c r="BY66" s="632"/>
      <c r="BZ66" s="632"/>
      <c r="CA66" s="632"/>
      <c r="CB66" s="632"/>
      <c r="CC66" s="632"/>
      <c r="CD66" s="632"/>
      <c r="CE66" s="632"/>
      <c r="CF66" s="632"/>
      <c r="CG66" s="632"/>
      <c r="CH66" s="632"/>
      <c r="CI66" s="632"/>
      <c r="CJ66" s="632"/>
      <c r="CK66" s="632"/>
      <c r="CL66" s="632"/>
      <c r="CM66" s="632"/>
      <c r="CN66" s="631"/>
    </row>
    <row r="67" spans="2:92" ht="15.75" x14ac:dyDescent="0.2">
      <c r="B67" s="610"/>
      <c r="C67" s="336"/>
      <c r="D67" s="611"/>
      <c r="E67" s="612"/>
      <c r="F67" s="612"/>
      <c r="G67" s="612"/>
      <c r="H67" s="618">
        <f>'I. Stream &amp; Compound Data'!F266</f>
        <v>5</v>
      </c>
      <c r="I67" s="677" t="str">
        <f>IF('I. Stream &amp; Compound Data'!G266&lt;&gt;"",'I. Stream &amp; Compound Data'!G266,"")</f>
        <v>Trisodium Phosphate</v>
      </c>
      <c r="J67" s="676">
        <f t="shared" si="2"/>
        <v>4.9287999999999998</v>
      </c>
      <c r="K67" s="652">
        <f>IF('I. Stream &amp; Compound Data'!T266&lt;&gt;"",'I. Stream &amp; Compound Data'!T266,IF(OR('I. Stream &amp; Compound Data'!U266=1,'I. Stream &amp; Compound Data'!V266=1),0,""))</f>
        <v>0</v>
      </c>
      <c r="L67" s="676">
        <f t="shared" si="3"/>
        <v>0</v>
      </c>
      <c r="M67" s="651">
        <f t="shared" si="4"/>
        <v>4.9287999999999998</v>
      </c>
      <c r="N67" s="651">
        <f t="shared" si="5"/>
        <v>4.9287999999999998</v>
      </c>
      <c r="O67" s="652">
        <f>IF(J67&lt;&gt;"",'I. Stream &amp; Compound Data'!AM266,"")</f>
        <v>1</v>
      </c>
      <c r="P67" s="651">
        <f t="shared" si="6"/>
        <v>4.9287999999999998</v>
      </c>
      <c r="Q67" s="667">
        <f t="shared" si="7"/>
        <v>4.9287999999999998</v>
      </c>
      <c r="R67" s="336"/>
      <c r="S67" s="634"/>
      <c r="T67" s="634"/>
      <c r="U67" s="633"/>
      <c r="V67" s="336"/>
      <c r="W67" s="336"/>
      <c r="X67" s="336"/>
      <c r="Y67" s="336"/>
      <c r="Z67" s="336"/>
      <c r="AA67" s="336"/>
      <c r="AB67" s="336"/>
      <c r="AC67" s="336"/>
      <c r="AD67" s="336"/>
      <c r="AE67" s="336"/>
      <c r="AF67" s="336"/>
      <c r="AG67" s="336"/>
      <c r="AH67" s="336"/>
      <c r="AI67" s="336"/>
      <c r="AJ67" s="336"/>
      <c r="AK67" s="336"/>
      <c r="AL67" s="336"/>
      <c r="AM67" s="336"/>
      <c r="AN67" s="336"/>
      <c r="AO67" s="336"/>
      <c r="AP67" s="336"/>
      <c r="AQ67" s="336"/>
      <c r="AR67" s="336"/>
      <c r="AS67" s="336"/>
      <c r="AT67" s="336"/>
      <c r="AU67" s="336"/>
      <c r="AV67" s="336"/>
      <c r="AW67" s="336"/>
      <c r="AX67" s="336"/>
      <c r="AY67" s="336"/>
      <c r="AZ67" s="336"/>
      <c r="BA67" s="632"/>
      <c r="BB67" s="632"/>
      <c r="BC67" s="632"/>
      <c r="BD67" s="632"/>
      <c r="BE67" s="632"/>
      <c r="BF67" s="632"/>
      <c r="BG67" s="632"/>
      <c r="BH67" s="632"/>
      <c r="BI67" s="632"/>
      <c r="BJ67" s="632"/>
      <c r="BK67" s="632"/>
      <c r="BL67" s="632"/>
      <c r="BM67" s="632"/>
      <c r="BN67" s="632"/>
      <c r="BO67" s="632"/>
      <c r="BP67" s="632"/>
      <c r="BQ67" s="632"/>
      <c r="BR67" s="632"/>
      <c r="BS67" s="632"/>
      <c r="BT67" s="632"/>
      <c r="BU67" s="632"/>
      <c r="BV67" s="632"/>
      <c r="BW67" s="632"/>
      <c r="BX67" s="632"/>
      <c r="BY67" s="632"/>
      <c r="BZ67" s="632"/>
      <c r="CA67" s="632"/>
      <c r="CB67" s="632"/>
      <c r="CC67" s="632"/>
      <c r="CD67" s="632"/>
      <c r="CE67" s="632"/>
      <c r="CF67" s="632"/>
      <c r="CG67" s="632"/>
      <c r="CH67" s="632"/>
      <c r="CI67" s="632"/>
      <c r="CJ67" s="632"/>
      <c r="CK67" s="632"/>
      <c r="CL67" s="632"/>
      <c r="CM67" s="632"/>
      <c r="CN67" s="631"/>
    </row>
    <row r="68" spans="2:92" ht="15.75" x14ac:dyDescent="0.2">
      <c r="B68" s="610"/>
      <c r="C68" s="336"/>
      <c r="D68" s="611"/>
      <c r="E68" s="612"/>
      <c r="F68" s="612"/>
      <c r="G68" s="612"/>
      <c r="H68" s="618">
        <f>'I. Stream &amp; Compound Data'!F267</f>
        <v>6</v>
      </c>
      <c r="I68" s="677" t="str">
        <f>IF('I. Stream &amp; Compound Data'!G267&lt;&gt;"",'I. Stream &amp; Compound Data'!G267,"")</f>
        <v>OIL (Triolein)</v>
      </c>
      <c r="J68" s="676">
        <f t="shared" si="2"/>
        <v>48.5946</v>
      </c>
      <c r="K68" s="652">
        <f>IF('I. Stream &amp; Compound Data'!T267&lt;&gt;"",'I. Stream &amp; Compound Data'!T267,IF(OR('I. Stream &amp; Compound Data'!U267=1,'I. Stream &amp; Compound Data'!V267=1),0,""))</f>
        <v>0.8</v>
      </c>
      <c r="L68" s="676">
        <f t="shared" si="3"/>
        <v>38.875680000000003</v>
      </c>
      <c r="M68" s="651">
        <f t="shared" si="4"/>
        <v>9.7189199999999971</v>
      </c>
      <c r="N68" s="651">
        <f t="shared" si="5"/>
        <v>48.5946</v>
      </c>
      <c r="O68" s="652">
        <f>IF(J68&lt;&gt;"",'I. Stream &amp; Compound Data'!AM267,"")</f>
        <v>0</v>
      </c>
      <c r="P68" s="651">
        <f t="shared" si="6"/>
        <v>0</v>
      </c>
      <c r="Q68" s="667">
        <f t="shared" si="7"/>
        <v>0</v>
      </c>
      <c r="R68" s="336"/>
      <c r="S68" s="634"/>
      <c r="T68" s="634"/>
      <c r="U68" s="633"/>
      <c r="V68" s="336"/>
      <c r="W68" s="336"/>
      <c r="X68" s="336"/>
      <c r="Y68" s="336"/>
      <c r="Z68" s="336"/>
      <c r="AA68" s="336"/>
      <c r="AB68" s="336"/>
      <c r="AC68" s="336"/>
      <c r="AD68" s="336"/>
      <c r="AE68" s="336"/>
      <c r="AF68" s="336"/>
      <c r="AG68" s="336"/>
      <c r="AH68" s="336"/>
      <c r="AI68" s="336"/>
      <c r="AJ68" s="336"/>
      <c r="AK68" s="336"/>
      <c r="AL68" s="336"/>
      <c r="AM68" s="336"/>
      <c r="AN68" s="336"/>
      <c r="AO68" s="336"/>
      <c r="AP68" s="336"/>
      <c r="AQ68" s="336"/>
      <c r="AR68" s="336"/>
      <c r="AS68" s="336"/>
      <c r="AT68" s="336"/>
      <c r="AU68" s="336"/>
      <c r="AV68" s="336"/>
      <c r="AW68" s="336"/>
      <c r="AX68" s="336"/>
      <c r="AY68" s="336"/>
      <c r="AZ68" s="336"/>
      <c r="BA68" s="632"/>
      <c r="BB68" s="632"/>
      <c r="BC68" s="632"/>
      <c r="BD68" s="632"/>
      <c r="BE68" s="632"/>
      <c r="BF68" s="632"/>
      <c r="BG68" s="632"/>
      <c r="BH68" s="632"/>
      <c r="BI68" s="632"/>
      <c r="BJ68" s="632"/>
      <c r="BK68" s="632"/>
      <c r="BL68" s="632"/>
      <c r="BM68" s="632"/>
      <c r="BN68" s="632"/>
      <c r="BO68" s="632"/>
      <c r="BP68" s="632"/>
      <c r="BQ68" s="632"/>
      <c r="BR68" s="632"/>
      <c r="BS68" s="632"/>
      <c r="BT68" s="632"/>
      <c r="BU68" s="632"/>
      <c r="BV68" s="632"/>
      <c r="BW68" s="632"/>
      <c r="BX68" s="632"/>
      <c r="BY68" s="632"/>
      <c r="BZ68" s="632"/>
      <c r="CA68" s="632"/>
      <c r="CB68" s="632"/>
      <c r="CC68" s="632"/>
      <c r="CD68" s="632"/>
      <c r="CE68" s="632"/>
      <c r="CF68" s="632"/>
      <c r="CG68" s="632"/>
      <c r="CH68" s="632"/>
      <c r="CI68" s="632"/>
      <c r="CJ68" s="632"/>
      <c r="CK68" s="632"/>
      <c r="CL68" s="632"/>
      <c r="CM68" s="632"/>
      <c r="CN68" s="631"/>
    </row>
    <row r="69" spans="2:92" ht="15.75" x14ac:dyDescent="0.2">
      <c r="B69" s="610"/>
      <c r="C69" s="336"/>
      <c r="D69" s="611"/>
      <c r="E69" s="612"/>
      <c r="F69" s="612"/>
      <c r="G69" s="612"/>
      <c r="H69" s="618">
        <f>'I. Stream &amp; Compound Data'!F268</f>
        <v>7</v>
      </c>
      <c r="I69" s="677" t="str">
        <f>IF('I. Stream &amp; Compound Data'!G268&lt;&gt;"",'I. Stream &amp; Compound Data'!G268,"")</f>
        <v>Water</v>
      </c>
      <c r="J69" s="676">
        <f t="shared" si="2"/>
        <v>0</v>
      </c>
      <c r="K69" s="652">
        <f>IF('I. Stream &amp; Compound Data'!T268&lt;&gt;"",'I. Stream &amp; Compound Data'!T268,IF(OR('I. Stream &amp; Compound Data'!U268=1,'I. Stream &amp; Compound Data'!V268=1),0,""))</f>
        <v>0</v>
      </c>
      <c r="L69" s="676">
        <f t="shared" si="3"/>
        <v>0</v>
      </c>
      <c r="M69" s="651">
        <f t="shared" si="4"/>
        <v>0</v>
      </c>
      <c r="N69" s="651">
        <f t="shared" si="5"/>
        <v>0</v>
      </c>
      <c r="O69" s="652">
        <f>IF(J69&lt;&gt;"",'I. Stream &amp; Compound Data'!AM268,"")</f>
        <v>0</v>
      </c>
      <c r="P69" s="651">
        <f t="shared" si="6"/>
        <v>0</v>
      </c>
      <c r="Q69" s="667">
        <f t="shared" si="7"/>
        <v>0</v>
      </c>
      <c r="R69" s="336"/>
      <c r="S69" s="634"/>
      <c r="T69" s="634"/>
      <c r="U69" s="633"/>
      <c r="V69" s="336"/>
      <c r="W69" s="336"/>
      <c r="X69" s="336"/>
      <c r="Y69" s="336"/>
      <c r="Z69" s="336"/>
      <c r="AA69" s="336"/>
      <c r="AB69" s="336"/>
      <c r="AC69" s="336"/>
      <c r="AD69" s="336"/>
      <c r="AE69" s="336"/>
      <c r="AF69" s="336"/>
      <c r="AG69" s="336"/>
      <c r="AH69" s="336"/>
      <c r="AI69" s="336"/>
      <c r="AJ69" s="336"/>
      <c r="AK69" s="336"/>
      <c r="AL69" s="336"/>
      <c r="AM69" s="336"/>
      <c r="AN69" s="336"/>
      <c r="AO69" s="336"/>
      <c r="AP69" s="336"/>
      <c r="AQ69" s="336"/>
      <c r="AR69" s="336"/>
      <c r="AS69" s="336"/>
      <c r="AT69" s="336"/>
      <c r="AU69" s="336"/>
      <c r="AV69" s="336"/>
      <c r="AW69" s="336"/>
      <c r="AX69" s="336"/>
      <c r="AY69" s="336"/>
      <c r="AZ69" s="336"/>
      <c r="BA69" s="632"/>
      <c r="BB69" s="632"/>
      <c r="BC69" s="632"/>
      <c r="BD69" s="632"/>
      <c r="BE69" s="632"/>
      <c r="BF69" s="632"/>
      <c r="BG69" s="632"/>
      <c r="BH69" s="632"/>
      <c r="BI69" s="632"/>
      <c r="BJ69" s="632"/>
      <c r="BK69" s="632"/>
      <c r="BL69" s="632"/>
      <c r="BM69" s="632"/>
      <c r="BN69" s="632"/>
      <c r="BO69" s="632"/>
      <c r="BP69" s="632"/>
      <c r="BQ69" s="632"/>
      <c r="BR69" s="632"/>
      <c r="BS69" s="632"/>
      <c r="BT69" s="632"/>
      <c r="BU69" s="632"/>
      <c r="BV69" s="632"/>
      <c r="BW69" s="632"/>
      <c r="BX69" s="632"/>
      <c r="BY69" s="632"/>
      <c r="BZ69" s="632"/>
      <c r="CA69" s="632"/>
      <c r="CB69" s="632"/>
      <c r="CC69" s="632"/>
      <c r="CD69" s="632"/>
      <c r="CE69" s="632"/>
      <c r="CF69" s="632"/>
      <c r="CG69" s="632"/>
      <c r="CH69" s="632"/>
      <c r="CI69" s="632"/>
      <c r="CJ69" s="632"/>
      <c r="CK69" s="632"/>
      <c r="CL69" s="632"/>
      <c r="CM69" s="632"/>
      <c r="CN69" s="631"/>
    </row>
    <row r="70" spans="2:92" ht="15.75" x14ac:dyDescent="0.2">
      <c r="B70" s="610"/>
      <c r="C70" s="336"/>
      <c r="D70" s="611"/>
      <c r="E70" s="612"/>
      <c r="F70" s="612"/>
      <c r="G70" s="612"/>
      <c r="H70" s="618">
        <f>'I. Stream &amp; Compound Data'!F269</f>
        <v>8</v>
      </c>
      <c r="I70" s="677" t="str">
        <f>IF('I. Stream &amp; Compound Data'!G269&lt;&gt;"",'I. Stream &amp; Compound Data'!G269,"")</f>
        <v>Sodium Hydroxide</v>
      </c>
      <c r="J70" s="676">
        <f t="shared" si="2"/>
        <v>0</v>
      </c>
      <c r="K70" s="652">
        <f>IF('I. Stream &amp; Compound Data'!T269&lt;&gt;"",'I. Stream &amp; Compound Data'!T269,IF(OR('I. Stream &amp; Compound Data'!U269=1,'I. Stream &amp; Compound Data'!V269=1),0,""))</f>
        <v>0.8</v>
      </c>
      <c r="L70" s="676">
        <f t="shared" si="3"/>
        <v>0</v>
      </c>
      <c r="M70" s="651">
        <f t="shared" si="4"/>
        <v>0</v>
      </c>
      <c r="N70" s="651">
        <f t="shared" si="5"/>
        <v>0</v>
      </c>
      <c r="O70" s="652">
        <f>IF(J70&lt;&gt;"",'I. Stream &amp; Compound Data'!AM269,"")</f>
        <v>1</v>
      </c>
      <c r="P70" s="651">
        <f t="shared" si="6"/>
        <v>0</v>
      </c>
      <c r="Q70" s="667">
        <f t="shared" si="7"/>
        <v>0</v>
      </c>
      <c r="R70" s="336"/>
      <c r="S70" s="634"/>
      <c r="T70" s="634"/>
      <c r="U70" s="633"/>
      <c r="V70" s="336"/>
      <c r="W70" s="336"/>
      <c r="X70" s="336"/>
      <c r="Y70" s="336"/>
      <c r="Z70" s="336"/>
      <c r="AA70" s="336"/>
      <c r="AB70" s="336"/>
      <c r="AC70" s="336"/>
      <c r="AD70" s="336"/>
      <c r="AE70" s="336"/>
      <c r="AF70" s="336"/>
      <c r="AG70" s="336"/>
      <c r="AH70" s="336"/>
      <c r="AI70" s="336"/>
      <c r="AJ70" s="336"/>
      <c r="AK70" s="336"/>
      <c r="AL70" s="336"/>
      <c r="AM70" s="336"/>
      <c r="AN70" s="336"/>
      <c r="AO70" s="336"/>
      <c r="AP70" s="336"/>
      <c r="AQ70" s="336"/>
      <c r="AR70" s="336"/>
      <c r="AS70" s="336"/>
      <c r="AT70" s="336"/>
      <c r="AU70" s="336"/>
      <c r="AV70" s="336"/>
      <c r="AW70" s="336"/>
      <c r="AX70" s="336"/>
      <c r="AY70" s="336"/>
      <c r="AZ70" s="336"/>
      <c r="BA70" s="632"/>
      <c r="BB70" s="632"/>
      <c r="BC70" s="632"/>
      <c r="BD70" s="632"/>
      <c r="BE70" s="632"/>
      <c r="BF70" s="632"/>
      <c r="BG70" s="632"/>
      <c r="BH70" s="632"/>
      <c r="BI70" s="632"/>
      <c r="BJ70" s="632"/>
      <c r="BK70" s="632"/>
      <c r="BL70" s="632"/>
      <c r="BM70" s="632"/>
      <c r="BN70" s="632"/>
      <c r="BO70" s="632"/>
      <c r="BP70" s="632"/>
      <c r="BQ70" s="632"/>
      <c r="BR70" s="632"/>
      <c r="BS70" s="632"/>
      <c r="BT70" s="632"/>
      <c r="BU70" s="632"/>
      <c r="BV70" s="632"/>
      <c r="BW70" s="632"/>
      <c r="BX70" s="632"/>
      <c r="BY70" s="632"/>
      <c r="BZ70" s="632"/>
      <c r="CA70" s="632"/>
      <c r="CB70" s="632"/>
      <c r="CC70" s="632"/>
      <c r="CD70" s="632"/>
      <c r="CE70" s="632"/>
      <c r="CF70" s="632"/>
      <c r="CG70" s="632"/>
      <c r="CH70" s="632"/>
      <c r="CI70" s="632"/>
      <c r="CJ70" s="632"/>
      <c r="CK70" s="632"/>
      <c r="CL70" s="632"/>
      <c r="CM70" s="632"/>
      <c r="CN70" s="631"/>
    </row>
    <row r="71" spans="2:92" ht="15.75" x14ac:dyDescent="0.2">
      <c r="B71" s="610"/>
      <c r="C71" s="336"/>
      <c r="D71" s="611"/>
      <c r="E71" s="612"/>
      <c r="F71" s="612"/>
      <c r="G71" s="612"/>
      <c r="H71" s="618">
        <f>'I. Stream &amp; Compound Data'!F270</f>
        <v>9</v>
      </c>
      <c r="I71" s="677" t="str">
        <f>IF('I. Stream &amp; Compound Data'!G270&lt;&gt;"",'I. Stream &amp; Compound Data'!G270,"")</f>
        <v>Sulfuric Acid</v>
      </c>
      <c r="J71" s="676">
        <f t="shared" si="2"/>
        <v>0</v>
      </c>
      <c r="K71" s="652">
        <f>IF('I. Stream &amp; Compound Data'!T270&lt;&gt;"",'I. Stream &amp; Compound Data'!T270,IF(OR('I. Stream &amp; Compound Data'!U270=1,'I. Stream &amp; Compound Data'!V270=1),0,""))</f>
        <v>0</v>
      </c>
      <c r="L71" s="676">
        <f t="shared" si="3"/>
        <v>0</v>
      </c>
      <c r="M71" s="651">
        <f t="shared" si="4"/>
        <v>0</v>
      </c>
      <c r="N71" s="651">
        <f t="shared" si="5"/>
        <v>0</v>
      </c>
      <c r="O71" s="652">
        <f>IF(J71&lt;&gt;"",'I. Stream &amp; Compound Data'!AM270,"")</f>
        <v>1</v>
      </c>
      <c r="P71" s="651">
        <f t="shared" si="6"/>
        <v>0</v>
      </c>
      <c r="Q71" s="667">
        <f t="shared" si="7"/>
        <v>0</v>
      </c>
      <c r="R71" s="336"/>
      <c r="S71" s="634"/>
      <c r="T71" s="634"/>
      <c r="U71" s="633"/>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36"/>
      <c r="AT71" s="336"/>
      <c r="AU71" s="336"/>
      <c r="AV71" s="336"/>
      <c r="AW71" s="336"/>
      <c r="AX71" s="336"/>
      <c r="AY71" s="336"/>
      <c r="AZ71" s="336"/>
      <c r="BA71" s="632"/>
      <c r="BB71" s="632"/>
      <c r="BC71" s="632"/>
      <c r="BD71" s="632"/>
      <c r="BE71" s="632"/>
      <c r="BF71" s="632"/>
      <c r="BG71" s="632"/>
      <c r="BH71" s="632"/>
      <c r="BI71" s="632"/>
      <c r="BJ71" s="632"/>
      <c r="BK71" s="632"/>
      <c r="BL71" s="632"/>
      <c r="BM71" s="632"/>
      <c r="BN71" s="632"/>
      <c r="BO71" s="632"/>
      <c r="BP71" s="632"/>
      <c r="BQ71" s="632"/>
      <c r="BR71" s="632"/>
      <c r="BS71" s="632"/>
      <c r="BT71" s="632"/>
      <c r="BU71" s="632"/>
      <c r="BV71" s="632"/>
      <c r="BW71" s="632"/>
      <c r="BX71" s="632"/>
      <c r="BY71" s="632"/>
      <c r="BZ71" s="632"/>
      <c r="CA71" s="632"/>
      <c r="CB71" s="632"/>
      <c r="CC71" s="632"/>
      <c r="CD71" s="632"/>
      <c r="CE71" s="632"/>
      <c r="CF71" s="632"/>
      <c r="CG71" s="632"/>
      <c r="CH71" s="632"/>
      <c r="CI71" s="632"/>
      <c r="CJ71" s="632"/>
      <c r="CK71" s="632"/>
      <c r="CL71" s="632"/>
      <c r="CM71" s="632"/>
      <c r="CN71" s="631"/>
    </row>
    <row r="72" spans="2:92" ht="15.75" x14ac:dyDescent="0.2">
      <c r="B72" s="610"/>
      <c r="C72" s="336"/>
      <c r="D72" s="611"/>
      <c r="E72" s="612"/>
      <c r="F72" s="612"/>
      <c r="G72" s="612"/>
      <c r="H72" s="618">
        <f>'I. Stream &amp; Compound Data'!F271</f>
        <v>10</v>
      </c>
      <c r="I72" s="677" t="str">
        <f>IF('I. Stream &amp; Compound Data'!G271&lt;&gt;"",'I. Stream &amp; Compound Data'!G271,"")</f>
        <v>Oleic Acid</v>
      </c>
      <c r="J72" s="676">
        <f t="shared" si="2"/>
        <v>0</v>
      </c>
      <c r="K72" s="652">
        <f>IF('I. Stream &amp; Compound Data'!T271&lt;&gt;"",'I. Stream &amp; Compound Data'!T271,IF(OR('I. Stream &amp; Compound Data'!U271=1,'I. Stream &amp; Compound Data'!V271=1),0,""))</f>
        <v>0</v>
      </c>
      <c r="L72" s="676">
        <f t="shared" si="3"/>
        <v>0</v>
      </c>
      <c r="M72" s="651">
        <f t="shared" si="4"/>
        <v>0</v>
      </c>
      <c r="N72" s="651">
        <f t="shared" si="5"/>
        <v>0</v>
      </c>
      <c r="O72" s="652">
        <f>IF(J72&lt;&gt;"",'I. Stream &amp; Compound Data'!AM271,"")</f>
        <v>0</v>
      </c>
      <c r="P72" s="651">
        <f t="shared" si="6"/>
        <v>0</v>
      </c>
      <c r="Q72" s="667">
        <f t="shared" si="7"/>
        <v>0</v>
      </c>
      <c r="R72" s="336"/>
      <c r="S72" s="634"/>
      <c r="T72" s="634"/>
      <c r="U72" s="633"/>
      <c r="V72" s="336"/>
      <c r="W72" s="336"/>
      <c r="X72" s="336"/>
      <c r="Y72" s="336"/>
      <c r="Z72" s="336"/>
      <c r="AA72" s="336"/>
      <c r="AB72" s="336"/>
      <c r="AC72" s="336"/>
      <c r="AD72" s="336"/>
      <c r="AE72" s="336"/>
      <c r="AF72" s="336"/>
      <c r="AG72" s="336"/>
      <c r="AH72" s="336"/>
      <c r="AI72" s="336"/>
      <c r="AJ72" s="336"/>
      <c r="AK72" s="336"/>
      <c r="AL72" s="336"/>
      <c r="AM72" s="336"/>
      <c r="AN72" s="336"/>
      <c r="AO72" s="336"/>
      <c r="AP72" s="336"/>
      <c r="AQ72" s="336"/>
      <c r="AR72" s="336"/>
      <c r="AS72" s="336"/>
      <c r="AT72" s="336"/>
      <c r="AU72" s="336"/>
      <c r="AV72" s="336"/>
      <c r="AW72" s="336"/>
      <c r="AX72" s="336"/>
      <c r="AY72" s="336"/>
      <c r="AZ72" s="336"/>
      <c r="BA72" s="632"/>
      <c r="BB72" s="632"/>
      <c r="BC72" s="632"/>
      <c r="BD72" s="632"/>
      <c r="BE72" s="632"/>
      <c r="BF72" s="632"/>
      <c r="BG72" s="632"/>
      <c r="BH72" s="632"/>
      <c r="BI72" s="632"/>
      <c r="BJ72" s="632"/>
      <c r="BK72" s="632"/>
      <c r="BL72" s="632"/>
      <c r="BM72" s="632"/>
      <c r="BN72" s="632"/>
      <c r="BO72" s="632"/>
      <c r="BP72" s="632"/>
      <c r="BQ72" s="632"/>
      <c r="BR72" s="632"/>
      <c r="BS72" s="632"/>
      <c r="BT72" s="632"/>
      <c r="BU72" s="632"/>
      <c r="BV72" s="632"/>
      <c r="BW72" s="632"/>
      <c r="BX72" s="632"/>
      <c r="BY72" s="632"/>
      <c r="BZ72" s="632"/>
      <c r="CA72" s="632"/>
      <c r="CB72" s="632"/>
      <c r="CC72" s="632"/>
      <c r="CD72" s="632"/>
      <c r="CE72" s="632"/>
      <c r="CF72" s="632"/>
      <c r="CG72" s="632"/>
      <c r="CH72" s="632"/>
      <c r="CI72" s="632"/>
      <c r="CJ72" s="632"/>
      <c r="CK72" s="632"/>
      <c r="CL72" s="632"/>
      <c r="CM72" s="632"/>
      <c r="CN72" s="631"/>
    </row>
    <row r="73" spans="2:92" ht="15.75" x14ac:dyDescent="0.2">
      <c r="B73" s="610"/>
      <c r="C73" s="336"/>
      <c r="D73" s="611"/>
      <c r="E73" s="612"/>
      <c r="F73" s="612"/>
      <c r="G73" s="612"/>
      <c r="H73" s="618">
        <f>'I. Stream &amp; Compound Data'!F272</f>
        <v>11</v>
      </c>
      <c r="I73" s="677" t="str">
        <f>IF('I. Stream &amp; Compound Data'!G272&lt;&gt;"",'I. Stream &amp; Compound Data'!G272,"")</f>
        <v>Sodium Sulphate</v>
      </c>
      <c r="J73" s="676">
        <f t="shared" si="2"/>
        <v>14.5</v>
      </c>
      <c r="K73" s="652">
        <f>IF('I. Stream &amp; Compound Data'!T272&lt;&gt;"",'I. Stream &amp; Compound Data'!T272,IF(OR('I. Stream &amp; Compound Data'!U272=1,'I. Stream &amp; Compound Data'!V272=1),0,""))</f>
        <v>0</v>
      </c>
      <c r="L73" s="676">
        <f t="shared" si="3"/>
        <v>0</v>
      </c>
      <c r="M73" s="651">
        <f t="shared" si="4"/>
        <v>14.5</v>
      </c>
      <c r="N73" s="651">
        <f t="shared" si="5"/>
        <v>14.5</v>
      </c>
      <c r="O73" s="652">
        <f>IF(J73&lt;&gt;"",'I. Stream &amp; Compound Data'!AM272,"")</f>
        <v>0</v>
      </c>
      <c r="P73" s="651">
        <f t="shared" si="6"/>
        <v>0</v>
      </c>
      <c r="Q73" s="667">
        <f t="shared" si="7"/>
        <v>0</v>
      </c>
      <c r="R73" s="336"/>
      <c r="S73" s="634"/>
      <c r="T73" s="634"/>
      <c r="U73" s="633"/>
      <c r="V73" s="336"/>
      <c r="W73" s="336"/>
      <c r="X73" s="336"/>
      <c r="Y73" s="336"/>
      <c r="Z73" s="336"/>
      <c r="AA73" s="336"/>
      <c r="AB73" s="336"/>
      <c r="AC73" s="336"/>
      <c r="AD73" s="336"/>
      <c r="AE73" s="336"/>
      <c r="AF73" s="336"/>
      <c r="AG73" s="336"/>
      <c r="AH73" s="336"/>
      <c r="AI73" s="336"/>
      <c r="AJ73" s="336"/>
      <c r="AK73" s="336"/>
      <c r="AL73" s="336"/>
      <c r="AM73" s="336"/>
      <c r="AN73" s="336"/>
      <c r="AO73" s="336"/>
      <c r="AP73" s="336"/>
      <c r="AQ73" s="336"/>
      <c r="AR73" s="336"/>
      <c r="AS73" s="336"/>
      <c r="AT73" s="336"/>
      <c r="AU73" s="336"/>
      <c r="AV73" s="336"/>
      <c r="AW73" s="336"/>
      <c r="AX73" s="336"/>
      <c r="AY73" s="336"/>
      <c r="AZ73" s="336"/>
      <c r="BA73" s="632"/>
      <c r="BB73" s="632"/>
      <c r="BC73" s="632"/>
      <c r="BD73" s="632"/>
      <c r="BE73" s="632"/>
      <c r="BF73" s="632"/>
      <c r="BG73" s="632"/>
      <c r="BH73" s="632"/>
      <c r="BI73" s="632"/>
      <c r="BJ73" s="632"/>
      <c r="BK73" s="632"/>
      <c r="BL73" s="632"/>
      <c r="BM73" s="632"/>
      <c r="BN73" s="632"/>
      <c r="BO73" s="632"/>
      <c r="BP73" s="632"/>
      <c r="BQ73" s="632"/>
      <c r="BR73" s="632"/>
      <c r="BS73" s="632"/>
      <c r="BT73" s="632"/>
      <c r="BU73" s="632"/>
      <c r="BV73" s="632"/>
      <c r="BW73" s="632"/>
      <c r="BX73" s="632"/>
      <c r="BY73" s="632"/>
      <c r="BZ73" s="632"/>
      <c r="CA73" s="632"/>
      <c r="CB73" s="632"/>
      <c r="CC73" s="632"/>
      <c r="CD73" s="632"/>
      <c r="CE73" s="632"/>
      <c r="CF73" s="632"/>
      <c r="CG73" s="632"/>
      <c r="CH73" s="632"/>
      <c r="CI73" s="632"/>
      <c r="CJ73" s="632"/>
      <c r="CK73" s="632"/>
      <c r="CL73" s="632"/>
      <c r="CM73" s="632"/>
      <c r="CN73" s="631"/>
    </row>
    <row r="74" spans="2:92" ht="15.75" x14ac:dyDescent="0.2">
      <c r="B74" s="610"/>
      <c r="C74" s="336"/>
      <c r="D74" s="611"/>
      <c r="E74" s="612"/>
      <c r="F74" s="612"/>
      <c r="G74" s="612"/>
      <c r="H74" s="618">
        <f>'I. Stream &amp; Compound Data'!F273</f>
        <v>12</v>
      </c>
      <c r="I74" s="677" t="str">
        <f>IF('I. Stream &amp; Compound Data'!G273&lt;&gt;"",'I. Stream &amp; Compound Data'!G273,"")</f>
        <v/>
      </c>
      <c r="J74" s="676" t="str">
        <f t="shared" si="2"/>
        <v/>
      </c>
      <c r="K74" s="652" t="str">
        <f>IF('I. Stream &amp; Compound Data'!T273&lt;&gt;"",'I. Stream &amp; Compound Data'!T273,IF(OR('I. Stream &amp; Compound Data'!U273=1,'I. Stream &amp; Compound Data'!V273=1),0,""))</f>
        <v/>
      </c>
      <c r="L74" s="676" t="str">
        <f t="shared" si="3"/>
        <v/>
      </c>
      <c r="M74" s="651" t="str">
        <f t="shared" si="4"/>
        <v/>
      </c>
      <c r="N74" s="651" t="str">
        <f t="shared" si="5"/>
        <v/>
      </c>
      <c r="O74" s="652" t="str">
        <f>IF(J74&lt;&gt;"",'I. Stream &amp; Compound Data'!AM273,"")</f>
        <v/>
      </c>
      <c r="P74" s="651" t="str">
        <f t="shared" si="6"/>
        <v/>
      </c>
      <c r="Q74" s="667" t="str">
        <f t="shared" si="7"/>
        <v/>
      </c>
      <c r="R74" s="336"/>
      <c r="S74" s="634"/>
      <c r="T74" s="634"/>
      <c r="U74" s="633"/>
      <c r="V74" s="336"/>
      <c r="W74" s="336"/>
      <c r="X74" s="336"/>
      <c r="Y74" s="336"/>
      <c r="Z74" s="336"/>
      <c r="AA74" s="336"/>
      <c r="AB74" s="336"/>
      <c r="AC74" s="336"/>
      <c r="AD74" s="336"/>
      <c r="AE74" s="336"/>
      <c r="AF74" s="336"/>
      <c r="AG74" s="336"/>
      <c r="AH74" s="336"/>
      <c r="AI74" s="336"/>
      <c r="AJ74" s="336"/>
      <c r="AK74" s="336"/>
      <c r="AL74" s="336"/>
      <c r="AM74" s="336"/>
      <c r="AN74" s="336"/>
      <c r="AO74" s="336"/>
      <c r="AP74" s="336"/>
      <c r="AQ74" s="336"/>
      <c r="AR74" s="336"/>
      <c r="AS74" s="336"/>
      <c r="AT74" s="336"/>
      <c r="AU74" s="336"/>
      <c r="AV74" s="336"/>
      <c r="AW74" s="336"/>
      <c r="AX74" s="336"/>
      <c r="AY74" s="336"/>
      <c r="AZ74" s="336"/>
      <c r="BA74" s="632"/>
      <c r="BB74" s="632"/>
      <c r="BC74" s="632"/>
      <c r="BD74" s="632"/>
      <c r="BE74" s="632"/>
      <c r="BF74" s="632"/>
      <c r="BG74" s="632"/>
      <c r="BH74" s="632"/>
      <c r="BI74" s="632"/>
      <c r="BJ74" s="632"/>
      <c r="BK74" s="632"/>
      <c r="BL74" s="632"/>
      <c r="BM74" s="632"/>
      <c r="BN74" s="632"/>
      <c r="BO74" s="632"/>
      <c r="BP74" s="632"/>
      <c r="BQ74" s="632"/>
      <c r="BR74" s="632"/>
      <c r="BS74" s="632"/>
      <c r="BT74" s="632"/>
      <c r="BU74" s="632"/>
      <c r="BV74" s="632"/>
      <c r="BW74" s="632"/>
      <c r="BX74" s="632"/>
      <c r="BY74" s="632"/>
      <c r="BZ74" s="632"/>
      <c r="CA74" s="632"/>
      <c r="CB74" s="632"/>
      <c r="CC74" s="632"/>
      <c r="CD74" s="632"/>
      <c r="CE74" s="632"/>
      <c r="CF74" s="632"/>
      <c r="CG74" s="632"/>
      <c r="CH74" s="632"/>
      <c r="CI74" s="632"/>
      <c r="CJ74" s="632"/>
      <c r="CK74" s="632"/>
      <c r="CL74" s="632"/>
      <c r="CM74" s="632"/>
      <c r="CN74" s="631"/>
    </row>
    <row r="75" spans="2:92" ht="15.75" x14ac:dyDescent="0.2">
      <c r="B75" s="610"/>
      <c r="C75" s="336"/>
      <c r="D75" s="611"/>
      <c r="E75" s="612"/>
      <c r="F75" s="612"/>
      <c r="G75" s="612"/>
      <c r="H75" s="618">
        <f>'I. Stream &amp; Compound Data'!F274</f>
        <v>13</v>
      </c>
      <c r="I75" s="677" t="str">
        <f>IF('I. Stream &amp; Compound Data'!G274&lt;&gt;"",'I. Stream &amp; Compound Data'!G274,"")</f>
        <v/>
      </c>
      <c r="J75" s="676" t="str">
        <f t="shared" si="2"/>
        <v/>
      </c>
      <c r="K75" s="652" t="str">
        <f>IF('I. Stream &amp; Compound Data'!T274&lt;&gt;"",'I. Stream &amp; Compound Data'!T274,IF(OR('I. Stream &amp; Compound Data'!U274=1,'I. Stream &amp; Compound Data'!V274=1),0,""))</f>
        <v/>
      </c>
      <c r="L75" s="676" t="str">
        <f t="shared" si="3"/>
        <v/>
      </c>
      <c r="M75" s="651" t="str">
        <f t="shared" si="4"/>
        <v/>
      </c>
      <c r="N75" s="651" t="str">
        <f t="shared" si="5"/>
        <v/>
      </c>
      <c r="O75" s="652" t="str">
        <f>IF(J75&lt;&gt;"",'I. Stream &amp; Compound Data'!AM274,"")</f>
        <v/>
      </c>
      <c r="P75" s="651" t="str">
        <f t="shared" si="6"/>
        <v/>
      </c>
      <c r="Q75" s="667" t="str">
        <f t="shared" si="7"/>
        <v/>
      </c>
      <c r="R75" s="336"/>
      <c r="S75" s="634"/>
      <c r="T75" s="634"/>
      <c r="U75" s="633"/>
      <c r="V75" s="336"/>
      <c r="W75" s="336"/>
      <c r="X75" s="336"/>
      <c r="Y75" s="336"/>
      <c r="Z75" s="336"/>
      <c r="AA75" s="336"/>
      <c r="AB75" s="336"/>
      <c r="AC75" s="336"/>
      <c r="AD75" s="336"/>
      <c r="AE75" s="336"/>
      <c r="AF75" s="336"/>
      <c r="AG75" s="336"/>
      <c r="AH75" s="336"/>
      <c r="AI75" s="336"/>
      <c r="AJ75" s="336"/>
      <c r="AK75" s="336"/>
      <c r="AL75" s="336"/>
      <c r="AM75" s="336"/>
      <c r="AN75" s="336"/>
      <c r="AO75" s="336"/>
      <c r="AP75" s="336"/>
      <c r="AQ75" s="336"/>
      <c r="AR75" s="336"/>
      <c r="AS75" s="336"/>
      <c r="AT75" s="336"/>
      <c r="AU75" s="336"/>
      <c r="AV75" s="336"/>
      <c r="AW75" s="336"/>
      <c r="AX75" s="336"/>
      <c r="AY75" s="336"/>
      <c r="AZ75" s="336"/>
      <c r="BA75" s="632"/>
      <c r="BB75" s="632"/>
      <c r="BC75" s="632"/>
      <c r="BD75" s="632"/>
      <c r="BE75" s="632"/>
      <c r="BF75" s="632"/>
      <c r="BG75" s="632"/>
      <c r="BH75" s="632"/>
      <c r="BI75" s="632"/>
      <c r="BJ75" s="632"/>
      <c r="BK75" s="632"/>
      <c r="BL75" s="632"/>
      <c r="BM75" s="632"/>
      <c r="BN75" s="632"/>
      <c r="BO75" s="632"/>
      <c r="BP75" s="632"/>
      <c r="BQ75" s="632"/>
      <c r="BR75" s="632"/>
      <c r="BS75" s="632"/>
      <c r="BT75" s="632"/>
      <c r="BU75" s="632"/>
      <c r="BV75" s="632"/>
      <c r="BW75" s="632"/>
      <c r="BX75" s="632"/>
      <c r="BY75" s="632"/>
      <c r="BZ75" s="632"/>
      <c r="CA75" s="632"/>
      <c r="CB75" s="632"/>
      <c r="CC75" s="632"/>
      <c r="CD75" s="632"/>
      <c r="CE75" s="632"/>
      <c r="CF75" s="632"/>
      <c r="CG75" s="632"/>
      <c r="CH75" s="632"/>
      <c r="CI75" s="632"/>
      <c r="CJ75" s="632"/>
      <c r="CK75" s="632"/>
      <c r="CL75" s="632"/>
      <c r="CM75" s="632"/>
      <c r="CN75" s="631"/>
    </row>
    <row r="76" spans="2:92" ht="15.75" x14ac:dyDescent="0.25">
      <c r="B76" s="610"/>
      <c r="C76" s="336"/>
      <c r="D76" s="611"/>
      <c r="E76" s="612"/>
      <c r="F76" s="612"/>
      <c r="G76" s="612"/>
      <c r="H76" s="618">
        <f>'I. Stream &amp; Compound Data'!F275</f>
        <v>14</v>
      </c>
      <c r="I76" s="677" t="str">
        <f>IF('I. Stream &amp; Compound Data'!G275&lt;&gt;"",'I. Stream &amp; Compound Data'!G275,"")</f>
        <v/>
      </c>
      <c r="J76" s="676" t="str">
        <f t="shared" si="2"/>
        <v/>
      </c>
      <c r="K76" s="652" t="str">
        <f>IF('I. Stream &amp; Compound Data'!T275&lt;&gt;"",'I. Stream &amp; Compound Data'!T275,IF(OR('I. Stream &amp; Compound Data'!U275=1,'I. Stream &amp; Compound Data'!V275=1),0,""))</f>
        <v/>
      </c>
      <c r="L76" s="676" t="str">
        <f t="shared" si="3"/>
        <v/>
      </c>
      <c r="M76" s="651" t="str">
        <f t="shared" si="4"/>
        <v/>
      </c>
      <c r="N76" s="651" t="str">
        <f t="shared" si="5"/>
        <v/>
      </c>
      <c r="O76" s="652" t="str">
        <f>IF(J76&lt;&gt;"",'I. Stream &amp; Compound Data'!AM275,"")</f>
        <v/>
      </c>
      <c r="P76" s="651" t="str">
        <f t="shared" si="6"/>
        <v/>
      </c>
      <c r="Q76" s="667" t="str">
        <f t="shared" si="7"/>
        <v/>
      </c>
      <c r="R76" s="628"/>
      <c r="S76" s="634"/>
      <c r="T76" s="634"/>
      <c r="U76" s="633"/>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336"/>
      <c r="AT76" s="336"/>
      <c r="AU76" s="336"/>
      <c r="AV76" s="336"/>
      <c r="AW76" s="336"/>
      <c r="AX76" s="336"/>
      <c r="AY76" s="336"/>
      <c r="AZ76" s="336"/>
      <c r="BA76" s="632"/>
      <c r="BB76" s="632"/>
      <c r="BC76" s="632"/>
      <c r="BD76" s="632"/>
      <c r="BE76" s="632"/>
      <c r="BF76" s="632"/>
      <c r="BG76" s="632"/>
      <c r="BH76" s="632"/>
      <c r="BI76" s="632"/>
      <c r="BJ76" s="632"/>
      <c r="BK76" s="632"/>
      <c r="BL76" s="632"/>
      <c r="BM76" s="632"/>
      <c r="BN76" s="632"/>
      <c r="BO76" s="632"/>
      <c r="BP76" s="632"/>
      <c r="BQ76" s="632"/>
      <c r="BR76" s="632"/>
      <c r="BS76" s="632"/>
      <c r="BT76" s="632"/>
      <c r="BU76" s="632"/>
      <c r="BV76" s="632"/>
      <c r="BW76" s="632"/>
      <c r="BX76" s="632"/>
      <c r="BY76" s="632"/>
      <c r="BZ76" s="632"/>
      <c r="CA76" s="632"/>
      <c r="CB76" s="632"/>
      <c r="CC76" s="632"/>
      <c r="CD76" s="632"/>
      <c r="CE76" s="632"/>
      <c r="CF76" s="632"/>
      <c r="CG76" s="632"/>
      <c r="CH76" s="632"/>
      <c r="CI76" s="632"/>
      <c r="CJ76" s="632"/>
      <c r="CK76" s="632"/>
      <c r="CL76" s="632"/>
      <c r="CM76" s="632"/>
      <c r="CN76" s="631"/>
    </row>
    <row r="77" spans="2:92" ht="15.75" x14ac:dyDescent="0.25">
      <c r="B77" s="610"/>
      <c r="C77" s="336"/>
      <c r="D77" s="611"/>
      <c r="E77" s="612"/>
      <c r="F77" s="612"/>
      <c r="G77" s="612"/>
      <c r="H77" s="618">
        <f>'I. Stream &amp; Compound Data'!F276</f>
        <v>15</v>
      </c>
      <c r="I77" s="677" t="str">
        <f>IF('I. Stream &amp; Compound Data'!G276&lt;&gt;"",'I. Stream &amp; Compound Data'!G276,"")</f>
        <v/>
      </c>
      <c r="J77" s="676" t="str">
        <f t="shared" si="2"/>
        <v/>
      </c>
      <c r="K77" s="652" t="str">
        <f>IF('I. Stream &amp; Compound Data'!T276&lt;&gt;"",'I. Stream &amp; Compound Data'!T276,IF(OR('I. Stream &amp; Compound Data'!U276=1,'I. Stream &amp; Compound Data'!V276=1),0,""))</f>
        <v/>
      </c>
      <c r="L77" s="676" t="str">
        <f t="shared" si="3"/>
        <v/>
      </c>
      <c r="M77" s="651" t="str">
        <f t="shared" si="4"/>
        <v/>
      </c>
      <c r="N77" s="651" t="str">
        <f t="shared" si="5"/>
        <v/>
      </c>
      <c r="O77" s="652" t="str">
        <f>IF(J77&lt;&gt;"",'I. Stream &amp; Compound Data'!AM276,"")</f>
        <v/>
      </c>
      <c r="P77" s="651" t="str">
        <f t="shared" si="6"/>
        <v/>
      </c>
      <c r="Q77" s="667" t="str">
        <f t="shared" si="7"/>
        <v/>
      </c>
      <c r="R77" s="628"/>
      <c r="S77" s="634"/>
      <c r="T77" s="634"/>
      <c r="U77" s="633"/>
      <c r="V77" s="336"/>
      <c r="W77" s="336"/>
      <c r="X77" s="336"/>
      <c r="Y77" s="336"/>
      <c r="Z77" s="336"/>
      <c r="AA77" s="336"/>
      <c r="AB77" s="336"/>
      <c r="AC77" s="336"/>
      <c r="AD77" s="336"/>
      <c r="AE77" s="336"/>
      <c r="AF77" s="336"/>
      <c r="AG77" s="336"/>
      <c r="AH77" s="336"/>
      <c r="AI77" s="336"/>
      <c r="AJ77" s="336"/>
      <c r="AK77" s="336"/>
      <c r="AL77" s="336"/>
      <c r="AM77" s="336"/>
      <c r="AN77" s="336"/>
      <c r="AO77" s="336"/>
      <c r="AP77" s="336"/>
      <c r="AQ77" s="336"/>
      <c r="AR77" s="336"/>
      <c r="AS77" s="336"/>
      <c r="AT77" s="336"/>
      <c r="AU77" s="336"/>
      <c r="AV77" s="336"/>
      <c r="AW77" s="336"/>
      <c r="AX77" s="336"/>
      <c r="AY77" s="336"/>
      <c r="AZ77" s="336"/>
      <c r="BA77" s="632"/>
      <c r="BB77" s="632"/>
      <c r="BC77" s="632"/>
      <c r="BD77" s="632"/>
      <c r="BE77" s="632"/>
      <c r="BF77" s="632"/>
      <c r="BG77" s="632"/>
      <c r="BH77" s="632"/>
      <c r="BI77" s="632"/>
      <c r="BJ77" s="632"/>
      <c r="BK77" s="632"/>
      <c r="BL77" s="632"/>
      <c r="BM77" s="632"/>
      <c r="BN77" s="632"/>
      <c r="BO77" s="632"/>
      <c r="BP77" s="632"/>
      <c r="BQ77" s="632"/>
      <c r="BR77" s="632"/>
      <c r="BS77" s="632"/>
      <c r="BT77" s="632"/>
      <c r="BU77" s="632"/>
      <c r="BV77" s="632"/>
      <c r="BW77" s="632"/>
      <c r="BX77" s="632"/>
      <c r="BY77" s="632"/>
      <c r="BZ77" s="632"/>
      <c r="CA77" s="632"/>
      <c r="CB77" s="632"/>
      <c r="CC77" s="632"/>
      <c r="CD77" s="632"/>
      <c r="CE77" s="632"/>
      <c r="CF77" s="632"/>
      <c r="CG77" s="632"/>
      <c r="CH77" s="632"/>
      <c r="CI77" s="632"/>
      <c r="CJ77" s="632"/>
      <c r="CK77" s="632"/>
      <c r="CL77" s="632"/>
      <c r="CM77" s="632"/>
      <c r="CN77" s="631"/>
    </row>
    <row r="78" spans="2:92" ht="15.75" x14ac:dyDescent="0.25">
      <c r="B78" s="610"/>
      <c r="C78" s="336"/>
      <c r="D78" s="611"/>
      <c r="E78" s="612"/>
      <c r="F78" s="612"/>
      <c r="G78" s="612"/>
      <c r="H78" s="618">
        <f>'I. Stream &amp; Compound Data'!F277</f>
        <v>16</v>
      </c>
      <c r="I78" s="677" t="str">
        <f>IF('I. Stream &amp; Compound Data'!G277&lt;&gt;"",'I. Stream &amp; Compound Data'!G277,"")</f>
        <v/>
      </c>
      <c r="J78" s="676" t="str">
        <f t="shared" si="2"/>
        <v/>
      </c>
      <c r="K78" s="652" t="str">
        <f>IF('I. Stream &amp; Compound Data'!T277&lt;&gt;"",'I. Stream &amp; Compound Data'!T277,IF(OR('I. Stream &amp; Compound Data'!U277=1,'I. Stream &amp; Compound Data'!V277=1),0,""))</f>
        <v/>
      </c>
      <c r="L78" s="676" t="str">
        <f t="shared" si="3"/>
        <v/>
      </c>
      <c r="M78" s="651" t="str">
        <f t="shared" si="4"/>
        <v/>
      </c>
      <c r="N78" s="651" t="str">
        <f t="shared" si="5"/>
        <v/>
      </c>
      <c r="O78" s="652" t="str">
        <f>IF(J78&lt;&gt;"",'I. Stream &amp; Compound Data'!AM277,"")</f>
        <v/>
      </c>
      <c r="P78" s="651" t="str">
        <f t="shared" si="6"/>
        <v/>
      </c>
      <c r="Q78" s="667" t="str">
        <f t="shared" si="7"/>
        <v/>
      </c>
      <c r="R78" s="628"/>
      <c r="S78" s="634"/>
      <c r="T78" s="634"/>
      <c r="U78" s="633"/>
      <c r="V78" s="336"/>
      <c r="W78" s="336"/>
      <c r="X78" s="336"/>
      <c r="Y78" s="336"/>
      <c r="Z78" s="336"/>
      <c r="AA78" s="336"/>
      <c r="AB78" s="336"/>
      <c r="AC78" s="336"/>
      <c r="AD78" s="336"/>
      <c r="AE78" s="336"/>
      <c r="AF78" s="336"/>
      <c r="AG78" s="336"/>
      <c r="AH78" s="336"/>
      <c r="AI78" s="336"/>
      <c r="AJ78" s="336"/>
      <c r="AK78" s="336"/>
      <c r="AL78" s="336"/>
      <c r="AM78" s="336"/>
      <c r="AN78" s="336"/>
      <c r="AO78" s="336"/>
      <c r="AP78" s="336"/>
      <c r="AQ78" s="336"/>
      <c r="AR78" s="336"/>
      <c r="AS78" s="336"/>
      <c r="AT78" s="336"/>
      <c r="AU78" s="336"/>
      <c r="AV78" s="336"/>
      <c r="AW78" s="336"/>
      <c r="AX78" s="336"/>
      <c r="AY78" s="336"/>
      <c r="AZ78" s="336"/>
      <c r="BA78" s="632"/>
      <c r="BB78" s="632"/>
      <c r="BC78" s="632"/>
      <c r="BD78" s="632"/>
      <c r="BE78" s="632"/>
      <c r="BF78" s="632"/>
      <c r="BG78" s="632"/>
      <c r="BH78" s="632"/>
      <c r="BI78" s="632"/>
      <c r="BJ78" s="632"/>
      <c r="BK78" s="632"/>
      <c r="BL78" s="632"/>
      <c r="BM78" s="632"/>
      <c r="BN78" s="632"/>
      <c r="BO78" s="632"/>
      <c r="BP78" s="632"/>
      <c r="BQ78" s="632"/>
      <c r="BR78" s="632"/>
      <c r="BS78" s="632"/>
      <c r="BT78" s="632"/>
      <c r="BU78" s="632"/>
      <c r="BV78" s="632"/>
      <c r="BW78" s="632"/>
      <c r="BX78" s="632"/>
      <c r="BY78" s="632"/>
      <c r="BZ78" s="632"/>
      <c r="CA78" s="632"/>
      <c r="CB78" s="632"/>
      <c r="CC78" s="632"/>
      <c r="CD78" s="632"/>
      <c r="CE78" s="632"/>
      <c r="CF78" s="632"/>
      <c r="CG78" s="632"/>
      <c r="CH78" s="632"/>
      <c r="CI78" s="632"/>
      <c r="CJ78" s="632"/>
      <c r="CK78" s="632"/>
      <c r="CL78" s="632"/>
      <c r="CM78" s="632"/>
      <c r="CN78" s="631"/>
    </row>
    <row r="79" spans="2:92" ht="15.75" x14ac:dyDescent="0.25">
      <c r="B79" s="610"/>
      <c r="C79" s="336"/>
      <c r="D79" s="611"/>
      <c r="E79" s="612"/>
      <c r="F79" s="612"/>
      <c r="G79" s="612"/>
      <c r="H79" s="618">
        <f>'I. Stream &amp; Compound Data'!F278</f>
        <v>17</v>
      </c>
      <c r="I79" s="677" t="str">
        <f>IF('I. Stream &amp; Compound Data'!G278&lt;&gt;"",'I. Stream &amp; Compound Data'!G278,"")</f>
        <v/>
      </c>
      <c r="J79" s="676" t="str">
        <f t="shared" si="2"/>
        <v/>
      </c>
      <c r="K79" s="652" t="str">
        <f>IF('I. Stream &amp; Compound Data'!T278&lt;&gt;"",'I. Stream &amp; Compound Data'!T278,IF(OR('I. Stream &amp; Compound Data'!U278=1,'I. Stream &amp; Compound Data'!V278=1),0,""))</f>
        <v/>
      </c>
      <c r="L79" s="676" t="str">
        <f t="shared" si="3"/>
        <v/>
      </c>
      <c r="M79" s="651" t="str">
        <f t="shared" si="4"/>
        <v/>
      </c>
      <c r="N79" s="651" t="str">
        <f t="shared" si="5"/>
        <v/>
      </c>
      <c r="O79" s="652" t="str">
        <f>IF(J79&lt;&gt;"",'I. Stream &amp; Compound Data'!AM278,"")</f>
        <v/>
      </c>
      <c r="P79" s="651" t="str">
        <f t="shared" si="6"/>
        <v/>
      </c>
      <c r="Q79" s="667" t="str">
        <f t="shared" si="7"/>
        <v/>
      </c>
      <c r="R79" s="628"/>
      <c r="S79" s="634"/>
      <c r="T79" s="634"/>
      <c r="U79" s="633"/>
      <c r="V79" s="336"/>
      <c r="W79" s="336"/>
      <c r="X79" s="336"/>
      <c r="Y79" s="336"/>
      <c r="Z79" s="336"/>
      <c r="AA79" s="336"/>
      <c r="AB79" s="336"/>
      <c r="AC79" s="336"/>
      <c r="AD79" s="336"/>
      <c r="AE79" s="336"/>
      <c r="AF79" s="336"/>
      <c r="AG79" s="336"/>
      <c r="AH79" s="336"/>
      <c r="AI79" s="336"/>
      <c r="AJ79" s="336"/>
      <c r="AK79" s="336"/>
      <c r="AL79" s="336"/>
      <c r="AM79" s="336"/>
      <c r="AN79" s="336"/>
      <c r="AO79" s="336"/>
      <c r="AP79" s="336"/>
      <c r="AQ79" s="336"/>
      <c r="AR79" s="336"/>
      <c r="AS79" s="336"/>
      <c r="AT79" s="336"/>
      <c r="AU79" s="336"/>
      <c r="AV79" s="336"/>
      <c r="AW79" s="336"/>
      <c r="AX79" s="336"/>
      <c r="AY79" s="336"/>
      <c r="AZ79" s="336"/>
      <c r="BA79" s="632"/>
      <c r="BB79" s="632"/>
      <c r="BC79" s="632"/>
      <c r="BD79" s="632"/>
      <c r="BE79" s="632"/>
      <c r="BF79" s="632"/>
      <c r="BG79" s="632"/>
      <c r="BH79" s="632"/>
      <c r="BI79" s="632"/>
      <c r="BJ79" s="632"/>
      <c r="BK79" s="632"/>
      <c r="BL79" s="632"/>
      <c r="BM79" s="632"/>
      <c r="BN79" s="632"/>
      <c r="BO79" s="632"/>
      <c r="BP79" s="632"/>
      <c r="BQ79" s="632"/>
      <c r="BR79" s="632"/>
      <c r="BS79" s="632"/>
      <c r="BT79" s="632"/>
      <c r="BU79" s="632"/>
      <c r="BV79" s="632"/>
      <c r="BW79" s="632"/>
      <c r="BX79" s="632"/>
      <c r="BY79" s="632"/>
      <c r="BZ79" s="632"/>
      <c r="CA79" s="632"/>
      <c r="CB79" s="632"/>
      <c r="CC79" s="632"/>
      <c r="CD79" s="632"/>
      <c r="CE79" s="632"/>
      <c r="CF79" s="632"/>
      <c r="CG79" s="632"/>
      <c r="CH79" s="632"/>
      <c r="CI79" s="632"/>
      <c r="CJ79" s="632"/>
      <c r="CK79" s="632"/>
      <c r="CL79" s="632"/>
      <c r="CM79" s="632"/>
      <c r="CN79" s="631"/>
    </row>
    <row r="80" spans="2:92" ht="15.75" x14ac:dyDescent="0.25">
      <c r="B80" s="610"/>
      <c r="C80" s="336"/>
      <c r="D80" s="611"/>
      <c r="E80" s="612"/>
      <c r="F80" s="612"/>
      <c r="G80" s="612"/>
      <c r="H80" s="618">
        <f>'I. Stream &amp; Compound Data'!F279</f>
        <v>18</v>
      </c>
      <c r="I80" s="677" t="str">
        <f>IF('I. Stream &amp; Compound Data'!G279&lt;&gt;"",'I. Stream &amp; Compound Data'!G279,"")</f>
        <v/>
      </c>
      <c r="J80" s="676" t="str">
        <f t="shared" si="2"/>
        <v/>
      </c>
      <c r="K80" s="652" t="str">
        <f>IF('I. Stream &amp; Compound Data'!T279&lt;&gt;"",'I. Stream &amp; Compound Data'!T279,IF(OR('I. Stream &amp; Compound Data'!U279=1,'I. Stream &amp; Compound Data'!V279=1),0,""))</f>
        <v/>
      </c>
      <c r="L80" s="676" t="str">
        <f t="shared" si="3"/>
        <v/>
      </c>
      <c r="M80" s="651" t="str">
        <f t="shared" si="4"/>
        <v/>
      </c>
      <c r="N80" s="651" t="str">
        <f t="shared" si="5"/>
        <v/>
      </c>
      <c r="O80" s="652" t="str">
        <f>IF(J80&lt;&gt;"",'I. Stream &amp; Compound Data'!AM279,"")</f>
        <v/>
      </c>
      <c r="P80" s="651" t="str">
        <f t="shared" si="6"/>
        <v/>
      </c>
      <c r="Q80" s="667" t="str">
        <f t="shared" si="7"/>
        <v/>
      </c>
      <c r="R80" s="628"/>
      <c r="S80" s="634"/>
      <c r="T80" s="634"/>
      <c r="U80" s="633"/>
      <c r="V80" s="336"/>
      <c r="W80" s="336"/>
      <c r="X80" s="336"/>
      <c r="Y80" s="336"/>
      <c r="Z80" s="336"/>
      <c r="AA80" s="336"/>
      <c r="AB80" s="336"/>
      <c r="AC80" s="336"/>
      <c r="AD80" s="336"/>
      <c r="AE80" s="336"/>
      <c r="AF80" s="336"/>
      <c r="AG80" s="336"/>
      <c r="AH80" s="336"/>
      <c r="AI80" s="336"/>
      <c r="AJ80" s="336"/>
      <c r="AK80" s="336"/>
      <c r="AL80" s="336"/>
      <c r="AM80" s="336"/>
      <c r="AN80" s="336"/>
      <c r="AO80" s="336"/>
      <c r="AP80" s="336"/>
      <c r="AQ80" s="336"/>
      <c r="AR80" s="336"/>
      <c r="AS80" s="336"/>
      <c r="AT80" s="336"/>
      <c r="AU80" s="336"/>
      <c r="AV80" s="336"/>
      <c r="AW80" s="336"/>
      <c r="AX80" s="336"/>
      <c r="AY80" s="336"/>
      <c r="AZ80" s="336"/>
      <c r="BA80" s="632"/>
      <c r="BB80" s="632"/>
      <c r="BC80" s="632"/>
      <c r="BD80" s="632"/>
      <c r="BE80" s="632"/>
      <c r="BF80" s="632"/>
      <c r="BG80" s="632"/>
      <c r="BH80" s="632"/>
      <c r="BI80" s="632"/>
      <c r="BJ80" s="632"/>
      <c r="BK80" s="632"/>
      <c r="BL80" s="632"/>
      <c r="BM80" s="632"/>
      <c r="BN80" s="632"/>
      <c r="BO80" s="632"/>
      <c r="BP80" s="632"/>
      <c r="BQ80" s="632"/>
      <c r="BR80" s="632"/>
      <c r="BS80" s="632"/>
      <c r="BT80" s="632"/>
      <c r="BU80" s="632"/>
      <c r="BV80" s="632"/>
      <c r="BW80" s="632"/>
      <c r="BX80" s="632"/>
      <c r="BY80" s="632"/>
      <c r="BZ80" s="632"/>
      <c r="CA80" s="632"/>
      <c r="CB80" s="632"/>
      <c r="CC80" s="632"/>
      <c r="CD80" s="632"/>
      <c r="CE80" s="632"/>
      <c r="CF80" s="632"/>
      <c r="CG80" s="632"/>
      <c r="CH80" s="632"/>
      <c r="CI80" s="632"/>
      <c r="CJ80" s="632"/>
      <c r="CK80" s="632"/>
      <c r="CL80" s="632"/>
      <c r="CM80" s="632"/>
      <c r="CN80" s="631"/>
    </row>
    <row r="81" spans="2:92" ht="15.75" x14ac:dyDescent="0.25">
      <c r="B81" s="610"/>
      <c r="C81" s="336"/>
      <c r="D81" s="611"/>
      <c r="E81" s="612"/>
      <c r="F81" s="612"/>
      <c r="G81" s="612"/>
      <c r="H81" s="618">
        <f>'I. Stream &amp; Compound Data'!F280</f>
        <v>19</v>
      </c>
      <c r="I81" s="677" t="str">
        <f>IF('I. Stream &amp; Compound Data'!G280&lt;&gt;"",'I. Stream &amp; Compound Data'!G280,"")</f>
        <v/>
      </c>
      <c r="J81" s="676" t="str">
        <f t="shared" si="2"/>
        <v/>
      </c>
      <c r="K81" s="652" t="str">
        <f>IF('I. Stream &amp; Compound Data'!T280&lt;&gt;"",'I. Stream &amp; Compound Data'!T280,IF(OR('I. Stream &amp; Compound Data'!U280=1,'I. Stream &amp; Compound Data'!V280=1),0,""))</f>
        <v/>
      </c>
      <c r="L81" s="676" t="str">
        <f t="shared" si="3"/>
        <v/>
      </c>
      <c r="M81" s="651" t="str">
        <f t="shared" si="4"/>
        <v/>
      </c>
      <c r="N81" s="651" t="str">
        <f t="shared" si="5"/>
        <v/>
      </c>
      <c r="O81" s="652" t="str">
        <f>IF(J81&lt;&gt;"",'I. Stream &amp; Compound Data'!AM280,"")</f>
        <v/>
      </c>
      <c r="P81" s="651" t="str">
        <f t="shared" si="6"/>
        <v/>
      </c>
      <c r="Q81" s="667" t="str">
        <f t="shared" si="7"/>
        <v/>
      </c>
      <c r="R81" s="628"/>
      <c r="S81" s="634"/>
      <c r="T81" s="634"/>
      <c r="U81" s="633"/>
      <c r="V81" s="336"/>
      <c r="W81" s="336"/>
      <c r="X81" s="336"/>
      <c r="Y81" s="336"/>
      <c r="Z81" s="336"/>
      <c r="AA81" s="336"/>
      <c r="AB81" s="336"/>
      <c r="AC81" s="336"/>
      <c r="AD81" s="336"/>
      <c r="AE81" s="336"/>
      <c r="AF81" s="336"/>
      <c r="AG81" s="336"/>
      <c r="AH81" s="336"/>
      <c r="AI81" s="336"/>
      <c r="AJ81" s="336"/>
      <c r="AK81" s="336"/>
      <c r="AL81" s="336"/>
      <c r="AM81" s="336"/>
      <c r="AN81" s="336"/>
      <c r="AO81" s="336"/>
      <c r="AP81" s="336"/>
      <c r="AQ81" s="336"/>
      <c r="AR81" s="336"/>
      <c r="AS81" s="336"/>
      <c r="AT81" s="336"/>
      <c r="AU81" s="336"/>
      <c r="AV81" s="336"/>
      <c r="AW81" s="336"/>
      <c r="AX81" s="336"/>
      <c r="AY81" s="336"/>
      <c r="AZ81" s="336"/>
      <c r="BA81" s="632"/>
      <c r="BB81" s="632"/>
      <c r="BC81" s="632"/>
      <c r="BD81" s="632"/>
      <c r="BE81" s="632"/>
      <c r="BF81" s="632"/>
      <c r="BG81" s="632"/>
      <c r="BH81" s="632"/>
      <c r="BI81" s="632"/>
      <c r="BJ81" s="632"/>
      <c r="BK81" s="632"/>
      <c r="BL81" s="632"/>
      <c r="BM81" s="632"/>
      <c r="BN81" s="632"/>
      <c r="BO81" s="632"/>
      <c r="BP81" s="632"/>
      <c r="BQ81" s="632"/>
      <c r="BR81" s="632"/>
      <c r="BS81" s="632"/>
      <c r="BT81" s="632"/>
      <c r="BU81" s="632"/>
      <c r="BV81" s="632"/>
      <c r="BW81" s="632"/>
      <c r="BX81" s="632"/>
      <c r="BY81" s="632"/>
      <c r="BZ81" s="632"/>
      <c r="CA81" s="632"/>
      <c r="CB81" s="632"/>
      <c r="CC81" s="632"/>
      <c r="CD81" s="632"/>
      <c r="CE81" s="632"/>
      <c r="CF81" s="632"/>
      <c r="CG81" s="632"/>
      <c r="CH81" s="632"/>
      <c r="CI81" s="632"/>
      <c r="CJ81" s="632"/>
      <c r="CK81" s="632"/>
      <c r="CL81" s="632"/>
      <c r="CM81" s="632"/>
      <c r="CN81" s="631"/>
    </row>
    <row r="82" spans="2:92" ht="15.75" x14ac:dyDescent="0.25">
      <c r="B82" s="610"/>
      <c r="C82" s="336"/>
      <c r="D82" s="611"/>
      <c r="E82" s="612"/>
      <c r="F82" s="612"/>
      <c r="G82" s="612"/>
      <c r="H82" s="618">
        <f>'I. Stream &amp; Compound Data'!F281</f>
        <v>20</v>
      </c>
      <c r="I82" s="677" t="str">
        <f>IF('I. Stream &amp; Compound Data'!G281&lt;&gt;"",'I. Stream &amp; Compound Data'!G281,"")</f>
        <v/>
      </c>
      <c r="J82" s="676" t="str">
        <f t="shared" si="2"/>
        <v/>
      </c>
      <c r="K82" s="652" t="str">
        <f>IF('I. Stream &amp; Compound Data'!T281&lt;&gt;"",'I. Stream &amp; Compound Data'!T281,IF(OR('I. Stream &amp; Compound Data'!U281=1,'I. Stream &amp; Compound Data'!V281=1),0,""))</f>
        <v/>
      </c>
      <c r="L82" s="676" t="str">
        <f t="shared" si="3"/>
        <v/>
      </c>
      <c r="M82" s="651" t="str">
        <f t="shared" si="4"/>
        <v/>
      </c>
      <c r="N82" s="651" t="str">
        <f t="shared" si="5"/>
        <v/>
      </c>
      <c r="O82" s="652" t="str">
        <f>IF(J82&lt;&gt;"",'I. Stream &amp; Compound Data'!AM281,"")</f>
        <v/>
      </c>
      <c r="P82" s="651" t="str">
        <f t="shared" si="6"/>
        <v/>
      </c>
      <c r="Q82" s="667" t="str">
        <f t="shared" si="7"/>
        <v/>
      </c>
      <c r="R82" s="628"/>
      <c r="S82" s="634"/>
      <c r="T82" s="634"/>
      <c r="U82" s="633"/>
      <c r="V82" s="336"/>
      <c r="W82" s="336"/>
      <c r="X82" s="336"/>
      <c r="Y82" s="336"/>
      <c r="Z82" s="336"/>
      <c r="AA82" s="336"/>
      <c r="AB82" s="336"/>
      <c r="AC82" s="336"/>
      <c r="AD82" s="336"/>
      <c r="AE82" s="336"/>
      <c r="AF82" s="336"/>
      <c r="AG82" s="336"/>
      <c r="AH82" s="336"/>
      <c r="AI82" s="336"/>
      <c r="AJ82" s="336"/>
      <c r="AK82" s="336"/>
      <c r="AL82" s="336"/>
      <c r="AM82" s="336"/>
      <c r="AN82" s="336"/>
      <c r="AO82" s="336"/>
      <c r="AP82" s="336"/>
      <c r="AQ82" s="336"/>
      <c r="AR82" s="336"/>
      <c r="AS82" s="336"/>
      <c r="AT82" s="336"/>
      <c r="AU82" s="336"/>
      <c r="AV82" s="336"/>
      <c r="AW82" s="336"/>
      <c r="AX82" s="336"/>
      <c r="AY82" s="336"/>
      <c r="AZ82" s="336"/>
      <c r="BA82" s="632"/>
      <c r="BB82" s="632"/>
      <c r="BC82" s="632"/>
      <c r="BD82" s="632"/>
      <c r="BE82" s="632"/>
      <c r="BF82" s="632"/>
      <c r="BG82" s="632"/>
      <c r="BH82" s="632"/>
      <c r="BI82" s="632"/>
      <c r="BJ82" s="632"/>
      <c r="BK82" s="632"/>
      <c r="BL82" s="632"/>
      <c r="BM82" s="632"/>
      <c r="BN82" s="632"/>
      <c r="BO82" s="632"/>
      <c r="BP82" s="632"/>
      <c r="BQ82" s="632"/>
      <c r="BR82" s="632"/>
      <c r="BS82" s="632"/>
      <c r="BT82" s="632"/>
      <c r="BU82" s="632"/>
      <c r="BV82" s="632"/>
      <c r="BW82" s="632"/>
      <c r="BX82" s="632"/>
      <c r="BY82" s="632"/>
      <c r="BZ82" s="632"/>
      <c r="CA82" s="632"/>
      <c r="CB82" s="632"/>
      <c r="CC82" s="632"/>
      <c r="CD82" s="632"/>
      <c r="CE82" s="632"/>
      <c r="CF82" s="632"/>
      <c r="CG82" s="632"/>
      <c r="CH82" s="632"/>
      <c r="CI82" s="632"/>
      <c r="CJ82" s="632"/>
      <c r="CK82" s="632"/>
      <c r="CL82" s="632"/>
      <c r="CM82" s="632"/>
      <c r="CN82" s="631"/>
    </row>
    <row r="83" spans="2:92" ht="15.75" x14ac:dyDescent="0.25">
      <c r="B83" s="610"/>
      <c r="C83" s="336"/>
      <c r="D83" s="611"/>
      <c r="E83" s="612"/>
      <c r="F83" s="612"/>
      <c r="G83" s="612"/>
      <c r="H83" s="618">
        <f>'I. Stream &amp; Compound Data'!F282</f>
        <v>21</v>
      </c>
      <c r="I83" s="677" t="str">
        <f>IF('I. Stream &amp; Compound Data'!G282&lt;&gt;"",'I. Stream &amp; Compound Data'!G282,"")</f>
        <v/>
      </c>
      <c r="J83" s="676" t="str">
        <f t="shared" si="2"/>
        <v/>
      </c>
      <c r="K83" s="652" t="str">
        <f>IF('I. Stream &amp; Compound Data'!T282&lt;&gt;"",'I. Stream &amp; Compound Data'!T282,IF(OR('I. Stream &amp; Compound Data'!U282=1,'I. Stream &amp; Compound Data'!V282=1),0,""))</f>
        <v/>
      </c>
      <c r="L83" s="676" t="str">
        <f t="shared" si="3"/>
        <v/>
      </c>
      <c r="M83" s="651" t="str">
        <f t="shared" si="4"/>
        <v/>
      </c>
      <c r="N83" s="651" t="str">
        <f t="shared" si="5"/>
        <v/>
      </c>
      <c r="O83" s="652" t="str">
        <f>IF(J83&lt;&gt;"",'I. Stream &amp; Compound Data'!AM282,"")</f>
        <v/>
      </c>
      <c r="P83" s="651" t="str">
        <f t="shared" si="6"/>
        <v/>
      </c>
      <c r="Q83" s="667" t="str">
        <f t="shared" si="7"/>
        <v/>
      </c>
      <c r="R83" s="628"/>
      <c r="S83" s="634"/>
      <c r="T83" s="634"/>
      <c r="U83" s="633"/>
      <c r="V83" s="336"/>
      <c r="W83" s="336"/>
      <c r="X83" s="336"/>
      <c r="Y83" s="336"/>
      <c r="Z83" s="336"/>
      <c r="AA83" s="336"/>
      <c r="AB83" s="336"/>
      <c r="AC83" s="336"/>
      <c r="AD83" s="336"/>
      <c r="AE83" s="336"/>
      <c r="AF83" s="336"/>
      <c r="AG83" s="336"/>
      <c r="AH83" s="336"/>
      <c r="AI83" s="336"/>
      <c r="AJ83" s="336"/>
      <c r="AK83" s="336"/>
      <c r="AL83" s="336"/>
      <c r="AM83" s="336"/>
      <c r="AN83" s="336"/>
      <c r="AO83" s="336"/>
      <c r="AP83" s="336"/>
      <c r="AQ83" s="336"/>
      <c r="AR83" s="336"/>
      <c r="AS83" s="336"/>
      <c r="AT83" s="336"/>
      <c r="AU83" s="336"/>
      <c r="AV83" s="336"/>
      <c r="AW83" s="336"/>
      <c r="AX83" s="336"/>
      <c r="AY83" s="336"/>
      <c r="AZ83" s="336"/>
      <c r="BA83" s="632"/>
      <c r="BB83" s="632"/>
      <c r="BC83" s="632"/>
      <c r="BD83" s="632"/>
      <c r="BE83" s="632"/>
      <c r="BF83" s="632"/>
      <c r="BG83" s="632"/>
      <c r="BH83" s="632"/>
      <c r="BI83" s="632"/>
      <c r="BJ83" s="632"/>
      <c r="BK83" s="632"/>
      <c r="BL83" s="632"/>
      <c r="BM83" s="632"/>
      <c r="BN83" s="632"/>
      <c r="BO83" s="632"/>
      <c r="BP83" s="632"/>
      <c r="BQ83" s="632"/>
      <c r="BR83" s="632"/>
      <c r="BS83" s="632"/>
      <c r="BT83" s="632"/>
      <c r="BU83" s="632"/>
      <c r="BV83" s="632"/>
      <c r="BW83" s="632"/>
      <c r="BX83" s="632"/>
      <c r="BY83" s="632"/>
      <c r="BZ83" s="632"/>
      <c r="CA83" s="632"/>
      <c r="CB83" s="632"/>
      <c r="CC83" s="632"/>
      <c r="CD83" s="632"/>
      <c r="CE83" s="632"/>
      <c r="CF83" s="632"/>
      <c r="CG83" s="632"/>
      <c r="CH83" s="632"/>
      <c r="CI83" s="632"/>
      <c r="CJ83" s="632"/>
      <c r="CK83" s="632"/>
      <c r="CL83" s="632"/>
      <c r="CM83" s="632"/>
      <c r="CN83" s="631"/>
    </row>
    <row r="84" spans="2:92" ht="15.75" x14ac:dyDescent="0.25">
      <c r="B84" s="610"/>
      <c r="C84" s="336"/>
      <c r="D84" s="611"/>
      <c r="E84" s="612"/>
      <c r="F84" s="612"/>
      <c r="G84" s="612"/>
      <c r="H84" s="618">
        <f>'I. Stream &amp; Compound Data'!F283</f>
        <v>22</v>
      </c>
      <c r="I84" s="677" t="str">
        <f>IF('I. Stream &amp; Compound Data'!G283&lt;&gt;"",'I. Stream &amp; Compound Data'!G283,"")</f>
        <v/>
      </c>
      <c r="J84" s="676" t="str">
        <f t="shared" si="2"/>
        <v/>
      </c>
      <c r="K84" s="652" t="str">
        <f>IF('I. Stream &amp; Compound Data'!T283&lt;&gt;"",'I. Stream &amp; Compound Data'!T283,IF(OR('I. Stream &amp; Compound Data'!U283=1,'I. Stream &amp; Compound Data'!V283=1),0,""))</f>
        <v/>
      </c>
      <c r="L84" s="676" t="str">
        <f t="shared" si="3"/>
        <v/>
      </c>
      <c r="M84" s="651" t="str">
        <f t="shared" si="4"/>
        <v/>
      </c>
      <c r="N84" s="651" t="str">
        <f t="shared" si="5"/>
        <v/>
      </c>
      <c r="O84" s="652" t="str">
        <f>IF(J84&lt;&gt;"",'I. Stream &amp; Compound Data'!AM283,"")</f>
        <v/>
      </c>
      <c r="P84" s="651" t="str">
        <f t="shared" si="6"/>
        <v/>
      </c>
      <c r="Q84" s="667" t="str">
        <f t="shared" si="7"/>
        <v/>
      </c>
      <c r="R84" s="628"/>
      <c r="S84" s="634"/>
      <c r="T84" s="634"/>
      <c r="U84" s="633"/>
      <c r="V84" s="336"/>
      <c r="W84" s="336"/>
      <c r="X84" s="336"/>
      <c r="Y84" s="336"/>
      <c r="Z84" s="336"/>
      <c r="AA84" s="336"/>
      <c r="AB84" s="336"/>
      <c r="AC84" s="336"/>
      <c r="AD84" s="336"/>
      <c r="AE84" s="336"/>
      <c r="AF84" s="336"/>
      <c r="AG84" s="336"/>
      <c r="AH84" s="336"/>
      <c r="AI84" s="336"/>
      <c r="AJ84" s="336"/>
      <c r="AK84" s="336"/>
      <c r="AL84" s="336"/>
      <c r="AM84" s="336"/>
      <c r="AN84" s="336"/>
      <c r="AO84" s="336"/>
      <c r="AP84" s="336"/>
      <c r="AQ84" s="336"/>
      <c r="AR84" s="336"/>
      <c r="AS84" s="336"/>
      <c r="AT84" s="336"/>
      <c r="AU84" s="336"/>
      <c r="AV84" s="336"/>
      <c r="AW84" s="336"/>
      <c r="AX84" s="336"/>
      <c r="AY84" s="336"/>
      <c r="AZ84" s="336"/>
      <c r="BA84" s="632"/>
      <c r="BB84" s="632"/>
      <c r="BC84" s="632"/>
      <c r="BD84" s="632"/>
      <c r="BE84" s="632"/>
      <c r="BF84" s="632"/>
      <c r="BG84" s="632"/>
      <c r="BH84" s="632"/>
      <c r="BI84" s="632"/>
      <c r="BJ84" s="632"/>
      <c r="BK84" s="632"/>
      <c r="BL84" s="632"/>
      <c r="BM84" s="632"/>
      <c r="BN84" s="632"/>
      <c r="BO84" s="632"/>
      <c r="BP84" s="632"/>
      <c r="BQ84" s="632"/>
      <c r="BR84" s="632"/>
      <c r="BS84" s="632"/>
      <c r="BT84" s="632"/>
      <c r="BU84" s="632"/>
      <c r="BV84" s="632"/>
      <c r="BW84" s="632"/>
      <c r="BX84" s="632"/>
      <c r="BY84" s="632"/>
      <c r="BZ84" s="632"/>
      <c r="CA84" s="632"/>
      <c r="CB84" s="632"/>
      <c r="CC84" s="632"/>
      <c r="CD84" s="632"/>
      <c r="CE84" s="632"/>
      <c r="CF84" s="632"/>
      <c r="CG84" s="632"/>
      <c r="CH84" s="632"/>
      <c r="CI84" s="632"/>
      <c r="CJ84" s="632"/>
      <c r="CK84" s="632"/>
      <c r="CL84" s="632"/>
      <c r="CM84" s="632"/>
      <c r="CN84" s="631"/>
    </row>
    <row r="85" spans="2:92" ht="15.75" x14ac:dyDescent="0.25">
      <c r="B85" s="610"/>
      <c r="C85" s="336"/>
      <c r="D85" s="611"/>
      <c r="E85" s="612"/>
      <c r="F85" s="612"/>
      <c r="G85" s="612"/>
      <c r="H85" s="618">
        <f>'I. Stream &amp; Compound Data'!F284</f>
        <v>23</v>
      </c>
      <c r="I85" s="677" t="str">
        <f>IF('I. Stream &amp; Compound Data'!G284&lt;&gt;"",'I. Stream &amp; Compound Data'!G284,"")</f>
        <v/>
      </c>
      <c r="J85" s="676" t="str">
        <f t="shared" si="2"/>
        <v/>
      </c>
      <c r="K85" s="652" t="str">
        <f>IF('I. Stream &amp; Compound Data'!T284&lt;&gt;"",'I. Stream &amp; Compound Data'!T284,IF(OR('I. Stream &amp; Compound Data'!U284=1,'I. Stream &amp; Compound Data'!V284=1),0,""))</f>
        <v/>
      </c>
      <c r="L85" s="676" t="str">
        <f t="shared" si="3"/>
        <v/>
      </c>
      <c r="M85" s="651" t="str">
        <f t="shared" si="4"/>
        <v/>
      </c>
      <c r="N85" s="651" t="str">
        <f t="shared" si="5"/>
        <v/>
      </c>
      <c r="O85" s="652" t="str">
        <f>IF(J85&lt;&gt;"",'I. Stream &amp; Compound Data'!AM284,"")</f>
        <v/>
      </c>
      <c r="P85" s="651" t="str">
        <f t="shared" si="6"/>
        <v/>
      </c>
      <c r="Q85" s="667" t="str">
        <f t="shared" si="7"/>
        <v/>
      </c>
      <c r="R85" s="628"/>
      <c r="S85" s="634"/>
      <c r="T85" s="634"/>
      <c r="U85" s="633"/>
      <c r="V85" s="336"/>
      <c r="W85" s="336"/>
      <c r="X85" s="336"/>
      <c r="Y85" s="336"/>
      <c r="Z85" s="336"/>
      <c r="AA85" s="336"/>
      <c r="AB85" s="336"/>
      <c r="AC85" s="336"/>
      <c r="AD85" s="336"/>
      <c r="AE85" s="336"/>
      <c r="AF85" s="336"/>
      <c r="AG85" s="336"/>
      <c r="AH85" s="336"/>
      <c r="AI85" s="336"/>
      <c r="AJ85" s="336"/>
      <c r="AK85" s="336"/>
      <c r="AL85" s="336"/>
      <c r="AM85" s="336"/>
      <c r="AN85" s="336"/>
      <c r="AO85" s="336"/>
      <c r="AP85" s="336"/>
      <c r="AQ85" s="336"/>
      <c r="AR85" s="336"/>
      <c r="AS85" s="336"/>
      <c r="AT85" s="336"/>
      <c r="AU85" s="336"/>
      <c r="AV85" s="336"/>
      <c r="AW85" s="336"/>
      <c r="AX85" s="336"/>
      <c r="AY85" s="336"/>
      <c r="AZ85" s="336"/>
      <c r="BA85" s="632"/>
      <c r="BB85" s="632"/>
      <c r="BC85" s="632"/>
      <c r="BD85" s="632"/>
      <c r="BE85" s="632"/>
      <c r="BF85" s="632"/>
      <c r="BG85" s="632"/>
      <c r="BH85" s="632"/>
      <c r="BI85" s="632"/>
      <c r="BJ85" s="632"/>
      <c r="BK85" s="632"/>
      <c r="BL85" s="632"/>
      <c r="BM85" s="632"/>
      <c r="BN85" s="632"/>
      <c r="BO85" s="632"/>
      <c r="BP85" s="632"/>
      <c r="BQ85" s="632"/>
      <c r="BR85" s="632"/>
      <c r="BS85" s="632"/>
      <c r="BT85" s="632"/>
      <c r="BU85" s="632"/>
      <c r="BV85" s="632"/>
      <c r="BW85" s="632"/>
      <c r="BX85" s="632"/>
      <c r="BY85" s="632"/>
      <c r="BZ85" s="632"/>
      <c r="CA85" s="632"/>
      <c r="CB85" s="632"/>
      <c r="CC85" s="632"/>
      <c r="CD85" s="632"/>
      <c r="CE85" s="632"/>
      <c r="CF85" s="632"/>
      <c r="CG85" s="632"/>
      <c r="CH85" s="632"/>
      <c r="CI85" s="632"/>
      <c r="CJ85" s="632"/>
      <c r="CK85" s="632"/>
      <c r="CL85" s="632"/>
      <c r="CM85" s="632"/>
      <c r="CN85" s="631"/>
    </row>
    <row r="86" spans="2:92" ht="15.75" x14ac:dyDescent="0.25">
      <c r="B86" s="610"/>
      <c r="C86" s="336"/>
      <c r="D86" s="611"/>
      <c r="E86" s="612"/>
      <c r="F86" s="612"/>
      <c r="G86" s="612"/>
      <c r="H86" s="618">
        <f>'I. Stream &amp; Compound Data'!F285</f>
        <v>24</v>
      </c>
      <c r="I86" s="677" t="str">
        <f>IF('I. Stream &amp; Compound Data'!G285&lt;&gt;"",'I. Stream &amp; Compound Data'!G285,"")</f>
        <v/>
      </c>
      <c r="J86" s="676" t="str">
        <f t="shared" si="2"/>
        <v/>
      </c>
      <c r="K86" s="652" t="str">
        <f>IF('I. Stream &amp; Compound Data'!T285&lt;&gt;"",'I. Stream &amp; Compound Data'!T285,IF(OR('I. Stream &amp; Compound Data'!U285=1,'I. Stream &amp; Compound Data'!V285=1),0,""))</f>
        <v/>
      </c>
      <c r="L86" s="676" t="str">
        <f t="shared" si="3"/>
        <v/>
      </c>
      <c r="M86" s="651" t="str">
        <f t="shared" si="4"/>
        <v/>
      </c>
      <c r="N86" s="651" t="str">
        <f t="shared" si="5"/>
        <v/>
      </c>
      <c r="O86" s="652" t="str">
        <f>IF(J86&lt;&gt;"",'I. Stream &amp; Compound Data'!AM285,"")</f>
        <v/>
      </c>
      <c r="P86" s="651" t="str">
        <f t="shared" si="6"/>
        <v/>
      </c>
      <c r="Q86" s="667" t="str">
        <f t="shared" si="7"/>
        <v/>
      </c>
      <c r="R86" s="628"/>
      <c r="S86" s="634"/>
      <c r="T86" s="634"/>
      <c r="U86" s="633"/>
      <c r="V86" s="336"/>
      <c r="W86" s="336"/>
      <c r="X86" s="336"/>
      <c r="Y86" s="336"/>
      <c r="Z86" s="336"/>
      <c r="AA86" s="336"/>
      <c r="AB86" s="336"/>
      <c r="AC86" s="336"/>
      <c r="AD86" s="336"/>
      <c r="AE86" s="336"/>
      <c r="AF86" s="336"/>
      <c r="AG86" s="336"/>
      <c r="AH86" s="336"/>
      <c r="AI86" s="336"/>
      <c r="AJ86" s="336"/>
      <c r="AK86" s="336"/>
      <c r="AL86" s="336"/>
      <c r="AM86" s="336"/>
      <c r="AN86" s="336"/>
      <c r="AO86" s="336"/>
      <c r="AP86" s="336"/>
      <c r="AQ86" s="336"/>
      <c r="AR86" s="336"/>
      <c r="AS86" s="336"/>
      <c r="AT86" s="336"/>
      <c r="AU86" s="336"/>
      <c r="AV86" s="336"/>
      <c r="AW86" s="336"/>
      <c r="AX86" s="336"/>
      <c r="AY86" s="336"/>
      <c r="AZ86" s="336"/>
      <c r="BA86" s="632"/>
      <c r="BB86" s="632"/>
      <c r="BC86" s="632"/>
      <c r="BD86" s="632"/>
      <c r="BE86" s="632"/>
      <c r="BF86" s="632"/>
      <c r="BG86" s="632"/>
      <c r="BH86" s="632"/>
      <c r="BI86" s="632"/>
      <c r="BJ86" s="632"/>
      <c r="BK86" s="632"/>
      <c r="BL86" s="632"/>
      <c r="BM86" s="632"/>
      <c r="BN86" s="632"/>
      <c r="BO86" s="632"/>
      <c r="BP86" s="632"/>
      <c r="BQ86" s="632"/>
      <c r="BR86" s="632"/>
      <c r="BS86" s="632"/>
      <c r="BT86" s="632"/>
      <c r="BU86" s="632"/>
      <c r="BV86" s="632"/>
      <c r="BW86" s="632"/>
      <c r="BX86" s="632"/>
      <c r="BY86" s="632"/>
      <c r="BZ86" s="632"/>
      <c r="CA86" s="632"/>
      <c r="CB86" s="632"/>
      <c r="CC86" s="632"/>
      <c r="CD86" s="632"/>
      <c r="CE86" s="632"/>
      <c r="CF86" s="632"/>
      <c r="CG86" s="632"/>
      <c r="CH86" s="632"/>
      <c r="CI86" s="632"/>
      <c r="CJ86" s="632"/>
      <c r="CK86" s="632"/>
      <c r="CL86" s="632"/>
      <c r="CM86" s="632"/>
      <c r="CN86" s="631"/>
    </row>
    <row r="87" spans="2:92" ht="15.75" x14ac:dyDescent="0.25">
      <c r="B87" s="610"/>
      <c r="C87" s="336"/>
      <c r="D87" s="611"/>
      <c r="E87" s="612"/>
      <c r="F87" s="612"/>
      <c r="G87" s="612"/>
      <c r="H87" s="618">
        <f>'I. Stream &amp; Compound Data'!F286</f>
        <v>25</v>
      </c>
      <c r="I87" s="677" t="str">
        <f>IF('I. Stream &amp; Compound Data'!G286&lt;&gt;"",'I. Stream &amp; Compound Data'!G286,"")</f>
        <v/>
      </c>
      <c r="J87" s="676" t="str">
        <f t="shared" si="2"/>
        <v/>
      </c>
      <c r="K87" s="652" t="str">
        <f>IF('I. Stream &amp; Compound Data'!T286&lt;&gt;"",'I. Stream &amp; Compound Data'!T286,IF(OR('I. Stream &amp; Compound Data'!U286=1,'I. Stream &amp; Compound Data'!V286=1),0,""))</f>
        <v/>
      </c>
      <c r="L87" s="676" t="str">
        <f t="shared" si="3"/>
        <v/>
      </c>
      <c r="M87" s="651" t="str">
        <f t="shared" si="4"/>
        <v/>
      </c>
      <c r="N87" s="651" t="str">
        <f t="shared" si="5"/>
        <v/>
      </c>
      <c r="O87" s="652" t="str">
        <f>IF(J87&lt;&gt;"",'I. Stream &amp; Compound Data'!AM286,"")</f>
        <v/>
      </c>
      <c r="P87" s="651" t="str">
        <f t="shared" si="6"/>
        <v/>
      </c>
      <c r="Q87" s="667" t="str">
        <f t="shared" si="7"/>
        <v/>
      </c>
      <c r="R87" s="628"/>
      <c r="S87" s="634"/>
      <c r="T87" s="634"/>
      <c r="U87" s="633"/>
      <c r="V87" s="336"/>
      <c r="W87" s="336"/>
      <c r="X87" s="336"/>
      <c r="Y87" s="336"/>
      <c r="Z87" s="336"/>
      <c r="AA87" s="336"/>
      <c r="AB87" s="336"/>
      <c r="AC87" s="336"/>
      <c r="AD87" s="336"/>
      <c r="AE87" s="336"/>
      <c r="AF87" s="336"/>
      <c r="AG87" s="336"/>
      <c r="AH87" s="336"/>
      <c r="AI87" s="336"/>
      <c r="AJ87" s="336"/>
      <c r="AK87" s="336"/>
      <c r="AL87" s="336"/>
      <c r="AM87" s="336"/>
      <c r="AN87" s="336"/>
      <c r="AO87" s="336"/>
      <c r="AP87" s="336"/>
      <c r="AQ87" s="336"/>
      <c r="AR87" s="336"/>
      <c r="AS87" s="336"/>
      <c r="AT87" s="336"/>
      <c r="AU87" s="336"/>
      <c r="AV87" s="336"/>
      <c r="AW87" s="336"/>
      <c r="AX87" s="336"/>
      <c r="AY87" s="336"/>
      <c r="AZ87" s="336"/>
      <c r="BA87" s="632"/>
      <c r="BB87" s="632"/>
      <c r="BC87" s="632"/>
      <c r="BD87" s="632"/>
      <c r="BE87" s="632"/>
      <c r="BF87" s="632"/>
      <c r="BG87" s="632"/>
      <c r="BH87" s="632"/>
      <c r="BI87" s="632"/>
      <c r="BJ87" s="632"/>
      <c r="BK87" s="632"/>
      <c r="BL87" s="632"/>
      <c r="BM87" s="632"/>
      <c r="BN87" s="632"/>
      <c r="BO87" s="632"/>
      <c r="BP87" s="632"/>
      <c r="BQ87" s="632"/>
      <c r="BR87" s="632"/>
      <c r="BS87" s="632"/>
      <c r="BT87" s="632"/>
      <c r="BU87" s="632"/>
      <c r="BV87" s="632"/>
      <c r="BW87" s="632"/>
      <c r="BX87" s="632"/>
      <c r="BY87" s="632"/>
      <c r="BZ87" s="632"/>
      <c r="CA87" s="632"/>
      <c r="CB87" s="632"/>
      <c r="CC87" s="632"/>
      <c r="CD87" s="632"/>
      <c r="CE87" s="632"/>
      <c r="CF87" s="632"/>
      <c r="CG87" s="632"/>
      <c r="CH87" s="632"/>
      <c r="CI87" s="632"/>
      <c r="CJ87" s="632"/>
      <c r="CK87" s="632"/>
      <c r="CL87" s="632"/>
      <c r="CM87" s="632"/>
      <c r="CN87" s="631"/>
    </row>
    <row r="88" spans="2:92" ht="15.75" x14ac:dyDescent="0.25">
      <c r="B88" s="610"/>
      <c r="C88" s="336"/>
      <c r="D88" s="611"/>
      <c r="E88" s="612"/>
      <c r="F88" s="612"/>
      <c r="G88" s="612"/>
      <c r="H88" s="618">
        <f>'I. Stream &amp; Compound Data'!F287</f>
        <v>26</v>
      </c>
      <c r="I88" s="677" t="str">
        <f>IF('I. Stream &amp; Compound Data'!G287&lt;&gt;"",'I. Stream &amp; Compound Data'!G287,"")</f>
        <v/>
      </c>
      <c r="J88" s="676" t="str">
        <f t="shared" si="2"/>
        <v/>
      </c>
      <c r="K88" s="652" t="str">
        <f>IF('I. Stream &amp; Compound Data'!T287&lt;&gt;"",'I. Stream &amp; Compound Data'!T287,IF(OR('I. Stream &amp; Compound Data'!U287=1,'I. Stream &amp; Compound Data'!V287=1),0,""))</f>
        <v/>
      </c>
      <c r="L88" s="676" t="str">
        <f t="shared" si="3"/>
        <v/>
      </c>
      <c r="M88" s="651" t="str">
        <f t="shared" si="4"/>
        <v/>
      </c>
      <c r="N88" s="651" t="str">
        <f t="shared" si="5"/>
        <v/>
      </c>
      <c r="O88" s="652" t="str">
        <f>IF(J88&lt;&gt;"",'I. Stream &amp; Compound Data'!AM287,"")</f>
        <v/>
      </c>
      <c r="P88" s="651" t="str">
        <f t="shared" si="6"/>
        <v/>
      </c>
      <c r="Q88" s="667" t="str">
        <f t="shared" si="7"/>
        <v/>
      </c>
      <c r="R88" s="628"/>
      <c r="S88" s="634"/>
      <c r="T88" s="634"/>
      <c r="U88" s="633"/>
      <c r="V88" s="336"/>
      <c r="W88" s="336"/>
      <c r="X88" s="336"/>
      <c r="Y88" s="336"/>
      <c r="Z88" s="336"/>
      <c r="AA88" s="336"/>
      <c r="AB88" s="336"/>
      <c r="AC88" s="336"/>
      <c r="AD88" s="336"/>
      <c r="AE88" s="336"/>
      <c r="AF88" s="336"/>
      <c r="AG88" s="336"/>
      <c r="AH88" s="336"/>
      <c r="AI88" s="336"/>
      <c r="AJ88" s="336"/>
      <c r="AK88" s="336"/>
      <c r="AL88" s="336"/>
      <c r="AM88" s="336"/>
      <c r="AN88" s="336"/>
      <c r="AO88" s="336"/>
      <c r="AP88" s="336"/>
      <c r="AQ88" s="336"/>
      <c r="AR88" s="336"/>
      <c r="AS88" s="336"/>
      <c r="AT88" s="336"/>
      <c r="AU88" s="336"/>
      <c r="AV88" s="336"/>
      <c r="AW88" s="336"/>
      <c r="AX88" s="336"/>
      <c r="AY88" s="336"/>
      <c r="AZ88" s="336"/>
      <c r="BA88" s="632"/>
      <c r="BB88" s="632"/>
      <c r="BC88" s="632"/>
      <c r="BD88" s="632"/>
      <c r="BE88" s="632"/>
      <c r="BF88" s="632"/>
      <c r="BG88" s="632"/>
      <c r="BH88" s="632"/>
      <c r="BI88" s="632"/>
      <c r="BJ88" s="632"/>
      <c r="BK88" s="632"/>
      <c r="BL88" s="632"/>
      <c r="BM88" s="632"/>
      <c r="BN88" s="632"/>
      <c r="BO88" s="632"/>
      <c r="BP88" s="632"/>
      <c r="BQ88" s="632"/>
      <c r="BR88" s="632"/>
      <c r="BS88" s="632"/>
      <c r="BT88" s="632"/>
      <c r="BU88" s="632"/>
      <c r="BV88" s="632"/>
      <c r="BW88" s="632"/>
      <c r="BX88" s="632"/>
      <c r="BY88" s="632"/>
      <c r="BZ88" s="632"/>
      <c r="CA88" s="632"/>
      <c r="CB88" s="632"/>
      <c r="CC88" s="632"/>
      <c r="CD88" s="632"/>
      <c r="CE88" s="632"/>
      <c r="CF88" s="632"/>
      <c r="CG88" s="632"/>
      <c r="CH88" s="632"/>
      <c r="CI88" s="632"/>
      <c r="CJ88" s="632"/>
      <c r="CK88" s="632"/>
      <c r="CL88" s="632"/>
      <c r="CM88" s="632"/>
      <c r="CN88" s="631"/>
    </row>
    <row r="89" spans="2:92" ht="15.75" x14ac:dyDescent="0.25">
      <c r="B89" s="610"/>
      <c r="C89" s="336"/>
      <c r="D89" s="611"/>
      <c r="E89" s="612"/>
      <c r="F89" s="612"/>
      <c r="G89" s="612"/>
      <c r="H89" s="618">
        <f>'I. Stream &amp; Compound Data'!F288</f>
        <v>27</v>
      </c>
      <c r="I89" s="677" t="str">
        <f>IF('I. Stream &amp; Compound Data'!G288&lt;&gt;"",'I. Stream &amp; Compound Data'!G288,"")</f>
        <v/>
      </c>
      <c r="J89" s="676" t="str">
        <f t="shared" si="2"/>
        <v/>
      </c>
      <c r="K89" s="652" t="str">
        <f>IF('I. Stream &amp; Compound Data'!T288&lt;&gt;"",'I. Stream &amp; Compound Data'!T288,IF(OR('I. Stream &amp; Compound Data'!U288=1,'I. Stream &amp; Compound Data'!V288=1),0,""))</f>
        <v/>
      </c>
      <c r="L89" s="676" t="str">
        <f t="shared" si="3"/>
        <v/>
      </c>
      <c r="M89" s="651" t="str">
        <f t="shared" si="4"/>
        <v/>
      </c>
      <c r="N89" s="651" t="str">
        <f t="shared" si="5"/>
        <v/>
      </c>
      <c r="O89" s="652" t="str">
        <f>IF(J89&lt;&gt;"",'I. Stream &amp; Compound Data'!AM288,"")</f>
        <v/>
      </c>
      <c r="P89" s="651" t="str">
        <f t="shared" si="6"/>
        <v/>
      </c>
      <c r="Q89" s="667" t="str">
        <f t="shared" si="7"/>
        <v/>
      </c>
      <c r="R89" s="628"/>
      <c r="S89" s="634"/>
      <c r="T89" s="634"/>
      <c r="U89" s="633"/>
      <c r="V89" s="336"/>
      <c r="W89" s="336"/>
      <c r="X89" s="336"/>
      <c r="Y89" s="336"/>
      <c r="Z89" s="336"/>
      <c r="AA89" s="336"/>
      <c r="AB89" s="336"/>
      <c r="AC89" s="336"/>
      <c r="AD89" s="336"/>
      <c r="AE89" s="336"/>
      <c r="AF89" s="336"/>
      <c r="AG89" s="336"/>
      <c r="AH89" s="336"/>
      <c r="AI89" s="336"/>
      <c r="AJ89" s="336"/>
      <c r="AK89" s="336"/>
      <c r="AL89" s="336"/>
      <c r="AM89" s="336"/>
      <c r="AN89" s="336"/>
      <c r="AO89" s="336"/>
      <c r="AP89" s="336"/>
      <c r="AQ89" s="336"/>
      <c r="AR89" s="336"/>
      <c r="AS89" s="336"/>
      <c r="AT89" s="336"/>
      <c r="AU89" s="336"/>
      <c r="AV89" s="336"/>
      <c r="AW89" s="336"/>
      <c r="AX89" s="336"/>
      <c r="AY89" s="336"/>
      <c r="AZ89" s="336"/>
      <c r="BA89" s="632"/>
      <c r="BB89" s="632"/>
      <c r="BC89" s="632"/>
      <c r="BD89" s="632"/>
      <c r="BE89" s="632"/>
      <c r="BF89" s="632"/>
      <c r="BG89" s="632"/>
      <c r="BH89" s="632"/>
      <c r="BI89" s="632"/>
      <c r="BJ89" s="632"/>
      <c r="BK89" s="632"/>
      <c r="BL89" s="632"/>
      <c r="BM89" s="632"/>
      <c r="BN89" s="632"/>
      <c r="BO89" s="632"/>
      <c r="BP89" s="632"/>
      <c r="BQ89" s="632"/>
      <c r="BR89" s="632"/>
      <c r="BS89" s="632"/>
      <c r="BT89" s="632"/>
      <c r="BU89" s="632"/>
      <c r="BV89" s="632"/>
      <c r="BW89" s="632"/>
      <c r="BX89" s="632"/>
      <c r="BY89" s="632"/>
      <c r="BZ89" s="632"/>
      <c r="CA89" s="632"/>
      <c r="CB89" s="632"/>
      <c r="CC89" s="632"/>
      <c r="CD89" s="632"/>
      <c r="CE89" s="632"/>
      <c r="CF89" s="632"/>
      <c r="CG89" s="632"/>
      <c r="CH89" s="632"/>
      <c r="CI89" s="632"/>
      <c r="CJ89" s="632"/>
      <c r="CK89" s="632"/>
      <c r="CL89" s="632"/>
      <c r="CM89" s="632"/>
      <c r="CN89" s="631"/>
    </row>
    <row r="90" spans="2:92" ht="15.75" x14ac:dyDescent="0.25">
      <c r="B90" s="610"/>
      <c r="C90" s="336"/>
      <c r="D90" s="611"/>
      <c r="E90" s="612"/>
      <c r="F90" s="612"/>
      <c r="G90" s="612"/>
      <c r="H90" s="618">
        <f>'I. Stream &amp; Compound Data'!F289</f>
        <v>28</v>
      </c>
      <c r="I90" s="677" t="str">
        <f>IF('I. Stream &amp; Compound Data'!G289&lt;&gt;"",'I. Stream &amp; Compound Data'!G289,"")</f>
        <v/>
      </c>
      <c r="J90" s="676" t="str">
        <f t="shared" si="2"/>
        <v/>
      </c>
      <c r="K90" s="652" t="str">
        <f>IF('I. Stream &amp; Compound Data'!T289&lt;&gt;"",'I. Stream &amp; Compound Data'!T289,IF(OR('I. Stream &amp; Compound Data'!U289=1,'I. Stream &amp; Compound Data'!V289=1),0,""))</f>
        <v/>
      </c>
      <c r="L90" s="676" t="str">
        <f t="shared" si="3"/>
        <v/>
      </c>
      <c r="M90" s="651" t="str">
        <f t="shared" si="4"/>
        <v/>
      </c>
      <c r="N90" s="651" t="str">
        <f t="shared" si="5"/>
        <v/>
      </c>
      <c r="O90" s="652" t="str">
        <f>IF(J90&lt;&gt;"",'I. Stream &amp; Compound Data'!AM289,"")</f>
        <v/>
      </c>
      <c r="P90" s="651" t="str">
        <f t="shared" si="6"/>
        <v/>
      </c>
      <c r="Q90" s="667" t="str">
        <f t="shared" si="7"/>
        <v/>
      </c>
      <c r="R90" s="628"/>
      <c r="S90" s="634"/>
      <c r="T90" s="634"/>
      <c r="U90" s="633"/>
      <c r="V90" s="336"/>
      <c r="W90" s="336"/>
      <c r="X90" s="336"/>
      <c r="Y90" s="336"/>
      <c r="Z90" s="336"/>
      <c r="AA90" s="336"/>
      <c r="AB90" s="336"/>
      <c r="AC90" s="336"/>
      <c r="AD90" s="336"/>
      <c r="AE90" s="336"/>
      <c r="AF90" s="336"/>
      <c r="AG90" s="336"/>
      <c r="AH90" s="336"/>
      <c r="AI90" s="336"/>
      <c r="AJ90" s="336"/>
      <c r="AK90" s="336"/>
      <c r="AL90" s="336"/>
      <c r="AM90" s="336"/>
      <c r="AN90" s="336"/>
      <c r="AO90" s="336"/>
      <c r="AP90" s="336"/>
      <c r="AQ90" s="336"/>
      <c r="AR90" s="336"/>
      <c r="AS90" s="336"/>
      <c r="AT90" s="336"/>
      <c r="AU90" s="336"/>
      <c r="AV90" s="336"/>
      <c r="AW90" s="336"/>
      <c r="AX90" s="336"/>
      <c r="AY90" s="336"/>
      <c r="AZ90" s="336"/>
      <c r="BA90" s="632"/>
      <c r="BB90" s="632"/>
      <c r="BC90" s="632"/>
      <c r="BD90" s="632"/>
      <c r="BE90" s="632"/>
      <c r="BF90" s="632"/>
      <c r="BG90" s="632"/>
      <c r="BH90" s="632"/>
      <c r="BI90" s="632"/>
      <c r="BJ90" s="632"/>
      <c r="BK90" s="632"/>
      <c r="BL90" s="632"/>
      <c r="BM90" s="632"/>
      <c r="BN90" s="632"/>
      <c r="BO90" s="632"/>
      <c r="BP90" s="632"/>
      <c r="BQ90" s="632"/>
      <c r="BR90" s="632"/>
      <c r="BS90" s="632"/>
      <c r="BT90" s="632"/>
      <c r="BU90" s="632"/>
      <c r="BV90" s="632"/>
      <c r="BW90" s="632"/>
      <c r="BX90" s="632"/>
      <c r="BY90" s="632"/>
      <c r="BZ90" s="632"/>
      <c r="CA90" s="632"/>
      <c r="CB90" s="632"/>
      <c r="CC90" s="632"/>
      <c r="CD90" s="632"/>
      <c r="CE90" s="632"/>
      <c r="CF90" s="632"/>
      <c r="CG90" s="632"/>
      <c r="CH90" s="632"/>
      <c r="CI90" s="632"/>
      <c r="CJ90" s="632"/>
      <c r="CK90" s="632"/>
      <c r="CL90" s="632"/>
      <c r="CM90" s="632"/>
      <c r="CN90" s="631"/>
    </row>
    <row r="91" spans="2:92" ht="15.75" x14ac:dyDescent="0.25">
      <c r="B91" s="610"/>
      <c r="C91" s="336"/>
      <c r="D91" s="611"/>
      <c r="E91" s="612"/>
      <c r="F91" s="612"/>
      <c r="G91" s="612"/>
      <c r="H91" s="618">
        <f>'I. Stream &amp; Compound Data'!F290</f>
        <v>29</v>
      </c>
      <c r="I91" s="677" t="str">
        <f>IF('I. Stream &amp; Compound Data'!G290&lt;&gt;"",'I. Stream &amp; Compound Data'!G290,"")</f>
        <v/>
      </c>
      <c r="J91" s="676" t="str">
        <f t="shared" si="2"/>
        <v/>
      </c>
      <c r="K91" s="652" t="str">
        <f>IF('I. Stream &amp; Compound Data'!T290&lt;&gt;"",'I. Stream &amp; Compound Data'!T290,IF(OR('I. Stream &amp; Compound Data'!U290=1,'I. Stream &amp; Compound Data'!V290=1),0,""))</f>
        <v/>
      </c>
      <c r="L91" s="676" t="str">
        <f t="shared" si="3"/>
        <v/>
      </c>
      <c r="M91" s="651" t="str">
        <f t="shared" si="4"/>
        <v/>
      </c>
      <c r="N91" s="651" t="str">
        <f t="shared" si="5"/>
        <v/>
      </c>
      <c r="O91" s="652" t="str">
        <f>IF(J91&lt;&gt;"",'I. Stream &amp; Compound Data'!AM290,"")</f>
        <v/>
      </c>
      <c r="P91" s="651" t="str">
        <f t="shared" si="6"/>
        <v/>
      </c>
      <c r="Q91" s="667" t="str">
        <f t="shared" si="7"/>
        <v/>
      </c>
      <c r="R91" s="628"/>
      <c r="S91" s="634"/>
      <c r="T91" s="634"/>
      <c r="U91" s="633"/>
      <c r="V91" s="336"/>
      <c r="W91" s="336"/>
      <c r="X91" s="336"/>
      <c r="Y91" s="336"/>
      <c r="Z91" s="336"/>
      <c r="AA91" s="336"/>
      <c r="AB91" s="336"/>
      <c r="AC91" s="336"/>
      <c r="AD91" s="336"/>
      <c r="AE91" s="336"/>
      <c r="AF91" s="336"/>
      <c r="AG91" s="336"/>
      <c r="AH91" s="336"/>
      <c r="AI91" s="336"/>
      <c r="AJ91" s="336"/>
      <c r="AK91" s="336"/>
      <c r="AL91" s="336"/>
      <c r="AM91" s="336"/>
      <c r="AN91" s="336"/>
      <c r="AO91" s="336"/>
      <c r="AP91" s="336"/>
      <c r="AQ91" s="336"/>
      <c r="AR91" s="336"/>
      <c r="AS91" s="336"/>
      <c r="AT91" s="336"/>
      <c r="AU91" s="336"/>
      <c r="AV91" s="336"/>
      <c r="AW91" s="336"/>
      <c r="AX91" s="336"/>
      <c r="AY91" s="336"/>
      <c r="AZ91" s="336"/>
      <c r="BA91" s="632"/>
      <c r="BB91" s="632"/>
      <c r="BC91" s="632"/>
      <c r="BD91" s="632"/>
      <c r="BE91" s="632"/>
      <c r="BF91" s="632"/>
      <c r="BG91" s="632"/>
      <c r="BH91" s="632"/>
      <c r="BI91" s="632"/>
      <c r="BJ91" s="632"/>
      <c r="BK91" s="632"/>
      <c r="BL91" s="632"/>
      <c r="BM91" s="632"/>
      <c r="BN91" s="632"/>
      <c r="BO91" s="632"/>
      <c r="BP91" s="632"/>
      <c r="BQ91" s="632"/>
      <c r="BR91" s="632"/>
      <c r="BS91" s="632"/>
      <c r="BT91" s="632"/>
      <c r="BU91" s="632"/>
      <c r="BV91" s="632"/>
      <c r="BW91" s="632"/>
      <c r="BX91" s="632"/>
      <c r="BY91" s="632"/>
      <c r="BZ91" s="632"/>
      <c r="CA91" s="632"/>
      <c r="CB91" s="632"/>
      <c r="CC91" s="632"/>
      <c r="CD91" s="632"/>
      <c r="CE91" s="632"/>
      <c r="CF91" s="632"/>
      <c r="CG91" s="632"/>
      <c r="CH91" s="632"/>
      <c r="CI91" s="632"/>
      <c r="CJ91" s="632"/>
      <c r="CK91" s="632"/>
      <c r="CL91" s="632"/>
      <c r="CM91" s="632"/>
      <c r="CN91" s="631"/>
    </row>
    <row r="92" spans="2:92" ht="15.75" x14ac:dyDescent="0.25">
      <c r="B92" s="610"/>
      <c r="C92" s="336"/>
      <c r="D92" s="611"/>
      <c r="E92" s="612"/>
      <c r="F92" s="612"/>
      <c r="G92" s="612"/>
      <c r="H92" s="618">
        <f>'I. Stream &amp; Compound Data'!F291</f>
        <v>30</v>
      </c>
      <c r="I92" s="677" t="str">
        <f>IF('I. Stream &amp; Compound Data'!G291&lt;&gt;"",'I. Stream &amp; Compound Data'!G291,"")</f>
        <v/>
      </c>
      <c r="J92" s="676" t="str">
        <f t="shared" si="2"/>
        <v/>
      </c>
      <c r="K92" s="652" t="str">
        <f>IF('I. Stream &amp; Compound Data'!T291&lt;&gt;"",'I. Stream &amp; Compound Data'!T291,IF(OR('I. Stream &amp; Compound Data'!U291=1,'I. Stream &amp; Compound Data'!V291=1),0,""))</f>
        <v/>
      </c>
      <c r="L92" s="676" t="str">
        <f t="shared" si="3"/>
        <v/>
      </c>
      <c r="M92" s="651" t="str">
        <f t="shared" si="4"/>
        <v/>
      </c>
      <c r="N92" s="651" t="str">
        <f t="shared" si="5"/>
        <v/>
      </c>
      <c r="O92" s="652" t="str">
        <f>IF(J92&lt;&gt;"",'I. Stream &amp; Compound Data'!AM291,"")</f>
        <v/>
      </c>
      <c r="P92" s="651" t="str">
        <f t="shared" si="6"/>
        <v/>
      </c>
      <c r="Q92" s="667" t="str">
        <f t="shared" si="7"/>
        <v/>
      </c>
      <c r="R92" s="628"/>
      <c r="S92" s="634"/>
      <c r="T92" s="634"/>
      <c r="U92" s="633"/>
      <c r="V92" s="336"/>
      <c r="W92" s="336"/>
      <c r="X92" s="336"/>
      <c r="Y92" s="336"/>
      <c r="Z92" s="336"/>
      <c r="AA92" s="336"/>
      <c r="AB92" s="336"/>
      <c r="AC92" s="336"/>
      <c r="AD92" s="336"/>
      <c r="AE92" s="336"/>
      <c r="AF92" s="336"/>
      <c r="AG92" s="336"/>
      <c r="AH92" s="336"/>
      <c r="AI92" s="336"/>
      <c r="AJ92" s="336"/>
      <c r="AK92" s="336"/>
      <c r="AL92" s="336"/>
      <c r="AM92" s="336"/>
      <c r="AN92" s="336"/>
      <c r="AO92" s="336"/>
      <c r="AP92" s="336"/>
      <c r="AQ92" s="336"/>
      <c r="AR92" s="336"/>
      <c r="AS92" s="336"/>
      <c r="AT92" s="336"/>
      <c r="AU92" s="336"/>
      <c r="AV92" s="336"/>
      <c r="AW92" s="336"/>
      <c r="AX92" s="336"/>
      <c r="AY92" s="336"/>
      <c r="AZ92" s="336"/>
      <c r="BA92" s="632"/>
      <c r="BB92" s="632"/>
      <c r="BC92" s="632"/>
      <c r="BD92" s="632"/>
      <c r="BE92" s="632"/>
      <c r="BF92" s="632"/>
      <c r="BG92" s="632"/>
      <c r="BH92" s="632"/>
      <c r="BI92" s="632"/>
      <c r="BJ92" s="632"/>
      <c r="BK92" s="632"/>
      <c r="BL92" s="632"/>
      <c r="BM92" s="632"/>
      <c r="BN92" s="632"/>
      <c r="BO92" s="632"/>
      <c r="BP92" s="632"/>
      <c r="BQ92" s="632"/>
      <c r="BR92" s="632"/>
      <c r="BS92" s="632"/>
      <c r="BT92" s="632"/>
      <c r="BU92" s="632"/>
      <c r="BV92" s="632"/>
      <c r="BW92" s="632"/>
      <c r="BX92" s="632"/>
      <c r="BY92" s="632"/>
      <c r="BZ92" s="632"/>
      <c r="CA92" s="632"/>
      <c r="CB92" s="632"/>
      <c r="CC92" s="632"/>
      <c r="CD92" s="632"/>
      <c r="CE92" s="632"/>
      <c r="CF92" s="632"/>
      <c r="CG92" s="632"/>
      <c r="CH92" s="632"/>
      <c r="CI92" s="632"/>
      <c r="CJ92" s="632"/>
      <c r="CK92" s="632"/>
      <c r="CL92" s="632"/>
      <c r="CM92" s="632"/>
      <c r="CN92" s="631"/>
    </row>
    <row r="93" spans="2:92" ht="15.75" x14ac:dyDescent="0.25">
      <c r="B93" s="610"/>
      <c r="C93" s="336"/>
      <c r="D93" s="611"/>
      <c r="E93" s="612"/>
      <c r="F93" s="612"/>
      <c r="G93" s="612"/>
      <c r="H93" s="618">
        <f>'I. Stream &amp; Compound Data'!F292</f>
        <v>31</v>
      </c>
      <c r="I93" s="677" t="str">
        <f>IF('I. Stream &amp; Compound Data'!G292&lt;&gt;"",'I. Stream &amp; Compound Data'!G292,"")</f>
        <v/>
      </c>
      <c r="J93" s="676" t="str">
        <f t="shared" si="2"/>
        <v/>
      </c>
      <c r="K93" s="652" t="str">
        <f>IF('I. Stream &amp; Compound Data'!T292&lt;&gt;"",'I. Stream &amp; Compound Data'!T292,IF(OR('I. Stream &amp; Compound Data'!U292=1,'I. Stream &amp; Compound Data'!V292=1),0,""))</f>
        <v/>
      </c>
      <c r="L93" s="676" t="str">
        <f t="shared" si="3"/>
        <v/>
      </c>
      <c r="M93" s="651" t="str">
        <f t="shared" si="4"/>
        <v/>
      </c>
      <c r="N93" s="651" t="str">
        <f t="shared" si="5"/>
        <v/>
      </c>
      <c r="O93" s="652" t="str">
        <f>IF(J93&lt;&gt;"",'I. Stream &amp; Compound Data'!AM292,"")</f>
        <v/>
      </c>
      <c r="P93" s="651" t="str">
        <f t="shared" si="6"/>
        <v/>
      </c>
      <c r="Q93" s="667" t="str">
        <f t="shared" si="7"/>
        <v/>
      </c>
      <c r="R93" s="628"/>
      <c r="S93" s="634"/>
      <c r="T93" s="634"/>
      <c r="U93" s="633"/>
      <c r="V93" s="336"/>
      <c r="W93" s="336"/>
      <c r="X93" s="336"/>
      <c r="Y93" s="336"/>
      <c r="Z93" s="336"/>
      <c r="AA93" s="336"/>
      <c r="AB93" s="336"/>
      <c r="AC93" s="336"/>
      <c r="AD93" s="336"/>
      <c r="AE93" s="336"/>
      <c r="AF93" s="336"/>
      <c r="AG93" s="336"/>
      <c r="AH93" s="336"/>
      <c r="AI93" s="336"/>
      <c r="AJ93" s="336"/>
      <c r="AK93" s="336"/>
      <c r="AL93" s="336"/>
      <c r="AM93" s="336"/>
      <c r="AN93" s="336"/>
      <c r="AO93" s="336"/>
      <c r="AP93" s="336"/>
      <c r="AQ93" s="336"/>
      <c r="AR93" s="336"/>
      <c r="AS93" s="336"/>
      <c r="AT93" s="336"/>
      <c r="AU93" s="336"/>
      <c r="AV93" s="336"/>
      <c r="AW93" s="336"/>
      <c r="AX93" s="336"/>
      <c r="AY93" s="336"/>
      <c r="AZ93" s="336"/>
      <c r="BA93" s="632"/>
      <c r="BB93" s="632"/>
      <c r="BC93" s="632"/>
      <c r="BD93" s="632"/>
      <c r="BE93" s="632"/>
      <c r="BF93" s="632"/>
      <c r="BG93" s="632"/>
      <c r="BH93" s="632"/>
      <c r="BI93" s="632"/>
      <c r="BJ93" s="632"/>
      <c r="BK93" s="632"/>
      <c r="BL93" s="632"/>
      <c r="BM93" s="632"/>
      <c r="BN93" s="632"/>
      <c r="BO93" s="632"/>
      <c r="BP93" s="632"/>
      <c r="BQ93" s="632"/>
      <c r="BR93" s="632"/>
      <c r="BS93" s="632"/>
      <c r="BT93" s="632"/>
      <c r="BU93" s="632"/>
      <c r="BV93" s="632"/>
      <c r="BW93" s="632"/>
      <c r="BX93" s="632"/>
      <c r="BY93" s="632"/>
      <c r="BZ93" s="632"/>
      <c r="CA93" s="632"/>
      <c r="CB93" s="632"/>
      <c r="CC93" s="632"/>
      <c r="CD93" s="632"/>
      <c r="CE93" s="632"/>
      <c r="CF93" s="632"/>
      <c r="CG93" s="632"/>
      <c r="CH93" s="632"/>
      <c r="CI93" s="632"/>
      <c r="CJ93" s="632"/>
      <c r="CK93" s="632"/>
      <c r="CL93" s="632"/>
      <c r="CM93" s="632"/>
      <c r="CN93" s="631"/>
    </row>
    <row r="94" spans="2:92" ht="15.75" x14ac:dyDescent="0.25">
      <c r="B94" s="610"/>
      <c r="C94" s="336"/>
      <c r="D94" s="611"/>
      <c r="E94" s="612"/>
      <c r="F94" s="612"/>
      <c r="G94" s="612"/>
      <c r="H94" s="618">
        <f>'I. Stream &amp; Compound Data'!F293</f>
        <v>32</v>
      </c>
      <c r="I94" s="677" t="str">
        <f>IF('I. Stream &amp; Compound Data'!G293&lt;&gt;"",'I. Stream &amp; Compound Data'!G293,"")</f>
        <v/>
      </c>
      <c r="J94" s="676" t="str">
        <f t="shared" si="2"/>
        <v/>
      </c>
      <c r="K94" s="652" t="str">
        <f>IF('I. Stream &amp; Compound Data'!T293&lt;&gt;"",'I. Stream &amp; Compound Data'!T293,IF(OR('I. Stream &amp; Compound Data'!U293=1,'I. Stream &amp; Compound Data'!V293=1),0,""))</f>
        <v/>
      </c>
      <c r="L94" s="676" t="str">
        <f t="shared" si="3"/>
        <v/>
      </c>
      <c r="M94" s="651" t="str">
        <f t="shared" si="4"/>
        <v/>
      </c>
      <c r="N94" s="651" t="str">
        <f t="shared" si="5"/>
        <v/>
      </c>
      <c r="O94" s="652" t="str">
        <f>IF(J94&lt;&gt;"",'I. Stream &amp; Compound Data'!AM293,"")</f>
        <v/>
      </c>
      <c r="P94" s="651" t="str">
        <f t="shared" si="6"/>
        <v/>
      </c>
      <c r="Q94" s="667" t="str">
        <f t="shared" si="7"/>
        <v/>
      </c>
      <c r="R94" s="628"/>
      <c r="S94" s="634"/>
      <c r="T94" s="634"/>
      <c r="U94" s="633"/>
      <c r="V94" s="336"/>
      <c r="W94" s="336"/>
      <c r="X94" s="336"/>
      <c r="Y94" s="336"/>
      <c r="Z94" s="336"/>
      <c r="AA94" s="336"/>
      <c r="AB94" s="336"/>
      <c r="AC94" s="336"/>
      <c r="AD94" s="336"/>
      <c r="AE94" s="336"/>
      <c r="AF94" s="336"/>
      <c r="AG94" s="336"/>
      <c r="AH94" s="336"/>
      <c r="AI94" s="336"/>
      <c r="AJ94" s="336"/>
      <c r="AK94" s="336"/>
      <c r="AL94" s="336"/>
      <c r="AM94" s="336"/>
      <c r="AN94" s="336"/>
      <c r="AO94" s="336"/>
      <c r="AP94" s="336"/>
      <c r="AQ94" s="336"/>
      <c r="AR94" s="336"/>
      <c r="AS94" s="336"/>
      <c r="AT94" s="336"/>
      <c r="AU94" s="336"/>
      <c r="AV94" s="336"/>
      <c r="AW94" s="336"/>
      <c r="AX94" s="336"/>
      <c r="AY94" s="336"/>
      <c r="AZ94" s="336"/>
      <c r="BA94" s="632"/>
      <c r="BB94" s="632"/>
      <c r="BC94" s="632"/>
      <c r="BD94" s="632"/>
      <c r="BE94" s="632"/>
      <c r="BF94" s="632"/>
      <c r="BG94" s="632"/>
      <c r="BH94" s="632"/>
      <c r="BI94" s="632"/>
      <c r="BJ94" s="632"/>
      <c r="BK94" s="632"/>
      <c r="BL94" s="632"/>
      <c r="BM94" s="632"/>
      <c r="BN94" s="632"/>
      <c r="BO94" s="632"/>
      <c r="BP94" s="632"/>
      <c r="BQ94" s="632"/>
      <c r="BR94" s="632"/>
      <c r="BS94" s="632"/>
      <c r="BT94" s="632"/>
      <c r="BU94" s="632"/>
      <c r="BV94" s="632"/>
      <c r="BW94" s="632"/>
      <c r="BX94" s="632"/>
      <c r="BY94" s="632"/>
      <c r="BZ94" s="632"/>
      <c r="CA94" s="632"/>
      <c r="CB94" s="632"/>
      <c r="CC94" s="632"/>
      <c r="CD94" s="632"/>
      <c r="CE94" s="632"/>
      <c r="CF94" s="632"/>
      <c r="CG94" s="632"/>
      <c r="CH94" s="632"/>
      <c r="CI94" s="632"/>
      <c r="CJ94" s="632"/>
      <c r="CK94" s="632"/>
      <c r="CL94" s="632"/>
      <c r="CM94" s="632"/>
      <c r="CN94" s="631"/>
    </row>
    <row r="95" spans="2:92" ht="15.75" x14ac:dyDescent="0.25">
      <c r="B95" s="610"/>
      <c r="C95" s="336"/>
      <c r="D95" s="611"/>
      <c r="E95" s="612"/>
      <c r="F95" s="612"/>
      <c r="G95" s="612"/>
      <c r="H95" s="618">
        <f>'I. Stream &amp; Compound Data'!F294</f>
        <v>33</v>
      </c>
      <c r="I95" s="677" t="str">
        <f>IF('I. Stream &amp; Compound Data'!G294&lt;&gt;"",'I. Stream &amp; Compound Data'!G294,"")</f>
        <v/>
      </c>
      <c r="J95" s="676" t="str">
        <f t="shared" ref="J95:J112" si="8">Q37</f>
        <v/>
      </c>
      <c r="K95" s="652" t="str">
        <f>IF('I. Stream &amp; Compound Data'!T294&lt;&gt;"",'I. Stream &amp; Compound Data'!T294,IF(OR('I. Stream &amp; Compound Data'!U294=1,'I. Stream &amp; Compound Data'!V294=1),0,""))</f>
        <v/>
      </c>
      <c r="L95" s="676" t="str">
        <f t="shared" ref="L95:L112" si="9">IF(J95&lt;&gt;"",J95*K95,"")</f>
        <v/>
      </c>
      <c r="M95" s="651" t="str">
        <f t="shared" ref="M95:M112" si="10">IF(J95&lt;&gt;"",J95-L95,"")</f>
        <v/>
      </c>
      <c r="N95" s="651" t="str">
        <f t="shared" ref="N95:N112" si="11">J95</f>
        <v/>
      </c>
      <c r="O95" s="652" t="str">
        <f>IF(J95&lt;&gt;"",'I. Stream &amp; Compound Data'!AM294,"")</f>
        <v/>
      </c>
      <c r="P95" s="651" t="str">
        <f t="shared" ref="P95:P112" si="12">IF(J95="","",J95*O95)</f>
        <v/>
      </c>
      <c r="Q95" s="667" t="str">
        <f t="shared" ref="Q95:Q112" si="13">IF(I95="","",IF(P95=0,0,P95-L95))</f>
        <v/>
      </c>
      <c r="R95" s="628"/>
      <c r="S95" s="634"/>
      <c r="T95" s="634"/>
      <c r="U95" s="633"/>
      <c r="V95" s="336"/>
      <c r="W95" s="336"/>
      <c r="X95" s="336"/>
      <c r="Y95" s="336"/>
      <c r="Z95" s="336"/>
      <c r="AA95" s="336"/>
      <c r="AB95" s="336"/>
      <c r="AC95" s="336"/>
      <c r="AD95" s="336"/>
      <c r="AE95" s="336"/>
      <c r="AF95" s="336"/>
      <c r="AG95" s="336"/>
      <c r="AH95" s="336"/>
      <c r="AI95" s="336"/>
      <c r="AJ95" s="336"/>
      <c r="AK95" s="336"/>
      <c r="AL95" s="336"/>
      <c r="AM95" s="336"/>
      <c r="AN95" s="336"/>
      <c r="AO95" s="336"/>
      <c r="AP95" s="336"/>
      <c r="AQ95" s="336"/>
      <c r="AR95" s="336"/>
      <c r="AS95" s="336"/>
      <c r="AT95" s="336"/>
      <c r="AU95" s="336"/>
      <c r="AV95" s="336"/>
      <c r="AW95" s="336"/>
      <c r="AX95" s="336"/>
      <c r="AY95" s="336"/>
      <c r="AZ95" s="336"/>
      <c r="BA95" s="632"/>
      <c r="BB95" s="632"/>
      <c r="BC95" s="632"/>
      <c r="BD95" s="632"/>
      <c r="BE95" s="632"/>
      <c r="BF95" s="632"/>
      <c r="BG95" s="632"/>
      <c r="BH95" s="632"/>
      <c r="BI95" s="632"/>
      <c r="BJ95" s="632"/>
      <c r="BK95" s="632"/>
      <c r="BL95" s="632"/>
      <c r="BM95" s="632"/>
      <c r="BN95" s="632"/>
      <c r="BO95" s="632"/>
      <c r="BP95" s="632"/>
      <c r="BQ95" s="632"/>
      <c r="BR95" s="632"/>
      <c r="BS95" s="632"/>
      <c r="BT95" s="632"/>
      <c r="BU95" s="632"/>
      <c r="BV95" s="632"/>
      <c r="BW95" s="632"/>
      <c r="BX95" s="632"/>
      <c r="BY95" s="632"/>
      <c r="BZ95" s="632"/>
      <c r="CA95" s="632"/>
      <c r="CB95" s="632"/>
      <c r="CC95" s="632"/>
      <c r="CD95" s="632"/>
      <c r="CE95" s="632"/>
      <c r="CF95" s="632"/>
      <c r="CG95" s="632"/>
      <c r="CH95" s="632"/>
      <c r="CI95" s="632"/>
      <c r="CJ95" s="632"/>
      <c r="CK95" s="632"/>
      <c r="CL95" s="632"/>
      <c r="CM95" s="632"/>
      <c r="CN95" s="631"/>
    </row>
    <row r="96" spans="2:92" ht="15.75" x14ac:dyDescent="0.25">
      <c r="B96" s="610"/>
      <c r="C96" s="336"/>
      <c r="D96" s="611"/>
      <c r="E96" s="612"/>
      <c r="F96" s="612"/>
      <c r="G96" s="612"/>
      <c r="H96" s="618">
        <f>'I. Stream &amp; Compound Data'!F295</f>
        <v>34</v>
      </c>
      <c r="I96" s="677" t="str">
        <f>IF('I. Stream &amp; Compound Data'!G295&lt;&gt;"",'I. Stream &amp; Compound Data'!G295,"")</f>
        <v/>
      </c>
      <c r="J96" s="676" t="str">
        <f t="shared" si="8"/>
        <v/>
      </c>
      <c r="K96" s="652" t="str">
        <f>IF('I. Stream &amp; Compound Data'!T295&lt;&gt;"",'I. Stream &amp; Compound Data'!T295,IF(OR('I. Stream &amp; Compound Data'!U295=1,'I. Stream &amp; Compound Data'!V295=1),0,""))</f>
        <v/>
      </c>
      <c r="L96" s="676" t="str">
        <f t="shared" si="9"/>
        <v/>
      </c>
      <c r="M96" s="651" t="str">
        <f t="shared" si="10"/>
        <v/>
      </c>
      <c r="N96" s="651" t="str">
        <f t="shared" si="11"/>
        <v/>
      </c>
      <c r="O96" s="652" t="str">
        <f>IF(J96&lt;&gt;"",'I. Stream &amp; Compound Data'!AM295,"")</f>
        <v/>
      </c>
      <c r="P96" s="651" t="str">
        <f t="shared" si="12"/>
        <v/>
      </c>
      <c r="Q96" s="667" t="str">
        <f t="shared" si="13"/>
        <v/>
      </c>
      <c r="R96" s="628"/>
      <c r="S96" s="634"/>
      <c r="T96" s="634"/>
      <c r="U96" s="633"/>
      <c r="V96" s="336"/>
      <c r="W96" s="336"/>
      <c r="X96" s="336"/>
      <c r="Y96" s="336"/>
      <c r="Z96" s="336"/>
      <c r="AA96" s="336"/>
      <c r="AB96" s="336"/>
      <c r="AC96" s="336"/>
      <c r="AD96" s="336"/>
      <c r="AE96" s="336"/>
      <c r="AF96" s="336"/>
      <c r="AG96" s="336"/>
      <c r="AH96" s="336"/>
      <c r="AI96" s="336"/>
      <c r="AJ96" s="336"/>
      <c r="AK96" s="336"/>
      <c r="AL96" s="336"/>
      <c r="AM96" s="336"/>
      <c r="AN96" s="336"/>
      <c r="AO96" s="336"/>
      <c r="AP96" s="336"/>
      <c r="AQ96" s="336"/>
      <c r="AR96" s="336"/>
      <c r="AS96" s="336"/>
      <c r="AT96" s="336"/>
      <c r="AU96" s="336"/>
      <c r="AV96" s="336"/>
      <c r="AW96" s="336"/>
      <c r="AX96" s="336"/>
      <c r="AY96" s="336"/>
      <c r="AZ96" s="336"/>
      <c r="BA96" s="632"/>
      <c r="BB96" s="632"/>
      <c r="BC96" s="632"/>
      <c r="BD96" s="632"/>
      <c r="BE96" s="632"/>
      <c r="BF96" s="632"/>
      <c r="BG96" s="632"/>
      <c r="BH96" s="632"/>
      <c r="BI96" s="632"/>
      <c r="BJ96" s="632"/>
      <c r="BK96" s="632"/>
      <c r="BL96" s="632"/>
      <c r="BM96" s="632"/>
      <c r="BN96" s="632"/>
      <c r="BO96" s="632"/>
      <c r="BP96" s="632"/>
      <c r="BQ96" s="632"/>
      <c r="BR96" s="632"/>
      <c r="BS96" s="632"/>
      <c r="BT96" s="632"/>
      <c r="BU96" s="632"/>
      <c r="BV96" s="632"/>
      <c r="BW96" s="632"/>
      <c r="BX96" s="632"/>
      <c r="BY96" s="632"/>
      <c r="BZ96" s="632"/>
      <c r="CA96" s="632"/>
      <c r="CB96" s="632"/>
      <c r="CC96" s="632"/>
      <c r="CD96" s="632"/>
      <c r="CE96" s="632"/>
      <c r="CF96" s="632"/>
      <c r="CG96" s="632"/>
      <c r="CH96" s="632"/>
      <c r="CI96" s="632"/>
      <c r="CJ96" s="632"/>
      <c r="CK96" s="632"/>
      <c r="CL96" s="632"/>
      <c r="CM96" s="632"/>
      <c r="CN96" s="631"/>
    </row>
    <row r="97" spans="2:92" ht="15.75" x14ac:dyDescent="0.25">
      <c r="B97" s="610"/>
      <c r="C97" s="336"/>
      <c r="D97" s="611"/>
      <c r="E97" s="612"/>
      <c r="F97" s="612"/>
      <c r="G97" s="612"/>
      <c r="H97" s="618">
        <f>'I. Stream &amp; Compound Data'!F296</f>
        <v>35</v>
      </c>
      <c r="I97" s="677" t="str">
        <f>IF('I. Stream &amp; Compound Data'!G296&lt;&gt;"",'I. Stream &amp; Compound Data'!G296,"")</f>
        <v/>
      </c>
      <c r="J97" s="676" t="str">
        <f t="shared" si="8"/>
        <v/>
      </c>
      <c r="K97" s="652" t="str">
        <f>IF('I. Stream &amp; Compound Data'!T296&lt;&gt;"",'I. Stream &amp; Compound Data'!T296,IF(OR('I. Stream &amp; Compound Data'!U296=1,'I. Stream &amp; Compound Data'!V296=1),0,""))</f>
        <v/>
      </c>
      <c r="L97" s="676" t="str">
        <f t="shared" si="9"/>
        <v/>
      </c>
      <c r="M97" s="651" t="str">
        <f t="shared" si="10"/>
        <v/>
      </c>
      <c r="N97" s="651" t="str">
        <f t="shared" si="11"/>
        <v/>
      </c>
      <c r="O97" s="652" t="str">
        <f>IF(J97&lt;&gt;"",'I. Stream &amp; Compound Data'!AM296,"")</f>
        <v/>
      </c>
      <c r="P97" s="651" t="str">
        <f t="shared" si="12"/>
        <v/>
      </c>
      <c r="Q97" s="667" t="str">
        <f t="shared" si="13"/>
        <v/>
      </c>
      <c r="R97" s="628"/>
      <c r="S97" s="634"/>
      <c r="T97" s="634"/>
      <c r="U97" s="633"/>
      <c r="V97" s="336"/>
      <c r="W97" s="336"/>
      <c r="X97" s="336"/>
      <c r="Y97" s="336"/>
      <c r="Z97" s="336"/>
      <c r="AA97" s="336"/>
      <c r="AB97" s="336"/>
      <c r="AC97" s="336"/>
      <c r="AD97" s="336"/>
      <c r="AE97" s="336"/>
      <c r="AF97" s="336"/>
      <c r="AG97" s="336"/>
      <c r="AH97" s="336"/>
      <c r="AI97" s="336"/>
      <c r="AJ97" s="336"/>
      <c r="AK97" s="336"/>
      <c r="AL97" s="336"/>
      <c r="AM97" s="336"/>
      <c r="AN97" s="336"/>
      <c r="AO97" s="336"/>
      <c r="AP97" s="336"/>
      <c r="AQ97" s="336"/>
      <c r="AR97" s="336"/>
      <c r="AS97" s="336"/>
      <c r="AT97" s="336"/>
      <c r="AU97" s="336"/>
      <c r="AV97" s="336"/>
      <c r="AW97" s="336"/>
      <c r="AX97" s="336"/>
      <c r="AY97" s="336"/>
      <c r="AZ97" s="336"/>
      <c r="BA97" s="632"/>
      <c r="BB97" s="632"/>
      <c r="BC97" s="632"/>
      <c r="BD97" s="632"/>
      <c r="BE97" s="632"/>
      <c r="BF97" s="632"/>
      <c r="BG97" s="632"/>
      <c r="BH97" s="632"/>
      <c r="BI97" s="632"/>
      <c r="BJ97" s="632"/>
      <c r="BK97" s="632"/>
      <c r="BL97" s="632"/>
      <c r="BM97" s="632"/>
      <c r="BN97" s="632"/>
      <c r="BO97" s="632"/>
      <c r="BP97" s="632"/>
      <c r="BQ97" s="632"/>
      <c r="BR97" s="632"/>
      <c r="BS97" s="632"/>
      <c r="BT97" s="632"/>
      <c r="BU97" s="632"/>
      <c r="BV97" s="632"/>
      <c r="BW97" s="632"/>
      <c r="BX97" s="632"/>
      <c r="BY97" s="632"/>
      <c r="BZ97" s="632"/>
      <c r="CA97" s="632"/>
      <c r="CB97" s="632"/>
      <c r="CC97" s="632"/>
      <c r="CD97" s="632"/>
      <c r="CE97" s="632"/>
      <c r="CF97" s="632"/>
      <c r="CG97" s="632"/>
      <c r="CH97" s="632"/>
      <c r="CI97" s="632"/>
      <c r="CJ97" s="632"/>
      <c r="CK97" s="632"/>
      <c r="CL97" s="632"/>
      <c r="CM97" s="632"/>
      <c r="CN97" s="631"/>
    </row>
    <row r="98" spans="2:92" ht="15.75" x14ac:dyDescent="0.25">
      <c r="B98" s="610"/>
      <c r="C98" s="336"/>
      <c r="D98" s="611"/>
      <c r="E98" s="612"/>
      <c r="F98" s="612"/>
      <c r="G98" s="612"/>
      <c r="H98" s="618">
        <f>'I. Stream &amp; Compound Data'!F297</f>
        <v>36</v>
      </c>
      <c r="I98" s="677" t="str">
        <f>IF('I. Stream &amp; Compound Data'!G297&lt;&gt;"",'I. Stream &amp; Compound Data'!G297,"")</f>
        <v/>
      </c>
      <c r="J98" s="676" t="str">
        <f t="shared" si="8"/>
        <v/>
      </c>
      <c r="K98" s="652" t="str">
        <f>IF('I. Stream &amp; Compound Data'!T297&lt;&gt;"",'I. Stream &amp; Compound Data'!T297,IF(OR('I. Stream &amp; Compound Data'!U297=1,'I. Stream &amp; Compound Data'!V297=1),0,""))</f>
        <v/>
      </c>
      <c r="L98" s="676" t="str">
        <f t="shared" si="9"/>
        <v/>
      </c>
      <c r="M98" s="651" t="str">
        <f t="shared" si="10"/>
        <v/>
      </c>
      <c r="N98" s="651" t="str">
        <f t="shared" si="11"/>
        <v/>
      </c>
      <c r="O98" s="652" t="str">
        <f>IF(J98&lt;&gt;"",'I. Stream &amp; Compound Data'!AM297,"")</f>
        <v/>
      </c>
      <c r="P98" s="651" t="str">
        <f t="shared" si="12"/>
        <v/>
      </c>
      <c r="Q98" s="667" t="str">
        <f t="shared" si="13"/>
        <v/>
      </c>
      <c r="R98" s="628"/>
      <c r="S98" s="634"/>
      <c r="T98" s="634"/>
      <c r="U98" s="633"/>
      <c r="V98" s="336"/>
      <c r="W98" s="336"/>
      <c r="X98" s="336"/>
      <c r="Y98" s="336"/>
      <c r="Z98" s="336"/>
      <c r="AA98" s="336"/>
      <c r="AB98" s="336"/>
      <c r="AC98" s="336"/>
      <c r="AD98" s="336"/>
      <c r="AE98" s="336"/>
      <c r="AF98" s="336"/>
      <c r="AG98" s="336"/>
      <c r="AH98" s="336"/>
      <c r="AI98" s="336"/>
      <c r="AJ98" s="336"/>
      <c r="AK98" s="336"/>
      <c r="AL98" s="336"/>
      <c r="AM98" s="336"/>
      <c r="AN98" s="336"/>
      <c r="AO98" s="336"/>
      <c r="AP98" s="336"/>
      <c r="AQ98" s="336"/>
      <c r="AR98" s="336"/>
      <c r="AS98" s="336"/>
      <c r="AT98" s="336"/>
      <c r="AU98" s="336"/>
      <c r="AV98" s="336"/>
      <c r="AW98" s="336"/>
      <c r="AX98" s="336"/>
      <c r="AY98" s="336"/>
      <c r="AZ98" s="336"/>
      <c r="BA98" s="632"/>
      <c r="BB98" s="632"/>
      <c r="BC98" s="632"/>
      <c r="BD98" s="632"/>
      <c r="BE98" s="632"/>
      <c r="BF98" s="632"/>
      <c r="BG98" s="632"/>
      <c r="BH98" s="632"/>
      <c r="BI98" s="632"/>
      <c r="BJ98" s="632"/>
      <c r="BK98" s="632"/>
      <c r="BL98" s="632"/>
      <c r="BM98" s="632"/>
      <c r="BN98" s="632"/>
      <c r="BO98" s="632"/>
      <c r="BP98" s="632"/>
      <c r="BQ98" s="632"/>
      <c r="BR98" s="632"/>
      <c r="BS98" s="632"/>
      <c r="BT98" s="632"/>
      <c r="BU98" s="632"/>
      <c r="BV98" s="632"/>
      <c r="BW98" s="632"/>
      <c r="BX98" s="632"/>
      <c r="BY98" s="632"/>
      <c r="BZ98" s="632"/>
      <c r="CA98" s="632"/>
      <c r="CB98" s="632"/>
      <c r="CC98" s="632"/>
      <c r="CD98" s="632"/>
      <c r="CE98" s="632"/>
      <c r="CF98" s="632"/>
      <c r="CG98" s="632"/>
      <c r="CH98" s="632"/>
      <c r="CI98" s="632"/>
      <c r="CJ98" s="632"/>
      <c r="CK98" s="632"/>
      <c r="CL98" s="632"/>
      <c r="CM98" s="632"/>
      <c r="CN98" s="631"/>
    </row>
    <row r="99" spans="2:92" ht="15.75" x14ac:dyDescent="0.25">
      <c r="B99" s="610"/>
      <c r="C99" s="336"/>
      <c r="D99" s="611"/>
      <c r="E99" s="612"/>
      <c r="F99" s="612"/>
      <c r="G99" s="612"/>
      <c r="H99" s="618">
        <f>'I. Stream &amp; Compound Data'!F298</f>
        <v>37</v>
      </c>
      <c r="I99" s="677" t="str">
        <f>IF('I. Stream &amp; Compound Data'!G298&lt;&gt;"",'I. Stream &amp; Compound Data'!G298,"")</f>
        <v/>
      </c>
      <c r="J99" s="676" t="str">
        <f t="shared" si="8"/>
        <v/>
      </c>
      <c r="K99" s="652" t="str">
        <f>IF('I. Stream &amp; Compound Data'!T298&lt;&gt;"",'I. Stream &amp; Compound Data'!T298,IF(OR('I. Stream &amp; Compound Data'!U298=1,'I. Stream &amp; Compound Data'!V298=1),0,""))</f>
        <v/>
      </c>
      <c r="L99" s="676" t="str">
        <f t="shared" si="9"/>
        <v/>
      </c>
      <c r="M99" s="651" t="str">
        <f t="shared" si="10"/>
        <v/>
      </c>
      <c r="N99" s="651" t="str">
        <f t="shared" si="11"/>
        <v/>
      </c>
      <c r="O99" s="652" t="str">
        <f>IF(J99&lt;&gt;"",'I. Stream &amp; Compound Data'!AM298,"")</f>
        <v/>
      </c>
      <c r="P99" s="651" t="str">
        <f t="shared" si="12"/>
        <v/>
      </c>
      <c r="Q99" s="667" t="str">
        <f t="shared" si="13"/>
        <v/>
      </c>
      <c r="R99" s="628"/>
      <c r="S99" s="634"/>
      <c r="T99" s="634"/>
      <c r="U99" s="633"/>
      <c r="V99" s="336"/>
      <c r="W99" s="336"/>
      <c r="X99" s="336"/>
      <c r="Y99" s="336"/>
      <c r="Z99" s="336"/>
      <c r="AA99" s="336"/>
      <c r="AB99" s="336"/>
      <c r="AC99" s="336"/>
      <c r="AD99" s="336"/>
      <c r="AE99" s="336"/>
      <c r="AF99" s="336"/>
      <c r="AG99" s="336"/>
      <c r="AH99" s="336"/>
      <c r="AI99" s="336"/>
      <c r="AJ99" s="336"/>
      <c r="AK99" s="336"/>
      <c r="AL99" s="336"/>
      <c r="AM99" s="336"/>
      <c r="AN99" s="336"/>
      <c r="AO99" s="336"/>
      <c r="AP99" s="336"/>
      <c r="AQ99" s="336"/>
      <c r="AR99" s="336"/>
      <c r="AS99" s="336"/>
      <c r="AT99" s="336"/>
      <c r="AU99" s="336"/>
      <c r="AV99" s="336"/>
      <c r="AW99" s="336"/>
      <c r="AX99" s="336"/>
      <c r="AY99" s="336"/>
      <c r="AZ99" s="336"/>
      <c r="BA99" s="632"/>
      <c r="BB99" s="632"/>
      <c r="BC99" s="632"/>
      <c r="BD99" s="632"/>
      <c r="BE99" s="632"/>
      <c r="BF99" s="632"/>
      <c r="BG99" s="632"/>
      <c r="BH99" s="632"/>
      <c r="BI99" s="632"/>
      <c r="BJ99" s="632"/>
      <c r="BK99" s="632"/>
      <c r="BL99" s="632"/>
      <c r="BM99" s="632"/>
      <c r="BN99" s="632"/>
      <c r="BO99" s="632"/>
      <c r="BP99" s="632"/>
      <c r="BQ99" s="632"/>
      <c r="BR99" s="632"/>
      <c r="BS99" s="632"/>
      <c r="BT99" s="632"/>
      <c r="BU99" s="632"/>
      <c r="BV99" s="632"/>
      <c r="BW99" s="632"/>
      <c r="BX99" s="632"/>
      <c r="BY99" s="632"/>
      <c r="BZ99" s="632"/>
      <c r="CA99" s="632"/>
      <c r="CB99" s="632"/>
      <c r="CC99" s="632"/>
      <c r="CD99" s="632"/>
      <c r="CE99" s="632"/>
      <c r="CF99" s="632"/>
      <c r="CG99" s="632"/>
      <c r="CH99" s="632"/>
      <c r="CI99" s="632"/>
      <c r="CJ99" s="632"/>
      <c r="CK99" s="632"/>
      <c r="CL99" s="632"/>
      <c r="CM99" s="632"/>
      <c r="CN99" s="631"/>
    </row>
    <row r="100" spans="2:92" ht="15.75" x14ac:dyDescent="0.25">
      <c r="B100" s="610"/>
      <c r="C100" s="336"/>
      <c r="D100" s="611"/>
      <c r="E100" s="612"/>
      <c r="F100" s="612"/>
      <c r="G100" s="612"/>
      <c r="H100" s="618">
        <f>'I. Stream &amp; Compound Data'!F299</f>
        <v>38</v>
      </c>
      <c r="I100" s="677" t="str">
        <f>IF('I. Stream &amp; Compound Data'!G299&lt;&gt;"",'I. Stream &amp; Compound Data'!G299,"")</f>
        <v/>
      </c>
      <c r="J100" s="676" t="str">
        <f t="shared" si="8"/>
        <v/>
      </c>
      <c r="K100" s="652" t="str">
        <f>IF('I. Stream &amp; Compound Data'!T299&lt;&gt;"",'I. Stream &amp; Compound Data'!T299,IF(OR('I. Stream &amp; Compound Data'!U299=1,'I. Stream &amp; Compound Data'!V299=1),0,""))</f>
        <v/>
      </c>
      <c r="L100" s="676" t="str">
        <f t="shared" si="9"/>
        <v/>
      </c>
      <c r="M100" s="651" t="str">
        <f t="shared" si="10"/>
        <v/>
      </c>
      <c r="N100" s="651" t="str">
        <f t="shared" si="11"/>
        <v/>
      </c>
      <c r="O100" s="652" t="str">
        <f>IF(J100&lt;&gt;"",'I. Stream &amp; Compound Data'!AM299,"")</f>
        <v/>
      </c>
      <c r="P100" s="651" t="str">
        <f t="shared" si="12"/>
        <v/>
      </c>
      <c r="Q100" s="667" t="str">
        <f t="shared" si="13"/>
        <v/>
      </c>
      <c r="R100" s="628"/>
      <c r="S100" s="634"/>
      <c r="T100" s="634"/>
      <c r="U100" s="633"/>
      <c r="V100" s="336"/>
      <c r="W100" s="336"/>
      <c r="X100" s="336"/>
      <c r="Y100" s="336"/>
      <c r="Z100" s="336"/>
      <c r="AA100" s="336"/>
      <c r="AB100" s="336"/>
      <c r="AC100" s="336"/>
      <c r="AD100" s="336"/>
      <c r="AE100" s="336"/>
      <c r="AF100" s="336"/>
      <c r="AG100" s="336"/>
      <c r="AH100" s="336"/>
      <c r="AI100" s="336"/>
      <c r="AJ100" s="336"/>
      <c r="AK100" s="336"/>
      <c r="AL100" s="336"/>
      <c r="AM100" s="336"/>
      <c r="AN100" s="336"/>
      <c r="AO100" s="336"/>
      <c r="AP100" s="336"/>
      <c r="AQ100" s="336"/>
      <c r="AR100" s="336"/>
      <c r="AS100" s="336"/>
      <c r="AT100" s="336"/>
      <c r="AU100" s="336"/>
      <c r="AV100" s="336"/>
      <c r="AW100" s="336"/>
      <c r="AX100" s="336"/>
      <c r="AY100" s="336"/>
      <c r="AZ100" s="336"/>
      <c r="BA100" s="632"/>
      <c r="BB100" s="632"/>
      <c r="BC100" s="632"/>
      <c r="BD100" s="632"/>
      <c r="BE100" s="632"/>
      <c r="BF100" s="632"/>
      <c r="BG100" s="632"/>
      <c r="BH100" s="632"/>
      <c r="BI100" s="632"/>
      <c r="BJ100" s="632"/>
      <c r="BK100" s="632"/>
      <c r="BL100" s="632"/>
      <c r="BM100" s="632"/>
      <c r="BN100" s="632"/>
      <c r="BO100" s="632"/>
      <c r="BP100" s="632"/>
      <c r="BQ100" s="632"/>
      <c r="BR100" s="632"/>
      <c r="BS100" s="632"/>
      <c r="BT100" s="632"/>
      <c r="BU100" s="632"/>
      <c r="BV100" s="632"/>
      <c r="BW100" s="632"/>
      <c r="BX100" s="632"/>
      <c r="BY100" s="632"/>
      <c r="BZ100" s="632"/>
      <c r="CA100" s="632"/>
      <c r="CB100" s="632"/>
      <c r="CC100" s="632"/>
      <c r="CD100" s="632"/>
      <c r="CE100" s="632"/>
      <c r="CF100" s="632"/>
      <c r="CG100" s="632"/>
      <c r="CH100" s="632"/>
      <c r="CI100" s="632"/>
      <c r="CJ100" s="632"/>
      <c r="CK100" s="632"/>
      <c r="CL100" s="632"/>
      <c r="CM100" s="632"/>
      <c r="CN100" s="631"/>
    </row>
    <row r="101" spans="2:92" ht="15.75" x14ac:dyDescent="0.25">
      <c r="B101" s="610"/>
      <c r="C101" s="336"/>
      <c r="D101" s="611"/>
      <c r="E101" s="612"/>
      <c r="F101" s="612"/>
      <c r="G101" s="612"/>
      <c r="H101" s="618">
        <f>'I. Stream &amp; Compound Data'!F300</f>
        <v>39</v>
      </c>
      <c r="I101" s="677" t="str">
        <f>IF('I. Stream &amp; Compound Data'!G300&lt;&gt;"",'I. Stream &amp; Compound Data'!G300,"")</f>
        <v/>
      </c>
      <c r="J101" s="676" t="str">
        <f t="shared" si="8"/>
        <v/>
      </c>
      <c r="K101" s="652" t="str">
        <f>IF('I. Stream &amp; Compound Data'!T300&lt;&gt;"",'I. Stream &amp; Compound Data'!T300,IF(OR('I. Stream &amp; Compound Data'!U300=1,'I. Stream &amp; Compound Data'!V300=1),0,""))</f>
        <v/>
      </c>
      <c r="L101" s="676" t="str">
        <f t="shared" si="9"/>
        <v/>
      </c>
      <c r="M101" s="651" t="str">
        <f t="shared" si="10"/>
        <v/>
      </c>
      <c r="N101" s="651" t="str">
        <f t="shared" si="11"/>
        <v/>
      </c>
      <c r="O101" s="652" t="str">
        <f>IF(J101&lt;&gt;"",'I. Stream &amp; Compound Data'!AM300,"")</f>
        <v/>
      </c>
      <c r="P101" s="651" t="str">
        <f t="shared" si="12"/>
        <v/>
      </c>
      <c r="Q101" s="667" t="str">
        <f t="shared" si="13"/>
        <v/>
      </c>
      <c r="R101" s="628"/>
      <c r="S101" s="634"/>
      <c r="T101" s="634"/>
      <c r="U101" s="633"/>
      <c r="V101" s="336"/>
      <c r="W101" s="336"/>
      <c r="X101" s="336"/>
      <c r="Y101" s="336"/>
      <c r="Z101" s="336"/>
      <c r="AA101" s="336"/>
      <c r="AB101" s="336"/>
      <c r="AC101" s="336"/>
      <c r="AD101" s="336"/>
      <c r="AE101" s="336"/>
      <c r="AF101" s="336"/>
      <c r="AG101" s="336"/>
      <c r="AH101" s="336"/>
      <c r="AI101" s="336"/>
      <c r="AJ101" s="336"/>
      <c r="AK101" s="336"/>
      <c r="AL101" s="336"/>
      <c r="AM101" s="336"/>
      <c r="AN101" s="336"/>
      <c r="AO101" s="336"/>
      <c r="AP101" s="336"/>
      <c r="AQ101" s="336"/>
      <c r="AR101" s="336"/>
      <c r="AS101" s="336"/>
      <c r="AT101" s="336"/>
      <c r="AU101" s="336"/>
      <c r="AV101" s="336"/>
      <c r="AW101" s="336"/>
      <c r="AX101" s="336"/>
      <c r="AY101" s="336"/>
      <c r="AZ101" s="336"/>
      <c r="BA101" s="632"/>
      <c r="BB101" s="632"/>
      <c r="BC101" s="632"/>
      <c r="BD101" s="632"/>
      <c r="BE101" s="632"/>
      <c r="BF101" s="632"/>
      <c r="BG101" s="632"/>
      <c r="BH101" s="632"/>
      <c r="BI101" s="632"/>
      <c r="BJ101" s="632"/>
      <c r="BK101" s="632"/>
      <c r="BL101" s="632"/>
      <c r="BM101" s="632"/>
      <c r="BN101" s="632"/>
      <c r="BO101" s="632"/>
      <c r="BP101" s="632"/>
      <c r="BQ101" s="632"/>
      <c r="BR101" s="632"/>
      <c r="BS101" s="632"/>
      <c r="BT101" s="632"/>
      <c r="BU101" s="632"/>
      <c r="BV101" s="632"/>
      <c r="BW101" s="632"/>
      <c r="BX101" s="632"/>
      <c r="BY101" s="632"/>
      <c r="BZ101" s="632"/>
      <c r="CA101" s="632"/>
      <c r="CB101" s="632"/>
      <c r="CC101" s="632"/>
      <c r="CD101" s="632"/>
      <c r="CE101" s="632"/>
      <c r="CF101" s="632"/>
      <c r="CG101" s="632"/>
      <c r="CH101" s="632"/>
      <c r="CI101" s="632"/>
      <c r="CJ101" s="632"/>
      <c r="CK101" s="632"/>
      <c r="CL101" s="632"/>
      <c r="CM101" s="632"/>
      <c r="CN101" s="631"/>
    </row>
    <row r="102" spans="2:92" ht="15.75" x14ac:dyDescent="0.25">
      <c r="B102" s="610"/>
      <c r="C102" s="336"/>
      <c r="D102" s="611"/>
      <c r="E102" s="612"/>
      <c r="F102" s="612"/>
      <c r="G102" s="612"/>
      <c r="H102" s="618">
        <f>'I. Stream &amp; Compound Data'!F301</f>
        <v>40</v>
      </c>
      <c r="I102" s="677" t="str">
        <f>IF('I. Stream &amp; Compound Data'!G301&lt;&gt;"",'I. Stream &amp; Compound Data'!G301,"")</f>
        <v/>
      </c>
      <c r="J102" s="676" t="str">
        <f t="shared" si="8"/>
        <v/>
      </c>
      <c r="K102" s="652" t="str">
        <f>IF('I. Stream &amp; Compound Data'!T301&lt;&gt;"",'I. Stream &amp; Compound Data'!T301,IF(OR('I. Stream &amp; Compound Data'!U301=1,'I. Stream &amp; Compound Data'!V301=1),0,""))</f>
        <v/>
      </c>
      <c r="L102" s="676" t="str">
        <f t="shared" si="9"/>
        <v/>
      </c>
      <c r="M102" s="651" t="str">
        <f t="shared" si="10"/>
        <v/>
      </c>
      <c r="N102" s="651" t="str">
        <f t="shared" si="11"/>
        <v/>
      </c>
      <c r="O102" s="652" t="str">
        <f>IF(J102&lt;&gt;"",'I. Stream &amp; Compound Data'!AM301,"")</f>
        <v/>
      </c>
      <c r="P102" s="651" t="str">
        <f t="shared" si="12"/>
        <v/>
      </c>
      <c r="Q102" s="667" t="str">
        <f t="shared" si="13"/>
        <v/>
      </c>
      <c r="R102" s="628"/>
      <c r="S102" s="634"/>
      <c r="T102" s="634"/>
      <c r="U102" s="633"/>
      <c r="V102" s="336"/>
      <c r="W102" s="336"/>
      <c r="X102" s="336"/>
      <c r="Y102" s="336"/>
      <c r="Z102" s="336"/>
      <c r="AA102" s="336"/>
      <c r="AB102" s="336"/>
      <c r="AC102" s="336"/>
      <c r="AD102" s="336"/>
      <c r="AE102" s="336"/>
      <c r="AF102" s="336"/>
      <c r="AG102" s="336"/>
      <c r="AH102" s="336"/>
      <c r="AI102" s="336"/>
      <c r="AJ102" s="336"/>
      <c r="AK102" s="336"/>
      <c r="AL102" s="336"/>
      <c r="AM102" s="336"/>
      <c r="AN102" s="336"/>
      <c r="AO102" s="336"/>
      <c r="AP102" s="336"/>
      <c r="AQ102" s="336"/>
      <c r="AR102" s="336"/>
      <c r="AS102" s="336"/>
      <c r="AT102" s="336"/>
      <c r="AU102" s="336"/>
      <c r="AV102" s="336"/>
      <c r="AW102" s="336"/>
      <c r="AX102" s="336"/>
      <c r="AY102" s="336"/>
      <c r="AZ102" s="336"/>
      <c r="BA102" s="632"/>
      <c r="BB102" s="632"/>
      <c r="BC102" s="632"/>
      <c r="BD102" s="632"/>
      <c r="BE102" s="632"/>
      <c r="BF102" s="632"/>
      <c r="BG102" s="632"/>
      <c r="BH102" s="632"/>
      <c r="BI102" s="632"/>
      <c r="BJ102" s="632"/>
      <c r="BK102" s="632"/>
      <c r="BL102" s="632"/>
      <c r="BM102" s="632"/>
      <c r="BN102" s="632"/>
      <c r="BO102" s="632"/>
      <c r="BP102" s="632"/>
      <c r="BQ102" s="632"/>
      <c r="BR102" s="632"/>
      <c r="BS102" s="632"/>
      <c r="BT102" s="632"/>
      <c r="BU102" s="632"/>
      <c r="BV102" s="632"/>
      <c r="BW102" s="632"/>
      <c r="BX102" s="632"/>
      <c r="BY102" s="632"/>
      <c r="BZ102" s="632"/>
      <c r="CA102" s="632"/>
      <c r="CB102" s="632"/>
      <c r="CC102" s="632"/>
      <c r="CD102" s="632"/>
      <c r="CE102" s="632"/>
      <c r="CF102" s="632"/>
      <c r="CG102" s="632"/>
      <c r="CH102" s="632"/>
      <c r="CI102" s="632"/>
      <c r="CJ102" s="632"/>
      <c r="CK102" s="632"/>
      <c r="CL102" s="632"/>
      <c r="CM102" s="632"/>
      <c r="CN102" s="631"/>
    </row>
    <row r="103" spans="2:92" ht="15.75" x14ac:dyDescent="0.25">
      <c r="B103" s="610"/>
      <c r="C103" s="336"/>
      <c r="D103" s="611"/>
      <c r="E103" s="612"/>
      <c r="F103" s="612"/>
      <c r="G103" s="612"/>
      <c r="H103" s="618">
        <f>'I. Stream &amp; Compound Data'!F302</f>
        <v>41</v>
      </c>
      <c r="I103" s="677" t="str">
        <f>IF('I. Stream &amp; Compound Data'!G302&lt;&gt;"",'I. Stream &amp; Compound Data'!G302,"")</f>
        <v/>
      </c>
      <c r="J103" s="676" t="str">
        <f t="shared" si="8"/>
        <v/>
      </c>
      <c r="K103" s="652" t="str">
        <f>IF('I. Stream &amp; Compound Data'!T302&lt;&gt;"",'I. Stream &amp; Compound Data'!T302,IF(OR('I. Stream &amp; Compound Data'!U302=1,'I. Stream &amp; Compound Data'!V302=1),0,""))</f>
        <v/>
      </c>
      <c r="L103" s="676" t="str">
        <f t="shared" si="9"/>
        <v/>
      </c>
      <c r="M103" s="651" t="str">
        <f t="shared" si="10"/>
        <v/>
      </c>
      <c r="N103" s="651" t="str">
        <f t="shared" si="11"/>
        <v/>
      </c>
      <c r="O103" s="652" t="str">
        <f>IF(J103&lt;&gt;"",'I. Stream &amp; Compound Data'!AM302,"")</f>
        <v/>
      </c>
      <c r="P103" s="651" t="str">
        <f t="shared" si="12"/>
        <v/>
      </c>
      <c r="Q103" s="667" t="str">
        <f t="shared" si="13"/>
        <v/>
      </c>
      <c r="R103" s="628"/>
      <c r="S103" s="634"/>
      <c r="T103" s="634"/>
      <c r="U103" s="633"/>
      <c r="V103" s="336"/>
      <c r="W103" s="336"/>
      <c r="X103" s="336"/>
      <c r="Y103" s="336"/>
      <c r="Z103" s="336"/>
      <c r="AA103" s="336"/>
      <c r="AB103" s="336"/>
      <c r="AC103" s="336"/>
      <c r="AD103" s="336"/>
      <c r="AE103" s="336"/>
      <c r="AF103" s="336"/>
      <c r="AG103" s="336"/>
      <c r="AH103" s="336"/>
      <c r="AI103" s="336"/>
      <c r="AJ103" s="336"/>
      <c r="AK103" s="336"/>
      <c r="AL103" s="336"/>
      <c r="AM103" s="336"/>
      <c r="AN103" s="336"/>
      <c r="AO103" s="336"/>
      <c r="AP103" s="336"/>
      <c r="AQ103" s="336"/>
      <c r="AR103" s="336"/>
      <c r="AS103" s="336"/>
      <c r="AT103" s="336"/>
      <c r="AU103" s="336"/>
      <c r="AV103" s="336"/>
      <c r="AW103" s="336"/>
      <c r="AX103" s="336"/>
      <c r="AY103" s="336"/>
      <c r="AZ103" s="336"/>
      <c r="BA103" s="632"/>
      <c r="BB103" s="632"/>
      <c r="BC103" s="632"/>
      <c r="BD103" s="632"/>
      <c r="BE103" s="632"/>
      <c r="BF103" s="632"/>
      <c r="BG103" s="632"/>
      <c r="BH103" s="632"/>
      <c r="BI103" s="632"/>
      <c r="BJ103" s="632"/>
      <c r="BK103" s="632"/>
      <c r="BL103" s="632"/>
      <c r="BM103" s="632"/>
      <c r="BN103" s="632"/>
      <c r="BO103" s="632"/>
      <c r="BP103" s="632"/>
      <c r="BQ103" s="632"/>
      <c r="BR103" s="632"/>
      <c r="BS103" s="632"/>
      <c r="BT103" s="632"/>
      <c r="BU103" s="632"/>
      <c r="BV103" s="632"/>
      <c r="BW103" s="632"/>
      <c r="BX103" s="632"/>
      <c r="BY103" s="632"/>
      <c r="BZ103" s="632"/>
      <c r="CA103" s="632"/>
      <c r="CB103" s="632"/>
      <c r="CC103" s="632"/>
      <c r="CD103" s="632"/>
      <c r="CE103" s="632"/>
      <c r="CF103" s="632"/>
      <c r="CG103" s="632"/>
      <c r="CH103" s="632"/>
      <c r="CI103" s="632"/>
      <c r="CJ103" s="632"/>
      <c r="CK103" s="632"/>
      <c r="CL103" s="632"/>
      <c r="CM103" s="632"/>
      <c r="CN103" s="631"/>
    </row>
    <row r="104" spans="2:92" ht="15.75" x14ac:dyDescent="0.25">
      <c r="B104" s="610"/>
      <c r="C104" s="336"/>
      <c r="D104" s="611"/>
      <c r="E104" s="612"/>
      <c r="F104" s="612"/>
      <c r="G104" s="612"/>
      <c r="H104" s="618">
        <f>'I. Stream &amp; Compound Data'!F303</f>
        <v>42</v>
      </c>
      <c r="I104" s="677" t="str">
        <f>IF('I. Stream &amp; Compound Data'!G303&lt;&gt;"",'I. Stream &amp; Compound Data'!G303,"")</f>
        <v/>
      </c>
      <c r="J104" s="676" t="str">
        <f t="shared" si="8"/>
        <v/>
      </c>
      <c r="K104" s="652" t="str">
        <f>IF('I. Stream &amp; Compound Data'!T303&lt;&gt;"",'I. Stream &amp; Compound Data'!T303,IF(OR('I. Stream &amp; Compound Data'!U303=1,'I. Stream &amp; Compound Data'!V303=1),0,""))</f>
        <v/>
      </c>
      <c r="L104" s="676" t="str">
        <f t="shared" si="9"/>
        <v/>
      </c>
      <c r="M104" s="651" t="str">
        <f t="shared" si="10"/>
        <v/>
      </c>
      <c r="N104" s="651" t="str">
        <f t="shared" si="11"/>
        <v/>
      </c>
      <c r="O104" s="652" t="str">
        <f>IF(J104&lt;&gt;"",'I. Stream &amp; Compound Data'!AM303,"")</f>
        <v/>
      </c>
      <c r="P104" s="651" t="str">
        <f t="shared" si="12"/>
        <v/>
      </c>
      <c r="Q104" s="667" t="str">
        <f t="shared" si="13"/>
        <v/>
      </c>
      <c r="R104" s="628"/>
      <c r="S104" s="634"/>
      <c r="T104" s="634"/>
      <c r="U104" s="633"/>
      <c r="V104" s="336"/>
      <c r="W104" s="336"/>
      <c r="X104" s="336"/>
      <c r="Y104" s="336"/>
      <c r="Z104" s="336"/>
      <c r="AA104" s="336"/>
      <c r="AB104" s="336"/>
      <c r="AC104" s="336"/>
      <c r="AD104" s="336"/>
      <c r="AE104" s="336"/>
      <c r="AF104" s="336"/>
      <c r="AG104" s="336"/>
      <c r="AH104" s="336"/>
      <c r="AI104" s="336"/>
      <c r="AJ104" s="336"/>
      <c r="AK104" s="336"/>
      <c r="AL104" s="336"/>
      <c r="AM104" s="336"/>
      <c r="AN104" s="336"/>
      <c r="AO104" s="336"/>
      <c r="AP104" s="336"/>
      <c r="AQ104" s="336"/>
      <c r="AR104" s="336"/>
      <c r="AS104" s="336"/>
      <c r="AT104" s="336"/>
      <c r="AU104" s="336"/>
      <c r="AV104" s="336"/>
      <c r="AW104" s="336"/>
      <c r="AX104" s="336"/>
      <c r="AY104" s="336"/>
      <c r="AZ104" s="336"/>
      <c r="BA104" s="632"/>
      <c r="BB104" s="632"/>
      <c r="BC104" s="632"/>
      <c r="BD104" s="632"/>
      <c r="BE104" s="632"/>
      <c r="BF104" s="632"/>
      <c r="BG104" s="632"/>
      <c r="BH104" s="632"/>
      <c r="BI104" s="632"/>
      <c r="BJ104" s="632"/>
      <c r="BK104" s="632"/>
      <c r="BL104" s="632"/>
      <c r="BM104" s="632"/>
      <c r="BN104" s="632"/>
      <c r="BO104" s="632"/>
      <c r="BP104" s="632"/>
      <c r="BQ104" s="632"/>
      <c r="BR104" s="632"/>
      <c r="BS104" s="632"/>
      <c r="BT104" s="632"/>
      <c r="BU104" s="632"/>
      <c r="BV104" s="632"/>
      <c r="BW104" s="632"/>
      <c r="BX104" s="632"/>
      <c r="BY104" s="632"/>
      <c r="BZ104" s="632"/>
      <c r="CA104" s="632"/>
      <c r="CB104" s="632"/>
      <c r="CC104" s="632"/>
      <c r="CD104" s="632"/>
      <c r="CE104" s="632"/>
      <c r="CF104" s="632"/>
      <c r="CG104" s="632"/>
      <c r="CH104" s="632"/>
      <c r="CI104" s="632"/>
      <c r="CJ104" s="632"/>
      <c r="CK104" s="632"/>
      <c r="CL104" s="632"/>
      <c r="CM104" s="632"/>
      <c r="CN104" s="631"/>
    </row>
    <row r="105" spans="2:92" ht="15.75" x14ac:dyDescent="0.25">
      <c r="B105" s="610"/>
      <c r="C105" s="336"/>
      <c r="D105" s="611"/>
      <c r="E105" s="612"/>
      <c r="F105" s="612"/>
      <c r="G105" s="612"/>
      <c r="H105" s="618">
        <f>'I. Stream &amp; Compound Data'!F304</f>
        <v>43</v>
      </c>
      <c r="I105" s="677" t="str">
        <f>IF('I. Stream &amp; Compound Data'!G304&lt;&gt;"",'I. Stream &amp; Compound Data'!G304,"")</f>
        <v/>
      </c>
      <c r="J105" s="676" t="str">
        <f t="shared" si="8"/>
        <v/>
      </c>
      <c r="K105" s="652" t="str">
        <f>IF('I. Stream &amp; Compound Data'!T304&lt;&gt;"",'I. Stream &amp; Compound Data'!T304,IF(OR('I. Stream &amp; Compound Data'!U304=1,'I. Stream &amp; Compound Data'!V304=1),0,""))</f>
        <v/>
      </c>
      <c r="L105" s="676" t="str">
        <f t="shared" si="9"/>
        <v/>
      </c>
      <c r="M105" s="651" t="str">
        <f t="shared" si="10"/>
        <v/>
      </c>
      <c r="N105" s="651" t="str">
        <f t="shared" si="11"/>
        <v/>
      </c>
      <c r="O105" s="652" t="str">
        <f>IF(J105&lt;&gt;"",'I. Stream &amp; Compound Data'!AM304,"")</f>
        <v/>
      </c>
      <c r="P105" s="651" t="str">
        <f t="shared" si="12"/>
        <v/>
      </c>
      <c r="Q105" s="667" t="str">
        <f t="shared" si="13"/>
        <v/>
      </c>
      <c r="R105" s="628"/>
      <c r="S105" s="634"/>
      <c r="T105" s="634"/>
      <c r="U105" s="633"/>
      <c r="V105" s="336"/>
      <c r="W105" s="336"/>
      <c r="X105" s="336"/>
      <c r="Y105" s="336"/>
      <c r="Z105" s="336"/>
      <c r="AA105" s="336"/>
      <c r="AB105" s="336"/>
      <c r="AC105" s="336"/>
      <c r="AD105" s="336"/>
      <c r="AE105" s="336"/>
      <c r="AF105" s="336"/>
      <c r="AG105" s="336"/>
      <c r="AH105" s="336"/>
      <c r="AI105" s="336"/>
      <c r="AJ105" s="336"/>
      <c r="AK105" s="336"/>
      <c r="AL105" s="336"/>
      <c r="AM105" s="336"/>
      <c r="AN105" s="336"/>
      <c r="AO105" s="336"/>
      <c r="AP105" s="336"/>
      <c r="AQ105" s="336"/>
      <c r="AR105" s="336"/>
      <c r="AS105" s="336"/>
      <c r="AT105" s="336"/>
      <c r="AU105" s="336"/>
      <c r="AV105" s="336"/>
      <c r="AW105" s="336"/>
      <c r="AX105" s="336"/>
      <c r="AY105" s="336"/>
      <c r="AZ105" s="336"/>
      <c r="BA105" s="632"/>
      <c r="BB105" s="632"/>
      <c r="BC105" s="632"/>
      <c r="BD105" s="632"/>
      <c r="BE105" s="632"/>
      <c r="BF105" s="632"/>
      <c r="BG105" s="632"/>
      <c r="BH105" s="632"/>
      <c r="BI105" s="632"/>
      <c r="BJ105" s="632"/>
      <c r="BK105" s="632"/>
      <c r="BL105" s="632"/>
      <c r="BM105" s="632"/>
      <c r="BN105" s="632"/>
      <c r="BO105" s="632"/>
      <c r="BP105" s="632"/>
      <c r="BQ105" s="632"/>
      <c r="BR105" s="632"/>
      <c r="BS105" s="632"/>
      <c r="BT105" s="632"/>
      <c r="BU105" s="632"/>
      <c r="BV105" s="632"/>
      <c r="BW105" s="632"/>
      <c r="BX105" s="632"/>
      <c r="BY105" s="632"/>
      <c r="BZ105" s="632"/>
      <c r="CA105" s="632"/>
      <c r="CB105" s="632"/>
      <c r="CC105" s="632"/>
      <c r="CD105" s="632"/>
      <c r="CE105" s="632"/>
      <c r="CF105" s="632"/>
      <c r="CG105" s="632"/>
      <c r="CH105" s="632"/>
      <c r="CI105" s="632"/>
      <c r="CJ105" s="632"/>
      <c r="CK105" s="632"/>
      <c r="CL105" s="632"/>
      <c r="CM105" s="632"/>
      <c r="CN105" s="631"/>
    </row>
    <row r="106" spans="2:92" ht="15.75" x14ac:dyDescent="0.25">
      <c r="B106" s="610"/>
      <c r="C106" s="336"/>
      <c r="D106" s="611"/>
      <c r="E106" s="612"/>
      <c r="F106" s="612"/>
      <c r="G106" s="612"/>
      <c r="H106" s="618">
        <f>'I. Stream &amp; Compound Data'!F305</f>
        <v>44</v>
      </c>
      <c r="I106" s="677" t="str">
        <f>IF('I. Stream &amp; Compound Data'!G305&lt;&gt;"",'I. Stream &amp; Compound Data'!G305,"")</f>
        <v/>
      </c>
      <c r="J106" s="676" t="str">
        <f t="shared" si="8"/>
        <v/>
      </c>
      <c r="K106" s="652" t="str">
        <f>IF('I. Stream &amp; Compound Data'!T305&lt;&gt;"",'I. Stream &amp; Compound Data'!T305,IF(OR('I. Stream &amp; Compound Data'!U305=1,'I. Stream &amp; Compound Data'!V305=1),0,""))</f>
        <v/>
      </c>
      <c r="L106" s="676" t="str">
        <f t="shared" si="9"/>
        <v/>
      </c>
      <c r="M106" s="651" t="str">
        <f t="shared" si="10"/>
        <v/>
      </c>
      <c r="N106" s="651" t="str">
        <f t="shared" si="11"/>
        <v/>
      </c>
      <c r="O106" s="652" t="str">
        <f>IF(J106&lt;&gt;"",'I. Stream &amp; Compound Data'!AM305,"")</f>
        <v/>
      </c>
      <c r="P106" s="651" t="str">
        <f t="shared" si="12"/>
        <v/>
      </c>
      <c r="Q106" s="667" t="str">
        <f t="shared" si="13"/>
        <v/>
      </c>
      <c r="R106" s="628"/>
      <c r="S106" s="634"/>
      <c r="T106" s="634"/>
      <c r="U106" s="633"/>
      <c r="V106" s="336"/>
      <c r="W106" s="336"/>
      <c r="X106" s="336"/>
      <c r="Y106" s="336"/>
      <c r="Z106" s="336"/>
      <c r="AA106" s="336"/>
      <c r="AB106" s="336"/>
      <c r="AC106" s="336"/>
      <c r="AD106" s="336"/>
      <c r="AE106" s="336"/>
      <c r="AF106" s="336"/>
      <c r="AG106" s="336"/>
      <c r="AH106" s="336"/>
      <c r="AI106" s="336"/>
      <c r="AJ106" s="336"/>
      <c r="AK106" s="336"/>
      <c r="AL106" s="336"/>
      <c r="AM106" s="336"/>
      <c r="AN106" s="336"/>
      <c r="AO106" s="336"/>
      <c r="AP106" s="336"/>
      <c r="AQ106" s="336"/>
      <c r="AR106" s="336"/>
      <c r="AS106" s="336"/>
      <c r="AT106" s="336"/>
      <c r="AU106" s="336"/>
      <c r="AV106" s="336"/>
      <c r="AW106" s="336"/>
      <c r="AX106" s="336"/>
      <c r="AY106" s="336"/>
      <c r="AZ106" s="336"/>
      <c r="BA106" s="632"/>
      <c r="BB106" s="632"/>
      <c r="BC106" s="632"/>
      <c r="BD106" s="632"/>
      <c r="BE106" s="632"/>
      <c r="BF106" s="632"/>
      <c r="BG106" s="632"/>
      <c r="BH106" s="632"/>
      <c r="BI106" s="632"/>
      <c r="BJ106" s="632"/>
      <c r="BK106" s="632"/>
      <c r="BL106" s="632"/>
      <c r="BM106" s="632"/>
      <c r="BN106" s="632"/>
      <c r="BO106" s="632"/>
      <c r="BP106" s="632"/>
      <c r="BQ106" s="632"/>
      <c r="BR106" s="632"/>
      <c r="BS106" s="632"/>
      <c r="BT106" s="632"/>
      <c r="BU106" s="632"/>
      <c r="BV106" s="632"/>
      <c r="BW106" s="632"/>
      <c r="BX106" s="632"/>
      <c r="BY106" s="632"/>
      <c r="BZ106" s="632"/>
      <c r="CA106" s="632"/>
      <c r="CB106" s="632"/>
      <c r="CC106" s="632"/>
      <c r="CD106" s="632"/>
      <c r="CE106" s="632"/>
      <c r="CF106" s="632"/>
      <c r="CG106" s="632"/>
      <c r="CH106" s="632"/>
      <c r="CI106" s="632"/>
      <c r="CJ106" s="632"/>
      <c r="CK106" s="632"/>
      <c r="CL106" s="632"/>
      <c r="CM106" s="632"/>
      <c r="CN106" s="631"/>
    </row>
    <row r="107" spans="2:92" ht="15.75" x14ac:dyDescent="0.25">
      <c r="B107" s="610"/>
      <c r="C107" s="336"/>
      <c r="D107" s="611"/>
      <c r="E107" s="612"/>
      <c r="F107" s="612"/>
      <c r="G107" s="612"/>
      <c r="H107" s="618">
        <f>'I. Stream &amp; Compound Data'!F306</f>
        <v>45</v>
      </c>
      <c r="I107" s="677" t="str">
        <f>IF('I. Stream &amp; Compound Data'!G306&lt;&gt;"",'I. Stream &amp; Compound Data'!G306,"")</f>
        <v/>
      </c>
      <c r="J107" s="676" t="str">
        <f t="shared" si="8"/>
        <v/>
      </c>
      <c r="K107" s="652" t="str">
        <f>IF('I. Stream &amp; Compound Data'!T306&lt;&gt;"",'I. Stream &amp; Compound Data'!T306,IF(OR('I. Stream &amp; Compound Data'!U306=1,'I. Stream &amp; Compound Data'!V306=1),0,""))</f>
        <v/>
      </c>
      <c r="L107" s="676" t="str">
        <f t="shared" si="9"/>
        <v/>
      </c>
      <c r="M107" s="651" t="str">
        <f t="shared" si="10"/>
        <v/>
      </c>
      <c r="N107" s="651" t="str">
        <f t="shared" si="11"/>
        <v/>
      </c>
      <c r="O107" s="652" t="str">
        <f>IF(J107&lt;&gt;"",'I. Stream &amp; Compound Data'!AM306,"")</f>
        <v/>
      </c>
      <c r="P107" s="651" t="str">
        <f t="shared" si="12"/>
        <v/>
      </c>
      <c r="Q107" s="667" t="str">
        <f t="shared" si="13"/>
        <v/>
      </c>
      <c r="R107" s="628"/>
      <c r="S107" s="634"/>
      <c r="T107" s="634"/>
      <c r="U107" s="633"/>
      <c r="V107" s="336"/>
      <c r="W107" s="336"/>
      <c r="X107" s="336"/>
      <c r="Y107" s="336"/>
      <c r="Z107" s="336"/>
      <c r="AA107" s="336"/>
      <c r="AB107" s="336"/>
      <c r="AC107" s="336"/>
      <c r="AD107" s="336"/>
      <c r="AE107" s="336"/>
      <c r="AF107" s="336"/>
      <c r="AG107" s="336"/>
      <c r="AH107" s="336"/>
      <c r="AI107" s="336"/>
      <c r="AJ107" s="336"/>
      <c r="AK107" s="336"/>
      <c r="AL107" s="336"/>
      <c r="AM107" s="336"/>
      <c r="AN107" s="336"/>
      <c r="AO107" s="336"/>
      <c r="AP107" s="336"/>
      <c r="AQ107" s="336"/>
      <c r="AR107" s="336"/>
      <c r="AS107" s="336"/>
      <c r="AT107" s="336"/>
      <c r="AU107" s="336"/>
      <c r="AV107" s="336"/>
      <c r="AW107" s="336"/>
      <c r="AX107" s="336"/>
      <c r="AY107" s="336"/>
      <c r="AZ107" s="336"/>
      <c r="BA107" s="632"/>
      <c r="BB107" s="632"/>
      <c r="BC107" s="632"/>
      <c r="BD107" s="632"/>
      <c r="BE107" s="632"/>
      <c r="BF107" s="632"/>
      <c r="BG107" s="632"/>
      <c r="BH107" s="632"/>
      <c r="BI107" s="632"/>
      <c r="BJ107" s="632"/>
      <c r="BK107" s="632"/>
      <c r="BL107" s="632"/>
      <c r="BM107" s="632"/>
      <c r="BN107" s="632"/>
      <c r="BO107" s="632"/>
      <c r="BP107" s="632"/>
      <c r="BQ107" s="632"/>
      <c r="BR107" s="632"/>
      <c r="BS107" s="632"/>
      <c r="BT107" s="632"/>
      <c r="BU107" s="632"/>
      <c r="BV107" s="632"/>
      <c r="BW107" s="632"/>
      <c r="BX107" s="632"/>
      <c r="BY107" s="632"/>
      <c r="BZ107" s="632"/>
      <c r="CA107" s="632"/>
      <c r="CB107" s="632"/>
      <c r="CC107" s="632"/>
      <c r="CD107" s="632"/>
      <c r="CE107" s="632"/>
      <c r="CF107" s="632"/>
      <c r="CG107" s="632"/>
      <c r="CH107" s="632"/>
      <c r="CI107" s="632"/>
      <c r="CJ107" s="632"/>
      <c r="CK107" s="632"/>
      <c r="CL107" s="632"/>
      <c r="CM107" s="632"/>
      <c r="CN107" s="631"/>
    </row>
    <row r="108" spans="2:92" ht="15.75" x14ac:dyDescent="0.25">
      <c r="B108" s="610"/>
      <c r="C108" s="336"/>
      <c r="D108" s="611"/>
      <c r="E108" s="612"/>
      <c r="F108" s="612"/>
      <c r="G108" s="612"/>
      <c r="H108" s="618">
        <f>'I. Stream &amp; Compound Data'!F307</f>
        <v>46</v>
      </c>
      <c r="I108" s="677" t="str">
        <f>IF('I. Stream &amp; Compound Data'!G307&lt;&gt;"",'I. Stream &amp; Compound Data'!G307,"")</f>
        <v/>
      </c>
      <c r="J108" s="676" t="str">
        <f t="shared" si="8"/>
        <v/>
      </c>
      <c r="K108" s="652" t="str">
        <f>IF('I. Stream &amp; Compound Data'!T307&lt;&gt;"",'I. Stream &amp; Compound Data'!T307,IF(OR('I. Stream &amp; Compound Data'!U307=1,'I. Stream &amp; Compound Data'!V307=1),0,""))</f>
        <v/>
      </c>
      <c r="L108" s="676" t="str">
        <f t="shared" si="9"/>
        <v/>
      </c>
      <c r="M108" s="651" t="str">
        <f t="shared" si="10"/>
        <v/>
      </c>
      <c r="N108" s="651" t="str">
        <f t="shared" si="11"/>
        <v/>
      </c>
      <c r="O108" s="652" t="str">
        <f>IF(J108&lt;&gt;"",'I. Stream &amp; Compound Data'!AM307,"")</f>
        <v/>
      </c>
      <c r="P108" s="651" t="str">
        <f t="shared" si="12"/>
        <v/>
      </c>
      <c r="Q108" s="667" t="str">
        <f t="shared" si="13"/>
        <v/>
      </c>
      <c r="R108" s="628"/>
      <c r="S108" s="634"/>
      <c r="T108" s="634"/>
      <c r="U108" s="633"/>
      <c r="V108" s="336"/>
      <c r="W108" s="336"/>
      <c r="X108" s="336"/>
      <c r="Y108" s="336"/>
      <c r="Z108" s="336"/>
      <c r="AA108" s="336"/>
      <c r="AB108" s="336"/>
      <c r="AC108" s="336"/>
      <c r="AD108" s="336"/>
      <c r="AE108" s="336"/>
      <c r="AF108" s="336"/>
      <c r="AG108" s="336"/>
      <c r="AH108" s="336"/>
      <c r="AI108" s="336"/>
      <c r="AJ108" s="336"/>
      <c r="AK108" s="336"/>
      <c r="AL108" s="336"/>
      <c r="AM108" s="336"/>
      <c r="AN108" s="336"/>
      <c r="AO108" s="336"/>
      <c r="AP108" s="336"/>
      <c r="AQ108" s="336"/>
      <c r="AR108" s="336"/>
      <c r="AS108" s="336"/>
      <c r="AT108" s="336"/>
      <c r="AU108" s="336"/>
      <c r="AV108" s="336"/>
      <c r="AW108" s="336"/>
      <c r="AX108" s="336"/>
      <c r="AY108" s="336"/>
      <c r="AZ108" s="336"/>
      <c r="BA108" s="632"/>
      <c r="BB108" s="632"/>
      <c r="BC108" s="632"/>
      <c r="BD108" s="632"/>
      <c r="BE108" s="632"/>
      <c r="BF108" s="632"/>
      <c r="BG108" s="632"/>
      <c r="BH108" s="632"/>
      <c r="BI108" s="632"/>
      <c r="BJ108" s="632"/>
      <c r="BK108" s="632"/>
      <c r="BL108" s="632"/>
      <c r="BM108" s="632"/>
      <c r="BN108" s="632"/>
      <c r="BO108" s="632"/>
      <c r="BP108" s="632"/>
      <c r="BQ108" s="632"/>
      <c r="BR108" s="632"/>
      <c r="BS108" s="632"/>
      <c r="BT108" s="632"/>
      <c r="BU108" s="632"/>
      <c r="BV108" s="632"/>
      <c r="BW108" s="632"/>
      <c r="BX108" s="632"/>
      <c r="BY108" s="632"/>
      <c r="BZ108" s="632"/>
      <c r="CA108" s="632"/>
      <c r="CB108" s="632"/>
      <c r="CC108" s="632"/>
      <c r="CD108" s="632"/>
      <c r="CE108" s="632"/>
      <c r="CF108" s="632"/>
      <c r="CG108" s="632"/>
      <c r="CH108" s="632"/>
      <c r="CI108" s="632"/>
      <c r="CJ108" s="632"/>
      <c r="CK108" s="632"/>
      <c r="CL108" s="632"/>
      <c r="CM108" s="632"/>
      <c r="CN108" s="631"/>
    </row>
    <row r="109" spans="2:92" ht="15.75" x14ac:dyDescent="0.25">
      <c r="B109" s="610"/>
      <c r="C109" s="336"/>
      <c r="D109" s="611"/>
      <c r="E109" s="612"/>
      <c r="F109" s="612"/>
      <c r="G109" s="612"/>
      <c r="H109" s="618">
        <f>'I. Stream &amp; Compound Data'!F308</f>
        <v>47</v>
      </c>
      <c r="I109" s="677" t="str">
        <f>IF('I. Stream &amp; Compound Data'!G308&lt;&gt;"",'I. Stream &amp; Compound Data'!G308,"")</f>
        <v/>
      </c>
      <c r="J109" s="676" t="str">
        <f t="shared" si="8"/>
        <v/>
      </c>
      <c r="K109" s="652" t="str">
        <f>IF('I. Stream &amp; Compound Data'!T308&lt;&gt;"",'I. Stream &amp; Compound Data'!T308,IF(OR('I. Stream &amp; Compound Data'!U308=1,'I. Stream &amp; Compound Data'!V308=1),0,""))</f>
        <v/>
      </c>
      <c r="L109" s="676" t="str">
        <f t="shared" si="9"/>
        <v/>
      </c>
      <c r="M109" s="651" t="str">
        <f t="shared" si="10"/>
        <v/>
      </c>
      <c r="N109" s="651" t="str">
        <f t="shared" si="11"/>
        <v/>
      </c>
      <c r="O109" s="652" t="str">
        <f>IF(J109&lt;&gt;"",'I. Stream &amp; Compound Data'!AM308,"")</f>
        <v/>
      </c>
      <c r="P109" s="651" t="str">
        <f t="shared" si="12"/>
        <v/>
      </c>
      <c r="Q109" s="667" t="str">
        <f t="shared" si="13"/>
        <v/>
      </c>
      <c r="R109" s="628"/>
      <c r="S109" s="634"/>
      <c r="T109" s="634"/>
      <c r="U109" s="633"/>
      <c r="V109" s="336"/>
      <c r="W109" s="336"/>
      <c r="X109" s="336"/>
      <c r="Y109" s="336"/>
      <c r="Z109" s="336"/>
      <c r="AA109" s="336"/>
      <c r="AB109" s="336"/>
      <c r="AC109" s="336"/>
      <c r="AD109" s="336"/>
      <c r="AE109" s="336"/>
      <c r="AF109" s="336"/>
      <c r="AG109" s="336"/>
      <c r="AH109" s="336"/>
      <c r="AI109" s="336"/>
      <c r="AJ109" s="336"/>
      <c r="AK109" s="336"/>
      <c r="AL109" s="336"/>
      <c r="AM109" s="336"/>
      <c r="AN109" s="336"/>
      <c r="AO109" s="336"/>
      <c r="AP109" s="336"/>
      <c r="AQ109" s="336"/>
      <c r="AR109" s="336"/>
      <c r="AS109" s="336"/>
      <c r="AT109" s="336"/>
      <c r="AU109" s="336"/>
      <c r="AV109" s="336"/>
      <c r="AW109" s="336"/>
      <c r="AX109" s="336"/>
      <c r="AY109" s="336"/>
      <c r="AZ109" s="336"/>
      <c r="BA109" s="632"/>
      <c r="BB109" s="632"/>
      <c r="BC109" s="632"/>
      <c r="BD109" s="632"/>
      <c r="BE109" s="632"/>
      <c r="BF109" s="632"/>
      <c r="BG109" s="632"/>
      <c r="BH109" s="632"/>
      <c r="BI109" s="632"/>
      <c r="BJ109" s="632"/>
      <c r="BK109" s="632"/>
      <c r="BL109" s="632"/>
      <c r="BM109" s="632"/>
      <c r="BN109" s="632"/>
      <c r="BO109" s="632"/>
      <c r="BP109" s="632"/>
      <c r="BQ109" s="632"/>
      <c r="BR109" s="632"/>
      <c r="BS109" s="632"/>
      <c r="BT109" s="632"/>
      <c r="BU109" s="632"/>
      <c r="BV109" s="632"/>
      <c r="BW109" s="632"/>
      <c r="BX109" s="632"/>
      <c r="BY109" s="632"/>
      <c r="BZ109" s="632"/>
      <c r="CA109" s="632"/>
      <c r="CB109" s="632"/>
      <c r="CC109" s="632"/>
      <c r="CD109" s="632"/>
      <c r="CE109" s="632"/>
      <c r="CF109" s="632"/>
      <c r="CG109" s="632"/>
      <c r="CH109" s="632"/>
      <c r="CI109" s="632"/>
      <c r="CJ109" s="632"/>
      <c r="CK109" s="632"/>
      <c r="CL109" s="632"/>
      <c r="CM109" s="632"/>
      <c r="CN109" s="631"/>
    </row>
    <row r="110" spans="2:92" ht="15.75" x14ac:dyDescent="0.25">
      <c r="B110" s="610"/>
      <c r="C110" s="336"/>
      <c r="D110" s="611"/>
      <c r="E110" s="612"/>
      <c r="F110" s="612"/>
      <c r="G110" s="612"/>
      <c r="H110" s="618">
        <f>'I. Stream &amp; Compound Data'!F309</f>
        <v>48</v>
      </c>
      <c r="I110" s="677" t="str">
        <f>IF('I. Stream &amp; Compound Data'!G309&lt;&gt;"",'I. Stream &amp; Compound Data'!G309,"")</f>
        <v/>
      </c>
      <c r="J110" s="676" t="str">
        <f t="shared" si="8"/>
        <v/>
      </c>
      <c r="K110" s="652" t="str">
        <f>IF('I. Stream &amp; Compound Data'!T309&lt;&gt;"",'I. Stream &amp; Compound Data'!T309,IF(OR('I. Stream &amp; Compound Data'!U309=1,'I. Stream &amp; Compound Data'!V309=1),0,""))</f>
        <v/>
      </c>
      <c r="L110" s="676" t="str">
        <f t="shared" si="9"/>
        <v/>
      </c>
      <c r="M110" s="651" t="str">
        <f t="shared" si="10"/>
        <v/>
      </c>
      <c r="N110" s="651" t="str">
        <f t="shared" si="11"/>
        <v/>
      </c>
      <c r="O110" s="652" t="str">
        <f>IF(J110&lt;&gt;"",'I. Stream &amp; Compound Data'!AM309,"")</f>
        <v/>
      </c>
      <c r="P110" s="651" t="str">
        <f t="shared" si="12"/>
        <v/>
      </c>
      <c r="Q110" s="667" t="str">
        <f t="shared" si="13"/>
        <v/>
      </c>
      <c r="R110" s="628"/>
      <c r="S110" s="634"/>
      <c r="T110" s="634"/>
      <c r="U110" s="633"/>
      <c r="V110" s="336"/>
      <c r="W110" s="336"/>
      <c r="X110" s="336"/>
      <c r="Y110" s="336"/>
      <c r="Z110" s="336"/>
      <c r="AA110" s="336"/>
      <c r="AB110" s="336"/>
      <c r="AC110" s="336"/>
      <c r="AD110" s="336"/>
      <c r="AE110" s="336"/>
      <c r="AF110" s="336"/>
      <c r="AG110" s="336"/>
      <c r="AH110" s="336"/>
      <c r="AI110" s="336"/>
      <c r="AJ110" s="336"/>
      <c r="AK110" s="336"/>
      <c r="AL110" s="336"/>
      <c r="AM110" s="336"/>
      <c r="AN110" s="336"/>
      <c r="AO110" s="336"/>
      <c r="AP110" s="336"/>
      <c r="AQ110" s="336"/>
      <c r="AR110" s="336"/>
      <c r="AS110" s="336"/>
      <c r="AT110" s="336"/>
      <c r="AU110" s="336"/>
      <c r="AV110" s="336"/>
      <c r="AW110" s="336"/>
      <c r="AX110" s="336"/>
      <c r="AY110" s="336"/>
      <c r="AZ110" s="336"/>
      <c r="BA110" s="632"/>
      <c r="BB110" s="632"/>
      <c r="BC110" s="632"/>
      <c r="BD110" s="632"/>
      <c r="BE110" s="632"/>
      <c r="BF110" s="632"/>
      <c r="BG110" s="632"/>
      <c r="BH110" s="632"/>
      <c r="BI110" s="632"/>
      <c r="BJ110" s="632"/>
      <c r="BK110" s="632"/>
      <c r="BL110" s="632"/>
      <c r="BM110" s="632"/>
      <c r="BN110" s="632"/>
      <c r="BO110" s="632"/>
      <c r="BP110" s="632"/>
      <c r="BQ110" s="632"/>
      <c r="BR110" s="632"/>
      <c r="BS110" s="632"/>
      <c r="BT110" s="632"/>
      <c r="BU110" s="632"/>
      <c r="BV110" s="632"/>
      <c r="BW110" s="632"/>
      <c r="BX110" s="632"/>
      <c r="BY110" s="632"/>
      <c r="BZ110" s="632"/>
      <c r="CA110" s="632"/>
      <c r="CB110" s="632"/>
      <c r="CC110" s="632"/>
      <c r="CD110" s="632"/>
      <c r="CE110" s="632"/>
      <c r="CF110" s="632"/>
      <c r="CG110" s="632"/>
      <c r="CH110" s="632"/>
      <c r="CI110" s="632"/>
      <c r="CJ110" s="632"/>
      <c r="CK110" s="632"/>
      <c r="CL110" s="632"/>
      <c r="CM110" s="632"/>
      <c r="CN110" s="631"/>
    </row>
    <row r="111" spans="2:92" ht="15.75" x14ac:dyDescent="0.25">
      <c r="B111" s="610"/>
      <c r="C111" s="336"/>
      <c r="D111" s="611"/>
      <c r="E111" s="612"/>
      <c r="F111" s="612"/>
      <c r="G111" s="612"/>
      <c r="H111" s="618">
        <f>'I. Stream &amp; Compound Data'!F310</f>
        <v>49</v>
      </c>
      <c r="I111" s="677" t="str">
        <f>IF('I. Stream &amp; Compound Data'!G310&lt;&gt;"",'I. Stream &amp; Compound Data'!G310,"")</f>
        <v/>
      </c>
      <c r="J111" s="676" t="str">
        <f t="shared" si="8"/>
        <v/>
      </c>
      <c r="K111" s="652" t="str">
        <f>IF('I. Stream &amp; Compound Data'!T310&lt;&gt;"",'I. Stream &amp; Compound Data'!T310,IF(OR('I. Stream &amp; Compound Data'!U310=1,'I. Stream &amp; Compound Data'!V310=1),0,""))</f>
        <v/>
      </c>
      <c r="L111" s="676" t="str">
        <f t="shared" si="9"/>
        <v/>
      </c>
      <c r="M111" s="651" t="str">
        <f t="shared" si="10"/>
        <v/>
      </c>
      <c r="N111" s="651" t="str">
        <f t="shared" si="11"/>
        <v/>
      </c>
      <c r="O111" s="652" t="str">
        <f>IF(J111&lt;&gt;"",'I. Stream &amp; Compound Data'!AM310,"")</f>
        <v/>
      </c>
      <c r="P111" s="651" t="str">
        <f t="shared" si="12"/>
        <v/>
      </c>
      <c r="Q111" s="667" t="str">
        <f t="shared" si="13"/>
        <v/>
      </c>
      <c r="R111" s="628"/>
      <c r="S111" s="634"/>
      <c r="T111" s="634"/>
      <c r="U111" s="633"/>
      <c r="V111" s="336"/>
      <c r="W111" s="336"/>
      <c r="X111" s="336"/>
      <c r="Y111" s="336"/>
      <c r="Z111" s="336"/>
      <c r="AA111" s="336"/>
      <c r="AB111" s="336"/>
      <c r="AC111" s="336"/>
      <c r="AD111" s="336"/>
      <c r="AE111" s="336"/>
      <c r="AF111" s="336"/>
      <c r="AG111" s="336"/>
      <c r="AH111" s="336"/>
      <c r="AI111" s="336"/>
      <c r="AJ111" s="336"/>
      <c r="AK111" s="336"/>
      <c r="AL111" s="336"/>
      <c r="AM111" s="336"/>
      <c r="AN111" s="336"/>
      <c r="AO111" s="336"/>
      <c r="AP111" s="336"/>
      <c r="AQ111" s="336"/>
      <c r="AR111" s="336"/>
      <c r="AS111" s="336"/>
      <c r="AT111" s="336"/>
      <c r="AU111" s="336"/>
      <c r="AV111" s="336"/>
      <c r="AW111" s="336"/>
      <c r="AX111" s="336"/>
      <c r="AY111" s="336"/>
      <c r="AZ111" s="336"/>
      <c r="BA111" s="632"/>
      <c r="BB111" s="632"/>
      <c r="BC111" s="632"/>
      <c r="BD111" s="632"/>
      <c r="BE111" s="632"/>
      <c r="BF111" s="632"/>
      <c r="BG111" s="632"/>
      <c r="BH111" s="632"/>
      <c r="BI111" s="632"/>
      <c r="BJ111" s="632"/>
      <c r="BK111" s="632"/>
      <c r="BL111" s="632"/>
      <c r="BM111" s="632"/>
      <c r="BN111" s="632"/>
      <c r="BO111" s="632"/>
      <c r="BP111" s="632"/>
      <c r="BQ111" s="632"/>
      <c r="BR111" s="632"/>
      <c r="BS111" s="632"/>
      <c r="BT111" s="632"/>
      <c r="BU111" s="632"/>
      <c r="BV111" s="632"/>
      <c r="BW111" s="632"/>
      <c r="BX111" s="632"/>
      <c r="BY111" s="632"/>
      <c r="BZ111" s="632"/>
      <c r="CA111" s="632"/>
      <c r="CB111" s="632"/>
      <c r="CC111" s="632"/>
      <c r="CD111" s="632"/>
      <c r="CE111" s="632"/>
      <c r="CF111" s="632"/>
      <c r="CG111" s="632"/>
      <c r="CH111" s="632"/>
      <c r="CI111" s="632"/>
      <c r="CJ111" s="632"/>
      <c r="CK111" s="632"/>
      <c r="CL111" s="632"/>
      <c r="CM111" s="632"/>
      <c r="CN111" s="631"/>
    </row>
    <row r="112" spans="2:92" ht="16.5" thickBot="1" x14ac:dyDescent="0.3">
      <c r="B112" s="610"/>
      <c r="C112" s="336"/>
      <c r="D112" s="611"/>
      <c r="E112" s="612"/>
      <c r="F112" s="612"/>
      <c r="G112" s="612"/>
      <c r="H112" s="618">
        <f>'I. Stream &amp; Compound Data'!F311</f>
        <v>50</v>
      </c>
      <c r="I112" s="675" t="str">
        <f>IF('I. Stream &amp; Compound Data'!G311&lt;&gt;"",'I. Stream &amp; Compound Data'!G311,"")</f>
        <v/>
      </c>
      <c r="J112" s="674" t="str">
        <f t="shared" si="8"/>
        <v/>
      </c>
      <c r="K112" s="646" t="str">
        <f>IF('I. Stream &amp; Compound Data'!T311&lt;&gt;"",'I. Stream &amp; Compound Data'!T311,IF(OR('I. Stream &amp; Compound Data'!U311=1,'I. Stream &amp; Compound Data'!V311=1),0,""))</f>
        <v/>
      </c>
      <c r="L112" s="674" t="str">
        <f t="shared" si="9"/>
        <v/>
      </c>
      <c r="M112" s="645" t="str">
        <f t="shared" si="10"/>
        <v/>
      </c>
      <c r="N112" s="645" t="str">
        <f t="shared" si="11"/>
        <v/>
      </c>
      <c r="O112" s="646" t="str">
        <f>IF(J112&lt;&gt;"",'I. Stream &amp; Compound Data'!AM311,"")</f>
        <v/>
      </c>
      <c r="P112" s="645" t="str">
        <f t="shared" si="12"/>
        <v/>
      </c>
      <c r="Q112" s="673" t="str">
        <f t="shared" si="13"/>
        <v/>
      </c>
      <c r="R112" s="628"/>
      <c r="S112" s="634"/>
      <c r="T112" s="634"/>
      <c r="U112" s="633"/>
      <c r="V112" s="336"/>
      <c r="W112" s="336"/>
      <c r="X112" s="336"/>
      <c r="Y112" s="336"/>
      <c r="Z112" s="336"/>
      <c r="AA112" s="336"/>
      <c r="AB112" s="336"/>
      <c r="AC112" s="336"/>
      <c r="AD112" s="336"/>
      <c r="AE112" s="336"/>
      <c r="AF112" s="336"/>
      <c r="AG112" s="336"/>
      <c r="AH112" s="336"/>
      <c r="AI112" s="336"/>
      <c r="AJ112" s="336"/>
      <c r="AK112" s="336"/>
      <c r="AL112" s="336"/>
      <c r="AM112" s="336"/>
      <c r="AN112" s="336"/>
      <c r="AO112" s="336"/>
      <c r="AP112" s="336"/>
      <c r="AQ112" s="336"/>
      <c r="AR112" s="336"/>
      <c r="AS112" s="336"/>
      <c r="AT112" s="336"/>
      <c r="AU112" s="336"/>
      <c r="AV112" s="336"/>
      <c r="AW112" s="336"/>
      <c r="AX112" s="336"/>
      <c r="AY112" s="336"/>
      <c r="AZ112" s="336"/>
      <c r="BA112" s="632"/>
      <c r="BB112" s="632"/>
      <c r="BC112" s="632"/>
      <c r="BD112" s="632"/>
      <c r="BE112" s="632"/>
      <c r="BF112" s="632"/>
      <c r="BG112" s="632"/>
      <c r="BH112" s="632"/>
      <c r="BI112" s="632"/>
      <c r="BJ112" s="632"/>
      <c r="BK112" s="632"/>
      <c r="BL112" s="632"/>
      <c r="BM112" s="632"/>
      <c r="BN112" s="632"/>
      <c r="BO112" s="632"/>
      <c r="BP112" s="632"/>
      <c r="BQ112" s="632"/>
      <c r="BR112" s="632"/>
      <c r="BS112" s="632"/>
      <c r="BT112" s="632"/>
      <c r="BU112" s="632"/>
      <c r="BV112" s="632"/>
      <c r="BW112" s="632"/>
      <c r="BX112" s="632"/>
      <c r="BY112" s="632"/>
      <c r="BZ112" s="632"/>
      <c r="CA112" s="632"/>
      <c r="CB112" s="632"/>
      <c r="CC112" s="632"/>
      <c r="CD112" s="632"/>
      <c r="CE112" s="632"/>
      <c r="CF112" s="632"/>
      <c r="CG112" s="632"/>
      <c r="CH112" s="632"/>
      <c r="CI112" s="632"/>
      <c r="CJ112" s="632"/>
      <c r="CK112" s="632"/>
      <c r="CL112" s="632"/>
      <c r="CM112" s="632"/>
      <c r="CN112" s="631"/>
    </row>
    <row r="113" spans="2:92" ht="16.5" thickBot="1" x14ac:dyDescent="0.3">
      <c r="B113" s="610"/>
      <c r="C113" s="336"/>
      <c r="D113" s="611"/>
      <c r="E113" s="612"/>
      <c r="F113" s="612"/>
      <c r="G113" s="612"/>
      <c r="H113" s="611"/>
      <c r="I113" s="629"/>
      <c r="J113" s="336"/>
      <c r="K113" s="612" t="s">
        <v>26</v>
      </c>
      <c r="L113" s="695">
        <f t="shared" ref="L113:Q113" si="14">SUM(L63:L112)</f>
        <v>126.88392</v>
      </c>
      <c r="M113" s="694">
        <f t="shared" si="14"/>
        <v>71.046979999999991</v>
      </c>
      <c r="N113" s="693">
        <f t="shared" si="14"/>
        <v>197.93090000000001</v>
      </c>
      <c r="O113" s="694">
        <f t="shared" si="14"/>
        <v>5</v>
      </c>
      <c r="P113" s="694">
        <f t="shared" si="14"/>
        <v>4.9287999999999998</v>
      </c>
      <c r="Q113" s="693">
        <f t="shared" si="14"/>
        <v>4.9287999999999998</v>
      </c>
      <c r="R113" s="628"/>
      <c r="S113" s="634"/>
      <c r="T113" s="634"/>
      <c r="U113" s="633"/>
      <c r="V113" s="336"/>
      <c r="W113" s="336"/>
      <c r="X113" s="336"/>
      <c r="Y113" s="336"/>
      <c r="Z113" s="336"/>
      <c r="AA113" s="336"/>
      <c r="AB113" s="336"/>
      <c r="AC113" s="336"/>
      <c r="AD113" s="336"/>
      <c r="AE113" s="336"/>
      <c r="AF113" s="336"/>
      <c r="AG113" s="336"/>
      <c r="AH113" s="336"/>
      <c r="AI113" s="336"/>
      <c r="AJ113" s="336"/>
      <c r="AK113" s="336"/>
      <c r="AL113" s="336"/>
      <c r="AM113" s="336"/>
      <c r="AN113" s="336"/>
      <c r="AO113" s="336"/>
      <c r="AP113" s="336"/>
      <c r="AQ113" s="336"/>
      <c r="AR113" s="336"/>
      <c r="AS113" s="336"/>
      <c r="AT113" s="336"/>
      <c r="AU113" s="336"/>
      <c r="AV113" s="336"/>
      <c r="AW113" s="336"/>
      <c r="AX113" s="336"/>
      <c r="AY113" s="336"/>
      <c r="AZ113" s="336"/>
      <c r="BA113" s="632"/>
      <c r="BB113" s="632"/>
      <c r="BC113" s="632"/>
      <c r="BD113" s="632"/>
      <c r="BE113" s="632"/>
      <c r="BF113" s="632"/>
      <c r="BG113" s="632"/>
      <c r="BH113" s="632"/>
      <c r="BI113" s="632"/>
      <c r="BJ113" s="632"/>
      <c r="BK113" s="632"/>
      <c r="BL113" s="632"/>
      <c r="BM113" s="632"/>
      <c r="BN113" s="632"/>
      <c r="BO113" s="632"/>
      <c r="BP113" s="632"/>
      <c r="BQ113" s="632"/>
      <c r="BR113" s="632"/>
      <c r="BS113" s="632"/>
      <c r="BT113" s="632"/>
      <c r="BU113" s="632"/>
      <c r="BV113" s="632"/>
      <c r="BW113" s="632"/>
      <c r="BX113" s="632"/>
      <c r="BY113" s="632"/>
      <c r="BZ113" s="632"/>
      <c r="CA113" s="632"/>
      <c r="CB113" s="632"/>
      <c r="CC113" s="632"/>
      <c r="CD113" s="632"/>
      <c r="CE113" s="632"/>
      <c r="CF113" s="632"/>
      <c r="CG113" s="632"/>
      <c r="CH113" s="632"/>
      <c r="CI113" s="632"/>
      <c r="CJ113" s="632"/>
      <c r="CK113" s="632"/>
      <c r="CL113" s="632"/>
      <c r="CM113" s="632"/>
      <c r="CN113" s="631"/>
    </row>
    <row r="114" spans="2:92" ht="15.75" x14ac:dyDescent="0.25">
      <c r="B114" s="610"/>
      <c r="C114" s="336"/>
      <c r="D114" s="611"/>
      <c r="E114" s="612"/>
      <c r="F114" s="612"/>
      <c r="G114" s="612"/>
      <c r="H114" s="611"/>
      <c r="I114" s="629"/>
      <c r="J114" s="336"/>
      <c r="K114" s="612"/>
      <c r="L114" s="612"/>
      <c r="M114" s="612"/>
      <c r="N114" s="612"/>
      <c r="O114" s="612"/>
      <c r="P114" s="612"/>
      <c r="Q114" s="612"/>
      <c r="R114" s="628"/>
      <c r="S114" s="634"/>
      <c r="T114" s="634"/>
      <c r="U114" s="633"/>
      <c r="V114" s="336"/>
      <c r="W114" s="336"/>
      <c r="X114" s="336"/>
      <c r="Y114" s="336"/>
      <c r="Z114" s="336"/>
      <c r="AA114" s="336"/>
      <c r="AB114" s="336"/>
      <c r="AC114" s="336"/>
      <c r="AD114" s="336"/>
      <c r="AE114" s="336"/>
      <c r="AF114" s="336"/>
      <c r="AG114" s="336"/>
      <c r="AH114" s="336"/>
      <c r="AI114" s="336"/>
      <c r="AJ114" s="336"/>
      <c r="AK114" s="336"/>
      <c r="AL114" s="336"/>
      <c r="AM114" s="336"/>
      <c r="AN114" s="336"/>
      <c r="AO114" s="336"/>
      <c r="AP114" s="336"/>
      <c r="AQ114" s="336"/>
      <c r="AR114" s="336"/>
      <c r="AS114" s="336"/>
      <c r="AT114" s="336"/>
      <c r="AU114" s="336"/>
      <c r="AV114" s="336"/>
      <c r="AW114" s="336"/>
      <c r="AX114" s="336"/>
      <c r="AY114" s="336"/>
      <c r="AZ114" s="336"/>
      <c r="BA114" s="632"/>
      <c r="BB114" s="632"/>
      <c r="BC114" s="632"/>
      <c r="BD114" s="632"/>
      <c r="BE114" s="632"/>
      <c r="BF114" s="632"/>
      <c r="BG114" s="632"/>
      <c r="BH114" s="632"/>
      <c r="BI114" s="632"/>
      <c r="BJ114" s="632"/>
      <c r="BK114" s="632"/>
      <c r="BL114" s="632"/>
      <c r="BM114" s="632"/>
      <c r="BN114" s="632"/>
      <c r="BO114" s="632"/>
      <c r="BP114" s="632"/>
      <c r="BQ114" s="632"/>
      <c r="BR114" s="632"/>
      <c r="BS114" s="632"/>
      <c r="BT114" s="632"/>
      <c r="BU114" s="632"/>
      <c r="BV114" s="632"/>
      <c r="BW114" s="632"/>
      <c r="BX114" s="632"/>
      <c r="BY114" s="632"/>
      <c r="BZ114" s="632"/>
      <c r="CA114" s="632"/>
      <c r="CB114" s="632"/>
      <c r="CC114" s="632"/>
      <c r="CD114" s="632"/>
      <c r="CE114" s="632"/>
      <c r="CF114" s="632"/>
      <c r="CG114" s="632"/>
      <c r="CH114" s="632"/>
      <c r="CI114" s="632"/>
      <c r="CJ114" s="632"/>
      <c r="CK114" s="632"/>
      <c r="CL114" s="632"/>
      <c r="CM114" s="632"/>
      <c r="CN114" s="631"/>
    </row>
    <row r="115" spans="2:92" ht="15.75" x14ac:dyDescent="0.25">
      <c r="B115" s="610"/>
      <c r="C115" s="336"/>
      <c r="D115" s="611"/>
      <c r="E115" s="612"/>
      <c r="F115" s="612"/>
      <c r="G115" s="612"/>
      <c r="H115" s="611"/>
      <c r="I115" s="629"/>
      <c r="J115" s="336"/>
      <c r="K115" s="612"/>
      <c r="L115" s="612"/>
      <c r="M115" s="612"/>
      <c r="N115" s="612"/>
      <c r="O115" s="612"/>
      <c r="P115" s="612"/>
      <c r="Q115" s="612"/>
      <c r="R115" s="628"/>
      <c r="S115" s="634"/>
      <c r="T115" s="634"/>
      <c r="U115" s="633"/>
      <c r="V115" s="336"/>
      <c r="W115" s="336"/>
      <c r="X115" s="336"/>
      <c r="Y115" s="336"/>
      <c r="Z115" s="336"/>
      <c r="AA115" s="336"/>
      <c r="AB115" s="336"/>
      <c r="AC115" s="336"/>
      <c r="AD115" s="336"/>
      <c r="AE115" s="336"/>
      <c r="AF115" s="336"/>
      <c r="AG115" s="336"/>
      <c r="AH115" s="336"/>
      <c r="AI115" s="336"/>
      <c r="AJ115" s="336"/>
      <c r="AK115" s="336"/>
      <c r="AL115" s="336"/>
      <c r="AM115" s="336"/>
      <c r="AN115" s="336"/>
      <c r="AO115" s="336"/>
      <c r="AP115" s="336"/>
      <c r="AQ115" s="336"/>
      <c r="AR115" s="336"/>
      <c r="AS115" s="336"/>
      <c r="AT115" s="336"/>
      <c r="AU115" s="336"/>
      <c r="AV115" s="336"/>
      <c r="AW115" s="336"/>
      <c r="AX115" s="336"/>
      <c r="AY115" s="336"/>
      <c r="AZ115" s="336"/>
      <c r="BA115" s="632"/>
      <c r="BB115" s="632"/>
      <c r="BC115" s="632"/>
      <c r="BD115" s="632"/>
      <c r="BE115" s="632"/>
      <c r="BF115" s="632"/>
      <c r="BG115" s="632"/>
      <c r="BH115" s="632"/>
      <c r="BI115" s="632"/>
      <c r="BJ115" s="632"/>
      <c r="BK115" s="632"/>
      <c r="BL115" s="632"/>
      <c r="BM115" s="632"/>
      <c r="BN115" s="632"/>
      <c r="BO115" s="632"/>
      <c r="BP115" s="632"/>
      <c r="BQ115" s="632"/>
      <c r="BR115" s="632"/>
      <c r="BS115" s="632"/>
      <c r="BT115" s="632"/>
      <c r="BU115" s="632"/>
      <c r="BV115" s="632"/>
      <c r="BW115" s="632"/>
      <c r="BX115" s="632"/>
      <c r="BY115" s="632"/>
      <c r="BZ115" s="632"/>
      <c r="CA115" s="632"/>
      <c r="CB115" s="632"/>
      <c r="CC115" s="632"/>
      <c r="CD115" s="632"/>
      <c r="CE115" s="632"/>
      <c r="CF115" s="632"/>
      <c r="CG115" s="632"/>
      <c r="CH115" s="632"/>
      <c r="CI115" s="632"/>
      <c r="CJ115" s="632"/>
      <c r="CK115" s="632"/>
      <c r="CL115" s="632"/>
      <c r="CM115" s="632"/>
      <c r="CN115" s="631"/>
    </row>
    <row r="116" spans="2:92" ht="15.75" x14ac:dyDescent="0.25">
      <c r="B116" s="610"/>
      <c r="C116" s="336"/>
      <c r="D116" s="611"/>
      <c r="E116" s="612"/>
      <c r="F116" s="612"/>
      <c r="G116" s="612"/>
      <c r="H116" s="611"/>
      <c r="I116" s="629"/>
      <c r="J116" s="336"/>
      <c r="K116" s="336"/>
      <c r="L116" s="611"/>
      <c r="M116" s="336"/>
      <c r="N116" s="336"/>
      <c r="O116" s="336"/>
      <c r="P116" s="336"/>
      <c r="Q116" s="336"/>
      <c r="R116" s="628"/>
      <c r="S116" s="634"/>
      <c r="T116" s="634"/>
      <c r="U116" s="633"/>
      <c r="V116" s="336"/>
      <c r="W116" s="336"/>
      <c r="X116" s="336"/>
      <c r="Y116" s="336"/>
      <c r="Z116" s="336"/>
      <c r="AA116" s="336"/>
      <c r="AB116" s="336"/>
      <c r="AC116" s="336"/>
      <c r="AD116" s="336"/>
      <c r="AE116" s="336"/>
      <c r="AF116" s="336"/>
      <c r="AG116" s="336"/>
      <c r="AH116" s="336"/>
      <c r="AI116" s="336"/>
      <c r="AJ116" s="336"/>
      <c r="AK116" s="336"/>
      <c r="AL116" s="336"/>
      <c r="AM116" s="336"/>
      <c r="AN116" s="336"/>
      <c r="AO116" s="336"/>
      <c r="AP116" s="336"/>
      <c r="AQ116" s="336"/>
      <c r="AR116" s="336"/>
      <c r="AS116" s="336"/>
      <c r="AT116" s="336"/>
      <c r="AU116" s="336"/>
      <c r="AV116" s="336"/>
      <c r="AW116" s="336"/>
      <c r="AX116" s="336"/>
      <c r="AY116" s="336"/>
      <c r="AZ116" s="336"/>
      <c r="BA116" s="632"/>
      <c r="BB116" s="632"/>
      <c r="BC116" s="632"/>
      <c r="BD116" s="632"/>
      <c r="BE116" s="632"/>
      <c r="BF116" s="632"/>
      <c r="BG116" s="632"/>
      <c r="BH116" s="632"/>
      <c r="BI116" s="632"/>
      <c r="BJ116" s="632"/>
      <c r="BK116" s="632"/>
      <c r="BL116" s="632"/>
      <c r="BM116" s="632"/>
      <c r="BN116" s="632"/>
      <c r="BO116" s="632"/>
      <c r="BP116" s="632"/>
      <c r="BQ116" s="632"/>
      <c r="BR116" s="632"/>
      <c r="BS116" s="632"/>
      <c r="BT116" s="632"/>
      <c r="BU116" s="632"/>
      <c r="BV116" s="632"/>
      <c r="BW116" s="632"/>
      <c r="BX116" s="632"/>
      <c r="BY116" s="632"/>
      <c r="BZ116" s="632"/>
      <c r="CA116" s="632"/>
      <c r="CB116" s="632"/>
      <c r="CC116" s="632"/>
      <c r="CD116" s="632"/>
      <c r="CE116" s="632"/>
      <c r="CF116" s="632"/>
      <c r="CG116" s="632"/>
      <c r="CH116" s="632"/>
      <c r="CI116" s="632"/>
      <c r="CJ116" s="632"/>
      <c r="CK116" s="632"/>
      <c r="CL116" s="632"/>
      <c r="CM116" s="632"/>
      <c r="CN116" s="631"/>
    </row>
    <row r="117" spans="2:92" ht="15.75" x14ac:dyDescent="0.25">
      <c r="B117" s="610"/>
      <c r="C117" s="336"/>
      <c r="D117" s="611"/>
      <c r="E117" s="612"/>
      <c r="F117" s="612"/>
      <c r="G117" s="612"/>
      <c r="H117" s="611"/>
      <c r="I117" s="629"/>
      <c r="J117" s="336"/>
      <c r="K117" s="336"/>
      <c r="L117" s="611"/>
      <c r="M117" s="336"/>
      <c r="N117" s="336"/>
      <c r="O117" s="336"/>
      <c r="P117" s="336"/>
      <c r="Q117" s="336"/>
      <c r="R117" s="628"/>
      <c r="S117" s="634"/>
      <c r="T117" s="634"/>
      <c r="U117" s="633"/>
      <c r="V117" s="336"/>
      <c r="W117" s="336"/>
      <c r="X117" s="336"/>
      <c r="Y117" s="336"/>
      <c r="Z117" s="336"/>
      <c r="AA117" s="336"/>
      <c r="AB117" s="336"/>
      <c r="AC117" s="336"/>
      <c r="AD117" s="336"/>
      <c r="AE117" s="336"/>
      <c r="AF117" s="336"/>
      <c r="AG117" s="336"/>
      <c r="AH117" s="336"/>
      <c r="AI117" s="336"/>
      <c r="AJ117" s="336"/>
      <c r="AK117" s="336"/>
      <c r="AL117" s="336"/>
      <c r="AM117" s="336"/>
      <c r="AN117" s="336"/>
      <c r="AO117" s="336"/>
      <c r="AP117" s="336"/>
      <c r="AQ117" s="336"/>
      <c r="AR117" s="336"/>
      <c r="AS117" s="336"/>
      <c r="AT117" s="336"/>
      <c r="AU117" s="336"/>
      <c r="AV117" s="336"/>
      <c r="AW117" s="336"/>
      <c r="AX117" s="336"/>
      <c r="AY117" s="336"/>
      <c r="AZ117" s="336"/>
      <c r="BA117" s="632"/>
      <c r="BB117" s="632"/>
      <c r="BC117" s="632"/>
      <c r="BD117" s="632"/>
      <c r="BE117" s="632"/>
      <c r="BF117" s="632"/>
      <c r="BG117" s="632"/>
      <c r="BH117" s="632"/>
      <c r="BI117" s="632"/>
      <c r="BJ117" s="632"/>
      <c r="BK117" s="632"/>
      <c r="BL117" s="632"/>
      <c r="BM117" s="632"/>
      <c r="BN117" s="632"/>
      <c r="BO117" s="632"/>
      <c r="BP117" s="632"/>
      <c r="BQ117" s="632"/>
      <c r="BR117" s="632"/>
      <c r="BS117" s="632"/>
      <c r="BT117" s="632"/>
      <c r="BU117" s="632"/>
      <c r="BV117" s="632"/>
      <c r="BW117" s="632"/>
      <c r="BX117" s="632"/>
      <c r="BY117" s="632"/>
      <c r="BZ117" s="632"/>
      <c r="CA117" s="632"/>
      <c r="CB117" s="632"/>
      <c r="CC117" s="632"/>
      <c r="CD117" s="632"/>
      <c r="CE117" s="632"/>
      <c r="CF117" s="632"/>
      <c r="CG117" s="632"/>
      <c r="CH117" s="632"/>
      <c r="CI117" s="632"/>
      <c r="CJ117" s="632"/>
      <c r="CK117" s="632"/>
      <c r="CL117" s="632"/>
      <c r="CM117" s="632"/>
      <c r="CN117" s="631"/>
    </row>
    <row r="118" spans="2:92" ht="16.5" thickBot="1" x14ac:dyDescent="0.3">
      <c r="B118" s="610"/>
      <c r="C118" s="336"/>
      <c r="D118" s="611"/>
      <c r="E118" s="612"/>
      <c r="F118" s="612"/>
      <c r="G118" s="612"/>
      <c r="H118" s="611"/>
      <c r="I118" s="637"/>
      <c r="J118" s="336"/>
      <c r="K118" s="611"/>
      <c r="L118" s="636"/>
      <c r="M118" s="612"/>
      <c r="N118" s="635"/>
      <c r="O118" s="611"/>
      <c r="P118" s="611"/>
      <c r="Q118" s="336"/>
      <c r="R118" s="628"/>
      <c r="S118" s="634"/>
      <c r="T118" s="634"/>
      <c r="U118" s="633"/>
      <c r="V118" s="336"/>
      <c r="W118" s="336"/>
      <c r="X118" s="336"/>
      <c r="Y118" s="336"/>
      <c r="Z118" s="336"/>
      <c r="AA118" s="336"/>
      <c r="AB118" s="336"/>
      <c r="AC118" s="336"/>
      <c r="AD118" s="336"/>
      <c r="AE118" s="336"/>
      <c r="AF118" s="336"/>
      <c r="AG118" s="336"/>
      <c r="AH118" s="336"/>
      <c r="AI118" s="336"/>
      <c r="AJ118" s="336"/>
      <c r="AK118" s="336"/>
      <c r="AL118" s="336"/>
      <c r="AM118" s="336"/>
      <c r="AN118" s="336"/>
      <c r="AO118" s="336"/>
      <c r="AP118" s="336"/>
      <c r="AQ118" s="336"/>
      <c r="AR118" s="336"/>
      <c r="AS118" s="336"/>
      <c r="AT118" s="336"/>
      <c r="AU118" s="336"/>
      <c r="AV118" s="336"/>
      <c r="AW118" s="336"/>
      <c r="AX118" s="336"/>
      <c r="AY118" s="336"/>
      <c r="AZ118" s="336"/>
      <c r="BA118" s="632"/>
      <c r="BB118" s="632"/>
      <c r="BC118" s="632"/>
      <c r="BD118" s="632"/>
      <c r="BE118" s="632"/>
      <c r="BF118" s="632"/>
      <c r="BG118" s="632"/>
      <c r="BH118" s="632"/>
      <c r="BI118" s="632"/>
      <c r="BJ118" s="632"/>
      <c r="BK118" s="632"/>
      <c r="BL118" s="632"/>
      <c r="BM118" s="632"/>
      <c r="BN118" s="632"/>
      <c r="BO118" s="632"/>
      <c r="BP118" s="632"/>
      <c r="BQ118" s="632"/>
      <c r="BR118" s="632"/>
      <c r="BS118" s="632"/>
      <c r="BT118" s="632"/>
      <c r="BU118" s="632"/>
      <c r="BV118" s="632"/>
      <c r="BW118" s="632"/>
      <c r="BX118" s="632"/>
      <c r="BY118" s="632"/>
      <c r="BZ118" s="632"/>
      <c r="CA118" s="632"/>
      <c r="CB118" s="632"/>
      <c r="CC118" s="632"/>
      <c r="CD118" s="632"/>
      <c r="CE118" s="632"/>
      <c r="CF118" s="632"/>
      <c r="CG118" s="632"/>
      <c r="CH118" s="632"/>
      <c r="CI118" s="632"/>
      <c r="CJ118" s="632"/>
      <c r="CK118" s="632"/>
      <c r="CL118" s="632"/>
      <c r="CM118" s="632"/>
      <c r="CN118" s="631"/>
    </row>
    <row r="119" spans="2:92" ht="26.25" x14ac:dyDescent="0.2">
      <c r="B119" s="610"/>
      <c r="C119" s="336"/>
      <c r="D119" s="611"/>
      <c r="E119" s="612"/>
      <c r="F119" s="612"/>
      <c r="G119" s="612"/>
      <c r="H119" s="611"/>
      <c r="I119" s="1018" t="s">
        <v>1336</v>
      </c>
      <c r="J119" s="1019"/>
      <c r="K119" s="1020"/>
      <c r="L119" s="691"/>
      <c r="M119" s="692"/>
      <c r="N119" s="252"/>
      <c r="O119" s="252"/>
      <c r="P119" s="252"/>
      <c r="Q119" s="252"/>
      <c r="R119" s="252"/>
      <c r="S119" s="252"/>
      <c r="T119" s="634"/>
      <c r="U119" s="633"/>
      <c r="V119" s="336"/>
      <c r="W119" s="336"/>
      <c r="X119" s="336"/>
      <c r="Y119" s="336"/>
      <c r="Z119" s="336"/>
      <c r="AA119" s="336"/>
      <c r="AB119" s="336"/>
      <c r="AC119" s="336"/>
      <c r="AD119" s="336"/>
      <c r="AE119" s="336"/>
      <c r="AF119" s="336"/>
      <c r="AG119" s="336"/>
      <c r="AH119" s="336"/>
      <c r="AI119" s="336"/>
      <c r="AJ119" s="336"/>
      <c r="AK119" s="336"/>
      <c r="AL119" s="336"/>
      <c r="AM119" s="336"/>
      <c r="AN119" s="336"/>
      <c r="AO119" s="336"/>
      <c r="AP119" s="336"/>
      <c r="AQ119" s="336"/>
      <c r="AR119" s="336"/>
      <c r="AS119" s="336"/>
      <c r="AT119" s="336"/>
      <c r="AU119" s="336"/>
      <c r="AV119" s="336"/>
      <c r="AW119" s="336"/>
      <c r="AX119" s="336"/>
      <c r="AY119" s="336"/>
      <c r="AZ119" s="336"/>
      <c r="BA119" s="632"/>
      <c r="BB119" s="632"/>
      <c r="BC119" s="632"/>
      <c r="BD119" s="632"/>
      <c r="BE119" s="632"/>
      <c r="BF119" s="632"/>
      <c r="BG119" s="632"/>
      <c r="BH119" s="632"/>
      <c r="BI119" s="632"/>
      <c r="BJ119" s="632"/>
      <c r="BK119" s="632"/>
      <c r="BL119" s="632"/>
      <c r="BM119" s="632"/>
      <c r="BN119" s="632"/>
      <c r="BO119" s="632"/>
      <c r="BP119" s="632"/>
      <c r="BQ119" s="632"/>
      <c r="BR119" s="632"/>
      <c r="BS119" s="632"/>
      <c r="BT119" s="632"/>
      <c r="BU119" s="632"/>
      <c r="BV119" s="632"/>
      <c r="BW119" s="632"/>
      <c r="BX119" s="632"/>
      <c r="BY119" s="632"/>
      <c r="BZ119" s="632"/>
      <c r="CA119" s="632"/>
      <c r="CB119" s="632"/>
      <c r="CC119" s="632"/>
      <c r="CD119" s="632"/>
      <c r="CE119" s="632"/>
      <c r="CF119" s="632"/>
      <c r="CG119" s="632"/>
      <c r="CH119" s="632"/>
      <c r="CI119" s="632"/>
      <c r="CJ119" s="632"/>
      <c r="CK119" s="632"/>
      <c r="CL119" s="632"/>
      <c r="CM119" s="632"/>
      <c r="CN119" s="631"/>
    </row>
    <row r="120" spans="2:92" ht="27" thickBot="1" x14ac:dyDescent="0.3">
      <c r="B120" s="610"/>
      <c r="C120" s="336"/>
      <c r="D120" s="611"/>
      <c r="E120" s="612"/>
      <c r="F120" s="612"/>
      <c r="G120" s="612"/>
      <c r="H120" s="611"/>
      <c r="I120" s="1024" t="s">
        <v>1337</v>
      </c>
      <c r="J120" s="1025"/>
      <c r="K120" s="1026"/>
      <c r="L120" s="691"/>
      <c r="M120" s="612"/>
      <c r="N120" s="635"/>
      <c r="O120" s="611"/>
      <c r="P120" s="611"/>
      <c r="Q120" s="336"/>
      <c r="R120" s="628"/>
      <c r="S120" s="634"/>
      <c r="T120" s="634"/>
      <c r="U120" s="633"/>
      <c r="V120" s="336"/>
      <c r="W120" s="336"/>
      <c r="X120" s="336"/>
      <c r="Y120" s="336"/>
      <c r="Z120" s="336"/>
      <c r="AA120" s="336"/>
      <c r="AB120" s="336"/>
      <c r="AC120" s="336"/>
      <c r="AD120" s="336"/>
      <c r="AE120" s="336"/>
      <c r="AF120" s="336"/>
      <c r="AG120" s="336"/>
      <c r="AH120" s="336"/>
      <c r="AI120" s="336"/>
      <c r="AJ120" s="336"/>
      <c r="AK120" s="336"/>
      <c r="AL120" s="336"/>
      <c r="AM120" s="336"/>
      <c r="AN120" s="336"/>
      <c r="AO120" s="336"/>
      <c r="AP120" s="336"/>
      <c r="AQ120" s="336"/>
      <c r="AR120" s="336"/>
      <c r="AS120" s="336"/>
      <c r="AT120" s="336"/>
      <c r="AU120" s="336"/>
      <c r="AV120" s="336"/>
      <c r="AW120" s="336"/>
      <c r="AX120" s="336"/>
      <c r="AY120" s="336"/>
      <c r="AZ120" s="336"/>
      <c r="BA120" s="632"/>
      <c r="BB120" s="632"/>
      <c r="BC120" s="632"/>
      <c r="BD120" s="632"/>
      <c r="BE120" s="632"/>
      <c r="BF120" s="632"/>
      <c r="BG120" s="632"/>
      <c r="BH120" s="632"/>
      <c r="BI120" s="632"/>
      <c r="BJ120" s="632"/>
      <c r="BK120" s="632"/>
      <c r="BL120" s="632"/>
      <c r="BM120" s="632"/>
      <c r="BN120" s="632"/>
      <c r="BO120" s="632"/>
      <c r="BP120" s="632"/>
      <c r="BQ120" s="632"/>
      <c r="BR120" s="632"/>
      <c r="BS120" s="632"/>
      <c r="BT120" s="632"/>
      <c r="BU120" s="632"/>
      <c r="BV120" s="632"/>
      <c r="BW120" s="632"/>
      <c r="BX120" s="632"/>
      <c r="BY120" s="632"/>
      <c r="BZ120" s="632"/>
      <c r="CA120" s="632"/>
      <c r="CB120" s="632"/>
      <c r="CC120" s="632"/>
      <c r="CD120" s="632"/>
      <c r="CE120" s="632"/>
      <c r="CF120" s="632"/>
      <c r="CG120" s="632"/>
      <c r="CH120" s="632"/>
      <c r="CI120" s="632"/>
      <c r="CJ120" s="632"/>
      <c r="CK120" s="632"/>
      <c r="CL120" s="632"/>
      <c r="CM120" s="632"/>
      <c r="CN120" s="631"/>
    </row>
    <row r="121" spans="2:92" ht="26.25" x14ac:dyDescent="0.2">
      <c r="B121" s="610"/>
      <c r="C121" s="336"/>
      <c r="D121" s="611"/>
      <c r="E121" s="612"/>
      <c r="F121" s="612"/>
      <c r="G121" s="612"/>
      <c r="H121" s="611"/>
      <c r="I121" s="1016"/>
      <c r="J121" s="1017"/>
      <c r="K121" s="1017"/>
      <c r="L121" s="656">
        <v>1</v>
      </c>
      <c r="M121" s="690">
        <f t="shared" ref="M121:AY121" si="15">L121+1</f>
        <v>2</v>
      </c>
      <c r="N121" s="690">
        <f t="shared" si="15"/>
        <v>3</v>
      </c>
      <c r="O121" s="690">
        <f t="shared" si="15"/>
        <v>4</v>
      </c>
      <c r="P121" s="690">
        <f t="shared" si="15"/>
        <v>5</v>
      </c>
      <c r="Q121" s="690">
        <f t="shared" si="15"/>
        <v>6</v>
      </c>
      <c r="R121" s="690">
        <f t="shared" si="15"/>
        <v>7</v>
      </c>
      <c r="S121" s="690">
        <f t="shared" si="15"/>
        <v>8</v>
      </c>
      <c r="T121" s="690">
        <f t="shared" si="15"/>
        <v>9</v>
      </c>
      <c r="U121" s="690">
        <f t="shared" si="15"/>
        <v>10</v>
      </c>
      <c r="V121" s="690">
        <f t="shared" si="15"/>
        <v>11</v>
      </c>
      <c r="W121" s="690">
        <f t="shared" si="15"/>
        <v>12</v>
      </c>
      <c r="X121" s="690">
        <f t="shared" si="15"/>
        <v>13</v>
      </c>
      <c r="Y121" s="690">
        <f t="shared" si="15"/>
        <v>14</v>
      </c>
      <c r="Z121" s="690">
        <f t="shared" si="15"/>
        <v>15</v>
      </c>
      <c r="AA121" s="690">
        <f t="shared" si="15"/>
        <v>16</v>
      </c>
      <c r="AB121" s="690">
        <f t="shared" si="15"/>
        <v>17</v>
      </c>
      <c r="AC121" s="690">
        <f t="shared" si="15"/>
        <v>18</v>
      </c>
      <c r="AD121" s="690">
        <f t="shared" si="15"/>
        <v>19</v>
      </c>
      <c r="AE121" s="690">
        <f t="shared" si="15"/>
        <v>20</v>
      </c>
      <c r="AF121" s="690">
        <f t="shared" si="15"/>
        <v>21</v>
      </c>
      <c r="AG121" s="690">
        <f t="shared" si="15"/>
        <v>22</v>
      </c>
      <c r="AH121" s="690">
        <f t="shared" si="15"/>
        <v>23</v>
      </c>
      <c r="AI121" s="690">
        <f t="shared" si="15"/>
        <v>24</v>
      </c>
      <c r="AJ121" s="690">
        <f t="shared" si="15"/>
        <v>25</v>
      </c>
      <c r="AK121" s="690">
        <f t="shared" si="15"/>
        <v>26</v>
      </c>
      <c r="AL121" s="690">
        <f t="shared" si="15"/>
        <v>27</v>
      </c>
      <c r="AM121" s="690">
        <f t="shared" si="15"/>
        <v>28</v>
      </c>
      <c r="AN121" s="690">
        <f t="shared" si="15"/>
        <v>29</v>
      </c>
      <c r="AO121" s="690">
        <f t="shared" si="15"/>
        <v>30</v>
      </c>
      <c r="AP121" s="690">
        <f t="shared" si="15"/>
        <v>31</v>
      </c>
      <c r="AQ121" s="690">
        <f t="shared" si="15"/>
        <v>32</v>
      </c>
      <c r="AR121" s="690">
        <f t="shared" si="15"/>
        <v>33</v>
      </c>
      <c r="AS121" s="690">
        <f t="shared" si="15"/>
        <v>34</v>
      </c>
      <c r="AT121" s="690">
        <f t="shared" si="15"/>
        <v>35</v>
      </c>
      <c r="AU121" s="690">
        <f t="shared" si="15"/>
        <v>36</v>
      </c>
      <c r="AV121" s="690">
        <f t="shared" si="15"/>
        <v>37</v>
      </c>
      <c r="AW121" s="690">
        <f t="shared" si="15"/>
        <v>38</v>
      </c>
      <c r="AX121" s="690">
        <f t="shared" si="15"/>
        <v>39</v>
      </c>
      <c r="AY121" s="689">
        <f t="shared" si="15"/>
        <v>40</v>
      </c>
      <c r="AZ121" s="612"/>
      <c r="BA121" s="688"/>
      <c r="BB121" s="688"/>
      <c r="BC121" s="688"/>
      <c r="BD121" s="688"/>
      <c r="BE121" s="688"/>
      <c r="BF121" s="688"/>
      <c r="BG121" s="688"/>
      <c r="BH121" s="632"/>
      <c r="BI121" s="632"/>
      <c r="BJ121" s="632"/>
      <c r="BK121" s="632"/>
      <c r="BL121" s="632"/>
      <c r="BM121" s="632"/>
      <c r="BN121" s="632"/>
      <c r="BO121" s="632"/>
      <c r="BP121" s="632"/>
      <c r="BQ121" s="632"/>
      <c r="BR121" s="632"/>
      <c r="BS121" s="632"/>
      <c r="BT121" s="632"/>
      <c r="BU121" s="632"/>
      <c r="BV121" s="632"/>
      <c r="BW121" s="632"/>
      <c r="BX121" s="632"/>
      <c r="BY121" s="632"/>
      <c r="BZ121" s="632"/>
      <c r="CA121" s="632"/>
      <c r="CB121" s="632"/>
      <c r="CC121" s="632"/>
      <c r="CD121" s="632"/>
      <c r="CE121" s="632"/>
      <c r="CF121" s="632"/>
      <c r="CG121" s="632"/>
      <c r="CH121" s="632"/>
      <c r="CI121" s="632"/>
      <c r="CJ121" s="632"/>
      <c r="CK121" s="632"/>
      <c r="CL121" s="632"/>
      <c r="CM121" s="632"/>
      <c r="CN121" s="631"/>
    </row>
    <row r="122" spans="2:92" ht="15.75" x14ac:dyDescent="0.2">
      <c r="B122" s="610"/>
      <c r="C122" s="336"/>
      <c r="D122" s="611"/>
      <c r="E122" s="612"/>
      <c r="F122" s="612"/>
      <c r="G122" s="612"/>
      <c r="H122" s="611"/>
      <c r="I122" s="1004" t="s">
        <v>1338</v>
      </c>
      <c r="J122" s="1005"/>
      <c r="K122" s="1005"/>
      <c r="L122" s="651">
        <f t="array" ref="L122:AY122">TRANSPOSE(OUT_stream_Num)</f>
        <v>300</v>
      </c>
      <c r="M122" s="687">
        <v>301</v>
      </c>
      <c r="N122" s="687">
        <v>305</v>
      </c>
      <c r="O122" s="687">
        <v>304</v>
      </c>
      <c r="P122" s="687">
        <v>302</v>
      </c>
      <c r="Q122" s="687">
        <v>303</v>
      </c>
      <c r="R122" s="687">
        <v>306</v>
      </c>
      <c r="S122" s="687">
        <v>307</v>
      </c>
      <c r="T122" s="687" t="str">
        <v/>
      </c>
      <c r="U122" s="687" t="str">
        <v/>
      </c>
      <c r="V122" s="650" t="str">
        <v/>
      </c>
      <c r="W122" s="650" t="str">
        <v/>
      </c>
      <c r="X122" s="650" t="str">
        <v/>
      </c>
      <c r="Y122" s="650" t="str">
        <v/>
      </c>
      <c r="Z122" s="650" t="str">
        <v/>
      </c>
      <c r="AA122" s="650" t="str">
        <v/>
      </c>
      <c r="AB122" s="650" t="str">
        <v/>
      </c>
      <c r="AC122" s="650" t="str">
        <v/>
      </c>
      <c r="AD122" s="650" t="str">
        <v/>
      </c>
      <c r="AE122" s="650" t="str">
        <v/>
      </c>
      <c r="AF122" s="650" t="str">
        <v/>
      </c>
      <c r="AG122" s="650" t="str">
        <v/>
      </c>
      <c r="AH122" s="650" t="str">
        <v/>
      </c>
      <c r="AI122" s="650" t="str">
        <v/>
      </c>
      <c r="AJ122" s="650" t="str">
        <v/>
      </c>
      <c r="AK122" s="650" t="str">
        <v/>
      </c>
      <c r="AL122" s="650" t="str">
        <v/>
      </c>
      <c r="AM122" s="650" t="str">
        <v/>
      </c>
      <c r="AN122" s="650" t="str">
        <v/>
      </c>
      <c r="AO122" s="650" t="str">
        <v/>
      </c>
      <c r="AP122" s="650" t="str">
        <v/>
      </c>
      <c r="AQ122" s="650" t="str">
        <v/>
      </c>
      <c r="AR122" s="650" t="str">
        <v/>
      </c>
      <c r="AS122" s="650" t="str">
        <v/>
      </c>
      <c r="AT122" s="650" t="str">
        <v/>
      </c>
      <c r="AU122" s="650" t="str">
        <v/>
      </c>
      <c r="AV122" s="650" t="str">
        <v/>
      </c>
      <c r="AW122" s="650" t="str">
        <v/>
      </c>
      <c r="AX122" s="650" t="str">
        <v/>
      </c>
      <c r="AY122" s="686" t="str">
        <v/>
      </c>
      <c r="AZ122" s="336"/>
      <c r="BA122" s="632"/>
      <c r="BB122" s="632"/>
      <c r="BC122" s="632"/>
      <c r="BD122" s="632"/>
      <c r="BE122" s="632"/>
      <c r="BF122" s="632"/>
      <c r="BG122" s="632"/>
      <c r="BH122" s="632"/>
      <c r="BI122" s="632"/>
      <c r="BJ122" s="632"/>
      <c r="BK122" s="632"/>
      <c r="BL122" s="632"/>
      <c r="BM122" s="632"/>
      <c r="BN122" s="632"/>
      <c r="BO122" s="632"/>
      <c r="BP122" s="632"/>
      <c r="BQ122" s="632"/>
      <c r="BR122" s="632"/>
      <c r="BS122" s="632"/>
      <c r="BT122" s="632"/>
      <c r="BU122" s="632"/>
      <c r="BV122" s="632"/>
      <c r="BW122" s="632"/>
      <c r="BX122" s="632"/>
      <c r="BY122" s="632"/>
      <c r="BZ122" s="632"/>
      <c r="CA122" s="632"/>
      <c r="CB122" s="632"/>
      <c r="CC122" s="632"/>
      <c r="CD122" s="632"/>
      <c r="CE122" s="632"/>
      <c r="CF122" s="632"/>
      <c r="CG122" s="632"/>
      <c r="CH122" s="632"/>
      <c r="CI122" s="632"/>
      <c r="CJ122" s="632"/>
      <c r="CK122" s="632"/>
      <c r="CL122" s="632"/>
      <c r="CM122" s="632"/>
      <c r="CN122" s="631"/>
    </row>
    <row r="123" spans="2:92" ht="15.75" x14ac:dyDescent="0.2">
      <c r="B123" s="610"/>
      <c r="C123" s="336"/>
      <c r="D123" s="611"/>
      <c r="E123" s="612"/>
      <c r="F123" s="612"/>
      <c r="G123" s="612"/>
      <c r="H123" s="611"/>
      <c r="I123" s="1004" t="s">
        <v>778</v>
      </c>
      <c r="J123" s="1005"/>
      <c r="K123" s="1005"/>
      <c r="L123" s="651">
        <f t="array" ref="L123:AY123">TRANSPOSE(OUT_Product_1__waste_0)</f>
        <v>1</v>
      </c>
      <c r="M123" s="687">
        <v>1</v>
      </c>
      <c r="N123" s="687">
        <v>0</v>
      </c>
      <c r="O123" s="687">
        <v>0</v>
      </c>
      <c r="P123" s="687">
        <v>0</v>
      </c>
      <c r="Q123" s="687">
        <v>0</v>
      </c>
      <c r="R123" s="687">
        <v>0</v>
      </c>
      <c r="S123" s="687">
        <v>0</v>
      </c>
      <c r="T123" s="687" t="str">
        <v/>
      </c>
      <c r="U123" s="687" t="str">
        <v/>
      </c>
      <c r="V123" s="650" t="str">
        <v/>
      </c>
      <c r="W123" s="650" t="str">
        <v/>
      </c>
      <c r="X123" s="650" t="str">
        <v/>
      </c>
      <c r="Y123" s="650" t="str">
        <v/>
      </c>
      <c r="Z123" s="650" t="str">
        <v/>
      </c>
      <c r="AA123" s="650" t="str">
        <v/>
      </c>
      <c r="AB123" s="650" t="str">
        <v/>
      </c>
      <c r="AC123" s="650" t="str">
        <v/>
      </c>
      <c r="AD123" s="650" t="str">
        <v/>
      </c>
      <c r="AE123" s="650" t="str">
        <v/>
      </c>
      <c r="AF123" s="650" t="str">
        <v/>
      </c>
      <c r="AG123" s="650" t="str">
        <v/>
      </c>
      <c r="AH123" s="650" t="str">
        <v/>
      </c>
      <c r="AI123" s="650" t="str">
        <v/>
      </c>
      <c r="AJ123" s="650" t="str">
        <v/>
      </c>
      <c r="AK123" s="650" t="str">
        <v/>
      </c>
      <c r="AL123" s="650" t="str">
        <v/>
      </c>
      <c r="AM123" s="650" t="str">
        <v/>
      </c>
      <c r="AN123" s="650" t="str">
        <v/>
      </c>
      <c r="AO123" s="650" t="str">
        <v/>
      </c>
      <c r="AP123" s="650" t="str">
        <v/>
      </c>
      <c r="AQ123" s="650" t="str">
        <v/>
      </c>
      <c r="AR123" s="650" t="str">
        <v/>
      </c>
      <c r="AS123" s="650" t="str">
        <v/>
      </c>
      <c r="AT123" s="650" t="str">
        <v/>
      </c>
      <c r="AU123" s="650" t="str">
        <v/>
      </c>
      <c r="AV123" s="650" t="str">
        <v/>
      </c>
      <c r="AW123" s="650" t="str">
        <v/>
      </c>
      <c r="AX123" s="650" t="str">
        <v/>
      </c>
      <c r="AY123" s="686" t="str">
        <v/>
      </c>
      <c r="AZ123" s="336"/>
      <c r="BA123" s="632"/>
      <c r="BB123" s="632"/>
      <c r="BC123" s="632"/>
      <c r="BD123" s="632"/>
      <c r="BE123" s="632"/>
      <c r="BF123" s="632"/>
      <c r="BG123" s="632"/>
      <c r="BH123" s="632"/>
      <c r="BI123" s="632"/>
      <c r="BJ123" s="632"/>
      <c r="BK123" s="632"/>
      <c r="BL123" s="632"/>
      <c r="BM123" s="632"/>
      <c r="BN123" s="632"/>
      <c r="BO123" s="632"/>
      <c r="BP123" s="632"/>
      <c r="BQ123" s="632"/>
      <c r="BR123" s="632"/>
      <c r="BS123" s="632"/>
      <c r="BT123" s="632"/>
      <c r="BU123" s="632"/>
      <c r="BV123" s="632"/>
      <c r="BW123" s="632"/>
      <c r="BX123" s="632"/>
      <c r="BY123" s="632"/>
      <c r="BZ123" s="632"/>
      <c r="CA123" s="632"/>
      <c r="CB123" s="632"/>
      <c r="CC123" s="632"/>
      <c r="CD123" s="632"/>
      <c r="CE123" s="632"/>
      <c r="CF123" s="632"/>
      <c r="CG123" s="632"/>
      <c r="CH123" s="632"/>
      <c r="CI123" s="632"/>
      <c r="CJ123" s="632"/>
      <c r="CK123" s="632"/>
      <c r="CL123" s="632"/>
      <c r="CM123" s="632"/>
      <c r="CN123" s="631"/>
    </row>
    <row r="124" spans="2:92" ht="15.75" x14ac:dyDescent="0.2">
      <c r="B124" s="610"/>
      <c r="C124" s="336"/>
      <c r="D124" s="611"/>
      <c r="E124" s="612"/>
      <c r="F124" s="612"/>
      <c r="G124" s="612"/>
      <c r="H124" s="611"/>
      <c r="I124" s="1004" t="s">
        <v>0</v>
      </c>
      <c r="J124" s="1005"/>
      <c r="K124" s="1005"/>
      <c r="L124" s="651" t="str">
        <f t="array" ref="L124:AY124">TRANSPOSE(OUT_renewability)</f>
        <v>yes</v>
      </c>
      <c r="M124" s="687" t="str">
        <v>yes</v>
      </c>
      <c r="N124" s="687" t="str">
        <v/>
      </c>
      <c r="O124" s="687" t="str">
        <v/>
      </c>
      <c r="P124" s="687" t="str">
        <v/>
      </c>
      <c r="Q124" s="687" t="str">
        <v/>
      </c>
      <c r="R124" s="687" t="str">
        <v/>
      </c>
      <c r="S124" s="687" t="str">
        <v/>
      </c>
      <c r="T124" s="687" t="str">
        <v/>
      </c>
      <c r="U124" s="687" t="str">
        <v/>
      </c>
      <c r="V124" s="650" t="str">
        <v/>
      </c>
      <c r="W124" s="650" t="str">
        <v/>
      </c>
      <c r="X124" s="650" t="str">
        <v/>
      </c>
      <c r="Y124" s="650" t="str">
        <v/>
      </c>
      <c r="Z124" s="650" t="str">
        <v/>
      </c>
      <c r="AA124" s="650" t="str">
        <v/>
      </c>
      <c r="AB124" s="650" t="str">
        <v/>
      </c>
      <c r="AC124" s="650" t="str">
        <v/>
      </c>
      <c r="AD124" s="650" t="str">
        <v/>
      </c>
      <c r="AE124" s="650" t="str">
        <v/>
      </c>
      <c r="AF124" s="650" t="str">
        <v/>
      </c>
      <c r="AG124" s="650" t="str">
        <v/>
      </c>
      <c r="AH124" s="650" t="str">
        <v/>
      </c>
      <c r="AI124" s="650" t="str">
        <v/>
      </c>
      <c r="AJ124" s="650" t="str">
        <v/>
      </c>
      <c r="AK124" s="650" t="str">
        <v/>
      </c>
      <c r="AL124" s="650" t="str">
        <v/>
      </c>
      <c r="AM124" s="650" t="str">
        <v/>
      </c>
      <c r="AN124" s="650" t="str">
        <v/>
      </c>
      <c r="AO124" s="650" t="str">
        <v/>
      </c>
      <c r="AP124" s="650" t="str">
        <v/>
      </c>
      <c r="AQ124" s="650" t="str">
        <v/>
      </c>
      <c r="AR124" s="650" t="str">
        <v/>
      </c>
      <c r="AS124" s="650" t="str">
        <v/>
      </c>
      <c r="AT124" s="650" t="str">
        <v/>
      </c>
      <c r="AU124" s="650" t="str">
        <v/>
      </c>
      <c r="AV124" s="650" t="str">
        <v/>
      </c>
      <c r="AW124" s="650" t="str">
        <v/>
      </c>
      <c r="AX124" s="650" t="str">
        <v/>
      </c>
      <c r="AY124" s="686" t="str">
        <v/>
      </c>
      <c r="AZ124" s="336"/>
      <c r="BA124" s="632"/>
      <c r="BB124" s="632"/>
      <c r="BC124" s="632"/>
      <c r="BD124" s="632"/>
      <c r="BE124" s="632"/>
      <c r="BF124" s="632"/>
      <c r="BG124" s="632"/>
      <c r="BH124" s="632"/>
      <c r="BI124" s="632"/>
      <c r="BJ124" s="632"/>
      <c r="BK124" s="632"/>
      <c r="BL124" s="632"/>
      <c r="BM124" s="632"/>
      <c r="BN124" s="632"/>
      <c r="BO124" s="632"/>
      <c r="BP124" s="632"/>
      <c r="BQ124" s="632"/>
      <c r="BR124" s="632"/>
      <c r="BS124" s="632"/>
      <c r="BT124" s="632"/>
      <c r="BU124" s="632"/>
      <c r="BV124" s="632"/>
      <c r="BW124" s="632"/>
      <c r="BX124" s="632"/>
      <c r="BY124" s="632"/>
      <c r="BZ124" s="632"/>
      <c r="CA124" s="632"/>
      <c r="CB124" s="632"/>
      <c r="CC124" s="632"/>
      <c r="CD124" s="632"/>
      <c r="CE124" s="632"/>
      <c r="CF124" s="632"/>
      <c r="CG124" s="632"/>
      <c r="CH124" s="632"/>
      <c r="CI124" s="632"/>
      <c r="CJ124" s="632"/>
      <c r="CK124" s="632"/>
      <c r="CL124" s="632"/>
      <c r="CM124" s="632"/>
      <c r="CN124" s="631"/>
    </row>
    <row r="125" spans="2:92" ht="15.75" x14ac:dyDescent="0.2">
      <c r="B125" s="610"/>
      <c r="C125" s="336"/>
      <c r="D125" s="611"/>
      <c r="E125" s="612"/>
      <c r="F125" s="612"/>
      <c r="G125" s="612"/>
      <c r="H125" s="611"/>
      <c r="I125" s="1010" t="s">
        <v>774</v>
      </c>
      <c r="J125" s="1011"/>
      <c r="K125" s="1011"/>
      <c r="L125" s="651">
        <f t="array" ref="L125:AY125">TRANSPOSE(OUT_Current_flow_rate)</f>
        <v>990.00019999999995</v>
      </c>
      <c r="M125" s="687">
        <v>104.1443</v>
      </c>
      <c r="N125" s="687">
        <v>21.109400000000001</v>
      </c>
      <c r="O125" s="687">
        <v>55.496900000000004</v>
      </c>
      <c r="P125" s="687">
        <v>15.479800000000001</v>
      </c>
      <c r="Q125" s="687">
        <v>11.9826</v>
      </c>
      <c r="R125" s="687">
        <v>144.458</v>
      </c>
      <c r="S125" s="687">
        <v>14.5</v>
      </c>
      <c r="T125" s="687" t="str">
        <v/>
      </c>
      <c r="U125" s="687" t="str">
        <v/>
      </c>
      <c r="V125" s="650" t="str">
        <v/>
      </c>
      <c r="W125" s="650" t="str">
        <v/>
      </c>
      <c r="X125" s="650" t="str">
        <v/>
      </c>
      <c r="Y125" s="650" t="str">
        <v/>
      </c>
      <c r="Z125" s="650" t="str">
        <v/>
      </c>
      <c r="AA125" s="650" t="str">
        <v/>
      </c>
      <c r="AB125" s="650" t="str">
        <v/>
      </c>
      <c r="AC125" s="650" t="str">
        <v/>
      </c>
      <c r="AD125" s="650" t="str">
        <v/>
      </c>
      <c r="AE125" s="650" t="str">
        <v/>
      </c>
      <c r="AF125" s="650" t="str">
        <v/>
      </c>
      <c r="AG125" s="650" t="str">
        <v/>
      </c>
      <c r="AH125" s="650" t="str">
        <v/>
      </c>
      <c r="AI125" s="650" t="str">
        <v/>
      </c>
      <c r="AJ125" s="650" t="str">
        <v/>
      </c>
      <c r="AK125" s="650" t="str">
        <v/>
      </c>
      <c r="AL125" s="650" t="str">
        <v/>
      </c>
      <c r="AM125" s="650" t="str">
        <v/>
      </c>
      <c r="AN125" s="650" t="str">
        <v/>
      </c>
      <c r="AO125" s="650" t="str">
        <v/>
      </c>
      <c r="AP125" s="650" t="str">
        <v/>
      </c>
      <c r="AQ125" s="650" t="str">
        <v/>
      </c>
      <c r="AR125" s="650" t="str">
        <v/>
      </c>
      <c r="AS125" s="650" t="str">
        <v/>
      </c>
      <c r="AT125" s="650" t="str">
        <v/>
      </c>
      <c r="AU125" s="650" t="str">
        <v/>
      </c>
      <c r="AV125" s="650" t="str">
        <v/>
      </c>
      <c r="AW125" s="650" t="str">
        <v/>
      </c>
      <c r="AX125" s="650" t="str">
        <v/>
      </c>
      <c r="AY125" s="686" t="str">
        <v/>
      </c>
      <c r="AZ125" s="336"/>
      <c r="BA125" s="632"/>
      <c r="BB125" s="632"/>
      <c r="BC125" s="632"/>
      <c r="BD125" s="632"/>
      <c r="BE125" s="632"/>
      <c r="BF125" s="632"/>
      <c r="BG125" s="632"/>
      <c r="BH125" s="632"/>
      <c r="BI125" s="632"/>
      <c r="BJ125" s="632"/>
      <c r="BK125" s="632"/>
      <c r="BL125" s="632"/>
      <c r="BM125" s="632"/>
      <c r="BN125" s="632"/>
      <c r="BO125" s="632"/>
      <c r="BP125" s="632"/>
      <c r="BQ125" s="632"/>
      <c r="BR125" s="632"/>
      <c r="BS125" s="632"/>
      <c r="BT125" s="632"/>
      <c r="BU125" s="632"/>
      <c r="BV125" s="632"/>
      <c r="BW125" s="632"/>
      <c r="BX125" s="632"/>
      <c r="BY125" s="632"/>
      <c r="BZ125" s="632"/>
      <c r="CA125" s="632"/>
      <c r="CB125" s="632"/>
      <c r="CC125" s="632"/>
      <c r="CD125" s="632"/>
      <c r="CE125" s="632"/>
      <c r="CF125" s="632"/>
      <c r="CG125" s="632"/>
      <c r="CH125" s="632"/>
      <c r="CI125" s="632"/>
      <c r="CJ125" s="632"/>
      <c r="CK125" s="632"/>
      <c r="CL125" s="632"/>
      <c r="CM125" s="632"/>
      <c r="CN125" s="631"/>
    </row>
    <row r="126" spans="2:92" ht="15.75" x14ac:dyDescent="0.2">
      <c r="B126" s="610"/>
      <c r="C126" s="336"/>
      <c r="D126" s="611"/>
      <c r="E126" s="612"/>
      <c r="F126" s="612"/>
      <c r="G126" s="612"/>
      <c r="H126" s="611"/>
      <c r="I126" s="1010" t="s">
        <v>801</v>
      </c>
      <c r="J126" s="1011"/>
      <c r="K126" s="1011"/>
      <c r="L126" s="651">
        <f t="array" ref="L126:AY126">TRANSPOSE(OUT_Volumetric_flow__m_3_h)</f>
        <v>1.3540000000000001</v>
      </c>
      <c r="M126" s="650">
        <v>8.6999999999999994E-2</v>
      </c>
      <c r="N126" s="650">
        <v>126.813</v>
      </c>
      <c r="O126" s="650">
        <v>9.2999999999999999E-2</v>
      </c>
      <c r="P126" s="650">
        <v>1.7999999999999999E-2</v>
      </c>
      <c r="Q126" s="650">
        <v>5.0000000000000001E-3</v>
      </c>
      <c r="R126" s="650">
        <v>0.13109999999999999</v>
      </c>
      <c r="S126" s="650">
        <v>6.0000000000000001E-3</v>
      </c>
      <c r="T126" s="650" t="str">
        <v/>
      </c>
      <c r="U126" s="650" t="str">
        <v/>
      </c>
      <c r="V126" s="650" t="str">
        <v/>
      </c>
      <c r="W126" s="650" t="str">
        <v/>
      </c>
      <c r="X126" s="650" t="str">
        <v/>
      </c>
      <c r="Y126" s="650" t="str">
        <v/>
      </c>
      <c r="Z126" s="650" t="str">
        <v/>
      </c>
      <c r="AA126" s="650" t="str">
        <v/>
      </c>
      <c r="AB126" s="650" t="str">
        <v/>
      </c>
      <c r="AC126" s="650" t="str">
        <v/>
      </c>
      <c r="AD126" s="650" t="str">
        <v/>
      </c>
      <c r="AE126" s="650" t="str">
        <v/>
      </c>
      <c r="AF126" s="650" t="str">
        <v/>
      </c>
      <c r="AG126" s="650" t="str">
        <v/>
      </c>
      <c r="AH126" s="650" t="str">
        <v/>
      </c>
      <c r="AI126" s="650" t="str">
        <v/>
      </c>
      <c r="AJ126" s="650" t="str">
        <v/>
      </c>
      <c r="AK126" s="650" t="str">
        <v/>
      </c>
      <c r="AL126" s="650" t="str">
        <v/>
      </c>
      <c r="AM126" s="650" t="str">
        <v/>
      </c>
      <c r="AN126" s="650" t="str">
        <v/>
      </c>
      <c r="AO126" s="650" t="str">
        <v/>
      </c>
      <c r="AP126" s="650" t="str">
        <v/>
      </c>
      <c r="AQ126" s="650" t="str">
        <v/>
      </c>
      <c r="AR126" s="650" t="str">
        <v/>
      </c>
      <c r="AS126" s="650" t="str">
        <v/>
      </c>
      <c r="AT126" s="650" t="str">
        <v/>
      </c>
      <c r="AU126" s="650" t="str">
        <v/>
      </c>
      <c r="AV126" s="650" t="str">
        <v/>
      </c>
      <c r="AW126" s="650" t="str">
        <v/>
      </c>
      <c r="AX126" s="650" t="str">
        <v/>
      </c>
      <c r="AY126" s="686" t="str">
        <v/>
      </c>
      <c r="AZ126" s="336"/>
      <c r="BA126" s="632"/>
      <c r="BB126" s="632"/>
      <c r="BC126" s="632"/>
      <c r="BD126" s="632"/>
      <c r="BE126" s="632"/>
      <c r="BF126" s="632"/>
      <c r="BG126" s="632"/>
      <c r="BH126" s="632"/>
      <c r="BI126" s="632"/>
      <c r="BJ126" s="632"/>
      <c r="BK126" s="632"/>
      <c r="BL126" s="632"/>
      <c r="BM126" s="632"/>
      <c r="BN126" s="632"/>
      <c r="BO126" s="632"/>
      <c r="BP126" s="632"/>
      <c r="BQ126" s="632"/>
      <c r="BR126" s="632"/>
      <c r="BS126" s="632"/>
      <c r="BT126" s="632"/>
      <c r="BU126" s="632"/>
      <c r="BV126" s="632"/>
      <c r="BW126" s="632"/>
      <c r="BX126" s="632"/>
      <c r="BY126" s="632"/>
      <c r="BZ126" s="632"/>
      <c r="CA126" s="632"/>
      <c r="CB126" s="632"/>
      <c r="CC126" s="632"/>
      <c r="CD126" s="632"/>
      <c r="CE126" s="632"/>
      <c r="CF126" s="632"/>
      <c r="CG126" s="632"/>
      <c r="CH126" s="632"/>
      <c r="CI126" s="632"/>
      <c r="CJ126" s="632"/>
      <c r="CK126" s="632"/>
      <c r="CL126" s="632"/>
      <c r="CM126" s="632"/>
      <c r="CN126" s="631"/>
    </row>
    <row r="127" spans="2:92" ht="15.75" x14ac:dyDescent="0.2">
      <c r="B127" s="610"/>
      <c r="C127" s="336"/>
      <c r="D127" s="611"/>
      <c r="E127" s="612"/>
      <c r="F127" s="612"/>
      <c r="G127" s="612"/>
      <c r="H127" s="611"/>
      <c r="I127" s="1014" t="s">
        <v>3</v>
      </c>
      <c r="J127" s="1015"/>
      <c r="K127" s="1015"/>
      <c r="L127" s="651">
        <f t="array" ref="L127:AY127">TRANSPOSE(OUT_Vapor_fraction)</f>
        <v>0</v>
      </c>
      <c r="M127" s="650">
        <v>0</v>
      </c>
      <c r="N127" s="650">
        <v>1</v>
      </c>
      <c r="O127" s="650">
        <v>0</v>
      </c>
      <c r="P127" s="650">
        <v>0</v>
      </c>
      <c r="Q127" s="650">
        <v>0</v>
      </c>
      <c r="R127" s="650">
        <v>0</v>
      </c>
      <c r="S127" s="650">
        <v>0</v>
      </c>
      <c r="T127" s="650" t="str">
        <v/>
      </c>
      <c r="U127" s="650" t="str">
        <v/>
      </c>
      <c r="V127" s="650" t="str">
        <v/>
      </c>
      <c r="W127" s="650" t="str">
        <v/>
      </c>
      <c r="X127" s="650" t="str">
        <v/>
      </c>
      <c r="Y127" s="650" t="str">
        <v/>
      </c>
      <c r="Z127" s="650" t="str">
        <v/>
      </c>
      <c r="AA127" s="650" t="str">
        <v/>
      </c>
      <c r="AB127" s="650" t="str">
        <v/>
      </c>
      <c r="AC127" s="650" t="str">
        <v/>
      </c>
      <c r="AD127" s="650" t="str">
        <v/>
      </c>
      <c r="AE127" s="650" t="str">
        <v/>
      </c>
      <c r="AF127" s="650" t="str">
        <v/>
      </c>
      <c r="AG127" s="650" t="str">
        <v/>
      </c>
      <c r="AH127" s="650" t="str">
        <v/>
      </c>
      <c r="AI127" s="650" t="str">
        <v/>
      </c>
      <c r="AJ127" s="650" t="str">
        <v/>
      </c>
      <c r="AK127" s="650" t="str">
        <v/>
      </c>
      <c r="AL127" s="650" t="str">
        <v/>
      </c>
      <c r="AM127" s="650" t="str">
        <v/>
      </c>
      <c r="AN127" s="650" t="str">
        <v/>
      </c>
      <c r="AO127" s="650" t="str">
        <v/>
      </c>
      <c r="AP127" s="650" t="str">
        <v/>
      </c>
      <c r="AQ127" s="650" t="str">
        <v/>
      </c>
      <c r="AR127" s="650" t="str">
        <v/>
      </c>
      <c r="AS127" s="650" t="str">
        <v/>
      </c>
      <c r="AT127" s="650" t="str">
        <v/>
      </c>
      <c r="AU127" s="650" t="str">
        <v/>
      </c>
      <c r="AV127" s="650" t="str">
        <v/>
      </c>
      <c r="AW127" s="650" t="str">
        <v/>
      </c>
      <c r="AX127" s="650" t="str">
        <v/>
      </c>
      <c r="AY127" s="686" t="str">
        <v/>
      </c>
      <c r="AZ127" s="336"/>
      <c r="BA127" s="632"/>
      <c r="BB127" s="632"/>
      <c r="BC127" s="632"/>
      <c r="BD127" s="632"/>
      <c r="BE127" s="632"/>
      <c r="BF127" s="632"/>
      <c r="BG127" s="632"/>
      <c r="BH127" s="632"/>
      <c r="BI127" s="632"/>
      <c r="BJ127" s="632"/>
      <c r="BK127" s="632"/>
      <c r="BL127" s="632"/>
      <c r="BM127" s="632"/>
      <c r="BN127" s="632"/>
      <c r="BO127" s="632"/>
      <c r="BP127" s="632"/>
      <c r="BQ127" s="632"/>
      <c r="BR127" s="632"/>
      <c r="BS127" s="632"/>
      <c r="BT127" s="632"/>
      <c r="BU127" s="632"/>
      <c r="BV127" s="632"/>
      <c r="BW127" s="632"/>
      <c r="BX127" s="632"/>
      <c r="BY127" s="632"/>
      <c r="BZ127" s="632"/>
      <c r="CA127" s="632"/>
      <c r="CB127" s="632"/>
      <c r="CC127" s="632"/>
      <c r="CD127" s="632"/>
      <c r="CE127" s="632"/>
      <c r="CF127" s="632"/>
      <c r="CG127" s="632"/>
      <c r="CH127" s="632"/>
      <c r="CI127" s="632"/>
      <c r="CJ127" s="632"/>
      <c r="CK127" s="632"/>
      <c r="CL127" s="632"/>
      <c r="CM127" s="632"/>
      <c r="CN127" s="631"/>
    </row>
    <row r="128" spans="2:92" ht="15.75" x14ac:dyDescent="0.2">
      <c r="B128" s="610"/>
      <c r="C128" s="336"/>
      <c r="D128" s="611"/>
      <c r="E128" s="612"/>
      <c r="F128" s="612"/>
      <c r="G128" s="612"/>
      <c r="H128" s="611"/>
      <c r="I128" s="1021" t="s">
        <v>799</v>
      </c>
      <c r="J128" s="1022"/>
      <c r="K128" s="1022"/>
      <c r="L128" s="651" t="str">
        <f t="array" ref="L128:AY128">TRANSPOSE(OUT_Non_polluted_1__polluted_0)</f>
        <v/>
      </c>
      <c r="M128" s="650" t="str">
        <v/>
      </c>
      <c r="N128" s="650">
        <v>0</v>
      </c>
      <c r="O128" s="650">
        <v>0</v>
      </c>
      <c r="P128" s="650">
        <v>0</v>
      </c>
      <c r="Q128" s="650">
        <v>0</v>
      </c>
      <c r="R128" s="650">
        <v>0</v>
      </c>
      <c r="S128" s="650">
        <v>0</v>
      </c>
      <c r="T128" s="650" t="str">
        <v/>
      </c>
      <c r="U128" s="650" t="str">
        <v/>
      </c>
      <c r="V128" s="650" t="str">
        <v/>
      </c>
      <c r="W128" s="650" t="str">
        <v/>
      </c>
      <c r="X128" s="650" t="str">
        <v/>
      </c>
      <c r="Y128" s="650" t="str">
        <v/>
      </c>
      <c r="Z128" s="650" t="str">
        <v/>
      </c>
      <c r="AA128" s="650" t="str">
        <v/>
      </c>
      <c r="AB128" s="650" t="str">
        <v/>
      </c>
      <c r="AC128" s="650" t="str">
        <v/>
      </c>
      <c r="AD128" s="650" t="str">
        <v/>
      </c>
      <c r="AE128" s="650" t="str">
        <v/>
      </c>
      <c r="AF128" s="650" t="str">
        <v/>
      </c>
      <c r="AG128" s="650" t="str">
        <v/>
      </c>
      <c r="AH128" s="650" t="str">
        <v/>
      </c>
      <c r="AI128" s="650" t="str">
        <v/>
      </c>
      <c r="AJ128" s="650" t="str">
        <v/>
      </c>
      <c r="AK128" s="650" t="str">
        <v/>
      </c>
      <c r="AL128" s="650" t="str">
        <v/>
      </c>
      <c r="AM128" s="650" t="str">
        <v/>
      </c>
      <c r="AN128" s="650" t="str">
        <v/>
      </c>
      <c r="AO128" s="650" t="str">
        <v/>
      </c>
      <c r="AP128" s="650" t="str">
        <v/>
      </c>
      <c r="AQ128" s="650" t="str">
        <v/>
      </c>
      <c r="AR128" s="650" t="str">
        <v/>
      </c>
      <c r="AS128" s="650" t="str">
        <v/>
      </c>
      <c r="AT128" s="650" t="str">
        <v/>
      </c>
      <c r="AU128" s="650" t="str">
        <v/>
      </c>
      <c r="AV128" s="650" t="str">
        <v/>
      </c>
      <c r="AW128" s="650" t="str">
        <v/>
      </c>
      <c r="AX128" s="650" t="str">
        <v/>
      </c>
      <c r="AY128" s="686" t="str">
        <v/>
      </c>
      <c r="AZ128" s="336"/>
      <c r="BA128" s="632"/>
      <c r="BB128" s="632"/>
      <c r="BC128" s="632"/>
      <c r="BD128" s="632"/>
      <c r="BE128" s="632"/>
      <c r="BF128" s="632"/>
      <c r="BG128" s="632"/>
      <c r="BH128" s="632"/>
      <c r="BI128" s="632"/>
      <c r="BJ128" s="632"/>
      <c r="BK128" s="632"/>
      <c r="BL128" s="632"/>
      <c r="BM128" s="632"/>
      <c r="BN128" s="632"/>
      <c r="BO128" s="632"/>
      <c r="BP128" s="632"/>
      <c r="BQ128" s="632"/>
      <c r="BR128" s="632"/>
      <c r="BS128" s="632"/>
      <c r="BT128" s="632"/>
      <c r="BU128" s="632"/>
      <c r="BV128" s="632"/>
      <c r="BW128" s="632"/>
      <c r="BX128" s="632"/>
      <c r="BY128" s="632"/>
      <c r="BZ128" s="632"/>
      <c r="CA128" s="632"/>
      <c r="CB128" s="632"/>
      <c r="CC128" s="632"/>
      <c r="CD128" s="632"/>
      <c r="CE128" s="632"/>
      <c r="CF128" s="632"/>
      <c r="CG128" s="632"/>
      <c r="CH128" s="632"/>
      <c r="CI128" s="632"/>
      <c r="CJ128" s="632"/>
      <c r="CK128" s="632"/>
      <c r="CL128" s="632"/>
      <c r="CM128" s="632"/>
      <c r="CN128" s="631"/>
    </row>
    <row r="129" spans="2:92" ht="16.5" thickBot="1" x14ac:dyDescent="0.25">
      <c r="B129" s="610"/>
      <c r="C129" s="336"/>
      <c r="D129" s="611"/>
      <c r="E129" s="612"/>
      <c r="F129" s="612"/>
      <c r="G129" s="612"/>
      <c r="H129" s="611"/>
      <c r="I129" s="1012" t="s">
        <v>804</v>
      </c>
      <c r="J129" s="1013"/>
      <c r="K129" s="1013"/>
      <c r="L129" s="685" t="str">
        <f t="array" ref="L129:AY129">TRANSPOSE(OUT_Hazardous_1__nonhazardous_0)</f>
        <v/>
      </c>
      <c r="M129" s="684" t="str">
        <v/>
      </c>
      <c r="N129" s="684">
        <v>0</v>
      </c>
      <c r="O129" s="684">
        <v>0</v>
      </c>
      <c r="P129" s="684">
        <v>0</v>
      </c>
      <c r="Q129" s="684">
        <v>1</v>
      </c>
      <c r="R129" s="684">
        <v>0</v>
      </c>
      <c r="S129" s="684">
        <v>0</v>
      </c>
      <c r="T129" s="684" t="str">
        <v/>
      </c>
      <c r="U129" s="684" t="str">
        <v/>
      </c>
      <c r="V129" s="684" t="str">
        <v/>
      </c>
      <c r="W129" s="684" t="str">
        <v/>
      </c>
      <c r="X129" s="684" t="str">
        <v/>
      </c>
      <c r="Y129" s="684" t="str">
        <v/>
      </c>
      <c r="Z129" s="684" t="str">
        <v/>
      </c>
      <c r="AA129" s="684" t="str">
        <v/>
      </c>
      <c r="AB129" s="684" t="str">
        <v/>
      </c>
      <c r="AC129" s="684" t="str">
        <v/>
      </c>
      <c r="AD129" s="684" t="str">
        <v/>
      </c>
      <c r="AE129" s="684" t="str">
        <v/>
      </c>
      <c r="AF129" s="684" t="str">
        <v/>
      </c>
      <c r="AG129" s="684" t="str">
        <v/>
      </c>
      <c r="AH129" s="684" t="str">
        <v/>
      </c>
      <c r="AI129" s="684" t="str">
        <v/>
      </c>
      <c r="AJ129" s="684" t="str">
        <v/>
      </c>
      <c r="AK129" s="684" t="str">
        <v/>
      </c>
      <c r="AL129" s="684" t="str">
        <v/>
      </c>
      <c r="AM129" s="684" t="str">
        <v/>
      </c>
      <c r="AN129" s="684" t="str">
        <v/>
      </c>
      <c r="AO129" s="684" t="str">
        <v/>
      </c>
      <c r="AP129" s="684" t="str">
        <v/>
      </c>
      <c r="AQ129" s="684" t="str">
        <v/>
      </c>
      <c r="AR129" s="684" t="str">
        <v/>
      </c>
      <c r="AS129" s="684" t="str">
        <v/>
      </c>
      <c r="AT129" s="684" t="str">
        <v/>
      </c>
      <c r="AU129" s="684" t="str">
        <v/>
      </c>
      <c r="AV129" s="684" t="str">
        <v/>
      </c>
      <c r="AW129" s="684" t="str">
        <v/>
      </c>
      <c r="AX129" s="684" t="str">
        <v/>
      </c>
      <c r="AY129" s="683" t="str">
        <v/>
      </c>
      <c r="AZ129" s="336"/>
      <c r="BA129" s="632"/>
      <c r="BB129" s="632"/>
      <c r="BC129" s="632"/>
      <c r="BD129" s="632"/>
      <c r="BE129" s="632"/>
      <c r="BF129" s="632"/>
      <c r="BG129" s="632"/>
      <c r="BH129" s="632"/>
      <c r="BI129" s="632"/>
      <c r="BJ129" s="632"/>
      <c r="BK129" s="632"/>
      <c r="BL129" s="632"/>
      <c r="BM129" s="632"/>
      <c r="BN129" s="632"/>
      <c r="BO129" s="632"/>
      <c r="BP129" s="632"/>
      <c r="BQ129" s="632"/>
      <c r="BR129" s="632"/>
      <c r="BS129" s="632"/>
      <c r="BT129" s="632"/>
      <c r="BU129" s="632"/>
      <c r="BV129" s="632"/>
      <c r="BW129" s="632"/>
      <c r="BX129" s="632"/>
      <c r="BY129" s="632"/>
      <c r="BZ129" s="632"/>
      <c r="CA129" s="632"/>
      <c r="CB129" s="632"/>
      <c r="CC129" s="632"/>
      <c r="CD129" s="632"/>
      <c r="CE129" s="632"/>
      <c r="CF129" s="632"/>
      <c r="CG129" s="632"/>
      <c r="CH129" s="632"/>
      <c r="CI129" s="632"/>
      <c r="CJ129" s="632"/>
      <c r="CK129" s="632"/>
      <c r="CL129" s="632"/>
      <c r="CM129" s="632"/>
      <c r="CN129" s="631"/>
    </row>
    <row r="130" spans="2:92" ht="31.5" x14ac:dyDescent="0.2">
      <c r="B130" s="610"/>
      <c r="C130" s="336"/>
      <c r="D130" s="611"/>
      <c r="E130" s="612"/>
      <c r="F130" s="612"/>
      <c r="G130" s="612"/>
      <c r="H130" s="613" t="s">
        <v>768</v>
      </c>
      <c r="I130" s="682" t="s">
        <v>65</v>
      </c>
      <c r="J130" s="681" t="s">
        <v>1353</v>
      </c>
      <c r="K130" s="680" t="s">
        <v>1339</v>
      </c>
      <c r="L130" s="679" t="s">
        <v>1340</v>
      </c>
      <c r="M130" s="679" t="s">
        <v>1340</v>
      </c>
      <c r="N130" s="679" t="s">
        <v>1340</v>
      </c>
      <c r="O130" s="679" t="s">
        <v>1340</v>
      </c>
      <c r="P130" s="679" t="s">
        <v>1340</v>
      </c>
      <c r="Q130" s="679" t="s">
        <v>1340</v>
      </c>
      <c r="R130" s="679" t="s">
        <v>1340</v>
      </c>
      <c r="S130" s="679" t="s">
        <v>1340</v>
      </c>
      <c r="T130" s="679" t="s">
        <v>1340</v>
      </c>
      <c r="U130" s="679" t="s">
        <v>1340</v>
      </c>
      <c r="V130" s="679" t="s">
        <v>1340</v>
      </c>
      <c r="W130" s="679" t="s">
        <v>1340</v>
      </c>
      <c r="X130" s="679" t="s">
        <v>1340</v>
      </c>
      <c r="Y130" s="679" t="s">
        <v>1340</v>
      </c>
      <c r="Z130" s="679" t="s">
        <v>1340</v>
      </c>
      <c r="AA130" s="679" t="s">
        <v>1340</v>
      </c>
      <c r="AB130" s="679" t="s">
        <v>1340</v>
      </c>
      <c r="AC130" s="679" t="s">
        <v>1340</v>
      </c>
      <c r="AD130" s="679" t="s">
        <v>1340</v>
      </c>
      <c r="AE130" s="679" t="s">
        <v>1340</v>
      </c>
      <c r="AF130" s="679" t="s">
        <v>1340</v>
      </c>
      <c r="AG130" s="679" t="s">
        <v>1340</v>
      </c>
      <c r="AH130" s="679" t="s">
        <v>1340</v>
      </c>
      <c r="AI130" s="679" t="s">
        <v>1340</v>
      </c>
      <c r="AJ130" s="679" t="s">
        <v>1340</v>
      </c>
      <c r="AK130" s="679" t="s">
        <v>1340</v>
      </c>
      <c r="AL130" s="679" t="s">
        <v>1340</v>
      </c>
      <c r="AM130" s="679" t="s">
        <v>1340</v>
      </c>
      <c r="AN130" s="679" t="s">
        <v>1340</v>
      </c>
      <c r="AO130" s="679" t="s">
        <v>1340</v>
      </c>
      <c r="AP130" s="679" t="s">
        <v>1340</v>
      </c>
      <c r="AQ130" s="679" t="s">
        <v>1340</v>
      </c>
      <c r="AR130" s="679" t="s">
        <v>1340</v>
      </c>
      <c r="AS130" s="679" t="s">
        <v>1340</v>
      </c>
      <c r="AT130" s="679" t="s">
        <v>1340</v>
      </c>
      <c r="AU130" s="679" t="s">
        <v>1340</v>
      </c>
      <c r="AV130" s="679" t="s">
        <v>1340</v>
      </c>
      <c r="AW130" s="679" t="s">
        <v>1340</v>
      </c>
      <c r="AX130" s="679" t="s">
        <v>1340</v>
      </c>
      <c r="AY130" s="678" t="s">
        <v>1340</v>
      </c>
      <c r="AZ130" s="336"/>
      <c r="BA130" s="632"/>
      <c r="BB130" s="632"/>
      <c r="BC130" s="632"/>
      <c r="BD130" s="632"/>
      <c r="BE130" s="632"/>
      <c r="BF130" s="632"/>
      <c r="BG130" s="632"/>
      <c r="BH130" s="632"/>
      <c r="BI130" s="632"/>
      <c r="BJ130" s="632"/>
      <c r="BK130" s="632"/>
      <c r="BL130" s="632"/>
      <c r="BM130" s="632"/>
      <c r="BN130" s="632"/>
      <c r="BO130" s="632"/>
      <c r="BP130" s="632"/>
      <c r="BQ130" s="632"/>
      <c r="BR130" s="632"/>
      <c r="BS130" s="632"/>
      <c r="BT130" s="632"/>
      <c r="BU130" s="632"/>
      <c r="BV130" s="632"/>
      <c r="BW130" s="632"/>
      <c r="BX130" s="632"/>
      <c r="BY130" s="632"/>
      <c r="BZ130" s="632"/>
      <c r="CA130" s="632"/>
      <c r="CB130" s="632"/>
      <c r="CC130" s="632"/>
      <c r="CD130" s="632"/>
      <c r="CE130" s="632"/>
      <c r="CF130" s="632"/>
      <c r="CG130" s="632"/>
      <c r="CH130" s="632"/>
      <c r="CI130" s="632"/>
      <c r="CJ130" s="632"/>
      <c r="CK130" s="632"/>
      <c r="CL130" s="632"/>
      <c r="CM130" s="632"/>
      <c r="CN130" s="631"/>
    </row>
    <row r="131" spans="2:92" ht="15.75" x14ac:dyDescent="0.2">
      <c r="B131" s="610"/>
      <c r="C131" s="336"/>
      <c r="D131" s="611"/>
      <c r="E131" s="612"/>
      <c r="F131" s="612"/>
      <c r="G131" s="612"/>
      <c r="H131" s="618">
        <f>'I. Stream &amp; Compound Data'!F262</f>
        <v>1</v>
      </c>
      <c r="I131" s="677" t="str">
        <f>IF('I. Stream &amp; Compound Data'!G262&lt;&gt;"",'I. Stream &amp; Compound Data'!G262,"")</f>
        <v>FAME (Methyl oleate)</v>
      </c>
      <c r="J131" s="676">
        <f>IF('I. Stream &amp; Compound Data'!BH262="","",'I. Stream &amp; Compound Data'!BH262)</f>
        <v>870.20625889407654</v>
      </c>
      <c r="K131" s="652">
        <f>IF('I. Stream &amp; Compound Data'!G262="","",IF(OR('I. Stream &amp; Compound Data'!U262=1,'I. Stream &amp; Compound Data'!V262=1,'I. Stream &amp; Compound Data'!AY262&lt;25),0,1))</f>
        <v>0</v>
      </c>
      <c r="L131" s="651">
        <f>IF(OR(L$122="",I131=""),"",'I. Stream &amp; Compound Data'!H186/$J131*(1-L$127)*(1-L$123)*$K131)</f>
        <v>0</v>
      </c>
      <c r="M131" s="651">
        <f>IF(OR(M$122="",I131=""),"",'I. Stream &amp; Compound Data'!K186/$J131*(1-M$127)*(1-M$123)*$K131)</f>
        <v>0</v>
      </c>
      <c r="N131" s="651">
        <f>IF(OR(N$122="",I131=""),"",'I. Stream &amp; Compound Data'!N186/$J131*(1-N$127)*(1-N$123)*$K131)</f>
        <v>0</v>
      </c>
      <c r="O131" s="651">
        <f>IF(OR(O$122="",I131=""),"",'I. Stream &amp; Compound Data'!Q186/$J131*(1-O$127)*(1-O$123)*$K131)</f>
        <v>0</v>
      </c>
      <c r="P131" s="651">
        <f>IF(OR(P$122="",I131=""),"",'I. Stream &amp; Compound Data'!T186/$J131*(1-P$127)*(1-P$123)*$K131)</f>
        <v>0</v>
      </c>
      <c r="Q131" s="651">
        <f>IF(OR(Q$122="",I131=""),"",'I. Stream &amp; Compound Data'!W186/$J131*(1-Q$127)*(1-Q$123)*$K131)</f>
        <v>0</v>
      </c>
      <c r="R131" s="651">
        <f>IF(OR(R$122="",I131=""),"",'I. Stream &amp; Compound Data'!Z186/$J131*(1-R$127)*(1-R$123)*$K131)</f>
        <v>0</v>
      </c>
      <c r="S131" s="651">
        <f>IF(OR(S$122="",I131=""),"",'I. Stream &amp; Compound Data'!AC186/$J131*(1-S$127)*(1-S$123)*$K131)</f>
        <v>0</v>
      </c>
      <c r="T131" s="651" t="str">
        <f>IF(OR(T$122="",I131=""),"",'I. Stream &amp; Compound Data'!AF186/$J131*(1-T$127)*(1-T$123)*$K131)</f>
        <v/>
      </c>
      <c r="U131" s="651" t="str">
        <f>IF(OR(U$122="",$I131=""),"",'I. Stream &amp; Compound Data'!AI186/$J131*(1-U$127)*(1-U$123)*$K131)</f>
        <v/>
      </c>
      <c r="V131" s="651" t="str">
        <f>IF(OR(V$122="",$I131=""),"",'I. Stream &amp; Compound Data'!AL186/$J131*(1-V$127)*(1-V$123)*$K131)</f>
        <v/>
      </c>
      <c r="W131" s="651" t="str">
        <f>IF(OR(W$122="",$I131=""),"",'I. Stream &amp; Compound Data'!AO186/$J131*(1-W$127)*(1-W$123)*$K131)</f>
        <v/>
      </c>
      <c r="X131" s="651" t="str">
        <f>IF(OR(X$122="",$I131=""),"",'I. Stream &amp; Compound Data'!AR186/$J131*(1-X$127)*(1-X$123)*$K131)</f>
        <v/>
      </c>
      <c r="Y131" s="651" t="str">
        <f>IF(OR(Y$122="",$I131=""),"",'I. Stream &amp; Compound Data'!AU186/$J131*(1-Y$127)*(1-Y$123)*$K131)</f>
        <v/>
      </c>
      <c r="Z131" s="651" t="str">
        <f>IF(OR(Z$122="",$I131=""),"",'I. Stream &amp; Compound Data'!AX186/$J131*(1-Z$127)*(1-Z$123)*$K131)</f>
        <v/>
      </c>
      <c r="AA131" s="651" t="str">
        <f>IF(OR(AA$122="",$I131=""),"",'I. Stream &amp; Compound Data'!BA186/$J131*(1-AA$127)*(1-AA$123)*$K131)</f>
        <v/>
      </c>
      <c r="AB131" s="651" t="str">
        <f>IF(OR(AB$122="",$I131=""),"",'I. Stream &amp; Compound Data'!BD186/$J131*(1-AB$127)*(1-AB$123)*$K131)</f>
        <v/>
      </c>
      <c r="AC131" s="651" t="str">
        <f>IF(OR(AC$122="",$I131=""),"",'I. Stream &amp; Compound Data'!BG186/$J131*(1-AC$127)*(1-AC$123)*$K131)</f>
        <v/>
      </c>
      <c r="AD131" s="651" t="str">
        <f>IF(OR(AD$122="",$I131=""),"",'I. Stream &amp; Compound Data'!BJ186/$J131*(1-AD$127)*(1-AD$123)*$K131)</f>
        <v/>
      </c>
      <c r="AE131" s="651" t="str">
        <f>IF(OR(AE$122="",$I131=""),"",'I. Stream &amp; Compound Data'!BM186/$J131*(1-AE$127)*(1-AE$123)*$K131)</f>
        <v/>
      </c>
      <c r="AF131" s="651" t="str">
        <f>IF(OR(AF$122="",$I131=""),"",'I. Stream &amp; Compound Data'!BP186/$J131*(1-AF$127)*(1-AF$123)*$K131)</f>
        <v/>
      </c>
      <c r="AG131" s="651" t="str">
        <f>IF(OR(AG$122="",$I131=""),"",'I. Stream &amp; Compound Data'!BS186/$J131*(1-AG$127)*(1-AG$123)*$K131)</f>
        <v/>
      </c>
      <c r="AH131" s="651" t="str">
        <f>IF(OR(AH$122="",$I131=""),"",'I. Stream &amp; Compound Data'!BV186/$J131*(1-AH$127)*(1-AH$123)*$K131)</f>
        <v/>
      </c>
      <c r="AI131" s="651" t="str">
        <f>IF(OR(AI$122="",$I131=""),"",'I. Stream &amp; Compound Data'!BY186/$J131*(1-AI$127)*(1-AI$123)*$K131)</f>
        <v/>
      </c>
      <c r="AJ131" s="651" t="str">
        <f>IF(OR(AJ$122="",$I131=""),"",'I. Stream &amp; Compound Data'!CB186/$J131*(1-AJ$127)*(1-AJ$123)*$K131)</f>
        <v/>
      </c>
      <c r="AK131" s="651" t="str">
        <f>IF(OR(AK$122="",$I131=""),"",'I. Stream &amp; Compound Data'!CE186/$J131*(1-AK$127)*(1-AK$123)*$K131)</f>
        <v/>
      </c>
      <c r="AL131" s="651" t="str">
        <f>IF(OR(AL$122="",$I131=""),"",'I. Stream &amp; Compound Data'!CH186/$J131*(1-AL$127)*(1-AL$123)*$K131)</f>
        <v/>
      </c>
      <c r="AM131" s="651" t="str">
        <f>IF(OR(AM$122="",$I131=""),"",'I. Stream &amp; Compound Data'!CK186/$J131*(1-AM$127)*(1-AM$123)*$K131)</f>
        <v/>
      </c>
      <c r="AN131" s="651" t="str">
        <f>IF(OR(AN$122="",$I131=""),"",'I. Stream &amp; Compound Data'!CN186/$J131*(1-AN$127)*(1-AN$123)*$K131)</f>
        <v/>
      </c>
      <c r="AO131" s="651" t="str">
        <f>IF(OR(AO$122="",$I131=""),"",'I. Stream &amp; Compound Data'!CQ186/$J131*(1-AO$127)*(1-AO$123)*$K131)</f>
        <v/>
      </c>
      <c r="AP131" s="651" t="str">
        <f>IF(OR(AP$122="",$I131=""),"",'I. Stream &amp; Compound Data'!CT186/$J131*(1-AP$127)*(1-AP$123)*$K131)</f>
        <v/>
      </c>
      <c r="AQ131" s="651" t="str">
        <f>IF(OR(AQ$122="",$I131=""),"",'I. Stream &amp; Compound Data'!CW186/$J131*(1-AQ$127)*(1-AQ$123)*$K131)</f>
        <v/>
      </c>
      <c r="AR131" s="651" t="str">
        <f>IF(OR(AR$122="",$I131=""),"",'I. Stream &amp; Compound Data'!CZ186/$J131*(1-AR$127)*(1-AR$123)*$K131)</f>
        <v/>
      </c>
      <c r="AS131" s="651" t="str">
        <f>IF(OR(AS$122="",$I131=""),"",'I. Stream &amp; Compound Data'!DC186/$J131*(1-AS$127)*(1-AS$123)*$K131)</f>
        <v/>
      </c>
      <c r="AT131" s="651" t="str">
        <f>IF(OR(AT$122="",$I131=""),"",'I. Stream &amp; Compound Data'!DF186/$J131*(1-AT$127)*(1-AT$123)*$K131)</f>
        <v/>
      </c>
      <c r="AU131" s="651" t="str">
        <f>IF(OR(AU$122="",$I131=""),"",'I. Stream &amp; Compound Data'!DI186/$J131*(1-AU$127)*(1-AU$123)*$K131)</f>
        <v/>
      </c>
      <c r="AV131" s="651" t="str">
        <f>IF(OR(AV$122="",$I131=""),"",'I. Stream &amp; Compound Data'!DL186/$J131*(1-AV$127)*(1-AV$123)*$K131)</f>
        <v/>
      </c>
      <c r="AW131" s="651" t="str">
        <f>IF(OR(AW$122="",$I131=""),"",'I. Stream &amp; Compound Data'!DO186/$J131*(1-AW$127)*(1-AW$123)*$K131)</f>
        <v/>
      </c>
      <c r="AX131" s="651" t="str">
        <f>IF(OR(AX$122="",$I131=""),"",'I. Stream &amp; Compound Data'!DR186/$J131*(1-AX$127)*(1-AX$123)*$K131)</f>
        <v/>
      </c>
      <c r="AY131" s="667" t="str">
        <f>IF(OR(AY$122="",$I131=""),"",'I. Stream &amp; Compound Data'!DU186/$J131*(1-AY$127)*(1-AY$123)*$K131)</f>
        <v/>
      </c>
      <c r="AZ131" s="336"/>
      <c r="BA131" s="632"/>
      <c r="BB131" s="632"/>
      <c r="BC131" s="632"/>
      <c r="BD131" s="632"/>
      <c r="BE131" s="632"/>
      <c r="BF131" s="632"/>
      <c r="BG131" s="632"/>
      <c r="BH131" s="632"/>
      <c r="BI131" s="632"/>
      <c r="BJ131" s="632"/>
      <c r="BK131" s="632"/>
      <c r="BL131" s="632"/>
      <c r="BM131" s="632"/>
      <c r="BN131" s="632"/>
      <c r="BO131" s="632"/>
      <c r="BP131" s="632"/>
      <c r="BQ131" s="632"/>
      <c r="BR131" s="632"/>
      <c r="BS131" s="632"/>
      <c r="BT131" s="632"/>
      <c r="BU131" s="632"/>
      <c r="BV131" s="632"/>
      <c r="BW131" s="632"/>
      <c r="BX131" s="632"/>
      <c r="BY131" s="632"/>
      <c r="BZ131" s="632"/>
      <c r="CA131" s="632"/>
      <c r="CB131" s="632"/>
      <c r="CC131" s="632"/>
      <c r="CD131" s="632"/>
      <c r="CE131" s="632"/>
      <c r="CF131" s="632"/>
      <c r="CG131" s="632"/>
      <c r="CH131" s="632"/>
      <c r="CI131" s="632"/>
      <c r="CJ131" s="632"/>
      <c r="CK131" s="632"/>
      <c r="CL131" s="632"/>
      <c r="CM131" s="632"/>
      <c r="CN131" s="631"/>
    </row>
    <row r="132" spans="2:92" ht="15.75" x14ac:dyDescent="0.2">
      <c r="B132" s="610"/>
      <c r="C132" s="336"/>
      <c r="D132" s="611"/>
      <c r="E132" s="612"/>
      <c r="F132" s="612"/>
      <c r="G132" s="612"/>
      <c r="H132" s="618">
        <f>'I. Stream &amp; Compound Data'!F263</f>
        <v>2</v>
      </c>
      <c r="I132" s="677" t="str">
        <f>IF('I. Stream &amp; Compound Data'!G263&lt;&gt;"",'I. Stream &amp; Compound Data'!G263,"")</f>
        <v>Glycerol</v>
      </c>
      <c r="J132" s="676">
        <f>IF('I. Stream &amp; Compound Data'!BH263="","",'I. Stream &amp; Compound Data'!BH263)</f>
        <v>1258.0653430189839</v>
      </c>
      <c r="K132" s="652">
        <f>IF('I. Stream &amp; Compound Data'!G263="","",IF(OR('I. Stream &amp; Compound Data'!U263=1,'I. Stream &amp; Compound Data'!V263=1,'I. Stream &amp; Compound Data'!AY263&lt;25),0,1))</f>
        <v>0</v>
      </c>
      <c r="L132" s="651">
        <f>IF(OR(I132="",L$122=""),"",'I. Stream &amp; Compound Data'!H187/$J132*(1-L$127)*(1-L$123)*$K132)</f>
        <v>0</v>
      </c>
      <c r="M132" s="651">
        <f>IF(OR(J132="",M$122=""),"",'I. Stream &amp; Compound Data'!K187/$J132*(1-M$127)*(1-M$123)*$K132)</f>
        <v>0</v>
      </c>
      <c r="N132" s="651">
        <f>IF(OR(K132="",N$122=""),"",'I. Stream &amp; Compound Data'!N187/$J132*(1-N$127)*(1-N$123)*$K132)</f>
        <v>0</v>
      </c>
      <c r="O132" s="651">
        <f>IF(OR(L132="",O$122=""),"",'I. Stream &amp; Compound Data'!Q187/$J132*(1-O$127)*(1-O$123)*$K132)</f>
        <v>0</v>
      </c>
      <c r="P132" s="651">
        <f>IF(OR(M132="",P$122=""),"",'I. Stream &amp; Compound Data'!T187/$J132*(1-P$127)*(1-P$123)*$K132)</f>
        <v>0</v>
      </c>
      <c r="Q132" s="651">
        <f>IF(OR(N132="",Q$122=""),"",'I. Stream &amp; Compound Data'!W187/$J132*(1-Q$127)*(1-Q$123)*$K132)</f>
        <v>0</v>
      </c>
      <c r="R132" s="651">
        <f>IF(OR(O132="",R$122=""),"",'I. Stream &amp; Compound Data'!Z187/$J132*(1-R$127)*(1-R$123)*$K132)</f>
        <v>0</v>
      </c>
      <c r="S132" s="651">
        <f>IF(OR(P132="",S$122=""),"",'I. Stream &amp; Compound Data'!AC187/$J132*(1-S$127)*(1-S$123)*$K132)</f>
        <v>0</v>
      </c>
      <c r="T132" s="651" t="str">
        <f>IF(OR(Q132="",T$122=""),"",'I. Stream &amp; Compound Data'!AF187/$J132*(1-T$127)*(1-T$123)*$K132)</f>
        <v/>
      </c>
      <c r="U132" s="651" t="str">
        <f>IF(OR(U$122="",$I132=""),"",'I. Stream &amp; Compound Data'!AI187/$J132*(1-U$127)*(1-U$123)*$K132)</f>
        <v/>
      </c>
      <c r="V132" s="651" t="str">
        <f>IF(OR(V$122="",$I132=""),"",'I. Stream &amp; Compound Data'!AL187/$J132*(1-V$127)*(1-V$123)*$K132)</f>
        <v/>
      </c>
      <c r="W132" s="651" t="str">
        <f>IF(OR(W$122="",$I132=""),"",'I. Stream &amp; Compound Data'!AO187/$J132*(1-W$127)*(1-W$123)*$K132)</f>
        <v/>
      </c>
      <c r="X132" s="651" t="str">
        <f>IF(OR(X$122="",$I132=""),"",'I. Stream &amp; Compound Data'!AR187/$J132*(1-X$127)*(1-X$123)*$K132)</f>
        <v/>
      </c>
      <c r="Y132" s="651" t="str">
        <f>IF(OR(Y$122="",$I132=""),"",'I. Stream &amp; Compound Data'!AU187/$J132*(1-Y$127)*(1-Y$123)*$K132)</f>
        <v/>
      </c>
      <c r="Z132" s="651" t="str">
        <f>IF(OR(Z$122="",$I132=""),"",'I. Stream &amp; Compound Data'!AX187/$J132*(1-Z$127)*(1-Z$123)*$K132)</f>
        <v/>
      </c>
      <c r="AA132" s="651" t="str">
        <f>IF(OR(AA$122="",$I132=""),"",'I. Stream &amp; Compound Data'!BA187/$J132*(1-AA$127)*(1-AA$123)*$K132)</f>
        <v/>
      </c>
      <c r="AB132" s="651" t="str">
        <f>IF(OR(AB$122="",$I132=""),"",'I. Stream &amp; Compound Data'!BD187/$J132*(1-AB$127)*(1-AB$123)*$K132)</f>
        <v/>
      </c>
      <c r="AC132" s="651" t="str">
        <f>IF(OR(AC$122="",$I132=""),"",'I. Stream &amp; Compound Data'!BG187/$J132*(1-AC$127)*(1-AC$123)*$K132)</f>
        <v/>
      </c>
      <c r="AD132" s="651" t="str">
        <f>IF(OR(AD$122="",$I132=""),"",'I. Stream &amp; Compound Data'!BJ187/$J132*(1-AD$127)*(1-AD$123)*$K132)</f>
        <v/>
      </c>
      <c r="AE132" s="651" t="str">
        <f>IF(OR(AE$122="",$I132=""),"",'I. Stream &amp; Compound Data'!BM187/$J132*(1-AE$127)*(1-AE$123)*$K132)</f>
        <v/>
      </c>
      <c r="AF132" s="651" t="str">
        <f>IF(OR(AF$122="",$I132=""),"",'I. Stream &amp; Compound Data'!BP187/$J132*(1-AF$127)*(1-AF$123)*$K132)</f>
        <v/>
      </c>
      <c r="AG132" s="651" t="str">
        <f>IF(OR(AG$122="",$I132=""),"",'I. Stream &amp; Compound Data'!BS187/$J132*(1-AG$127)*(1-AG$123)*$K132)</f>
        <v/>
      </c>
      <c r="AH132" s="651" t="str">
        <f>IF(OR(AH$122="",$I132=""),"",'I. Stream &amp; Compound Data'!BV187/$J132*(1-AH$127)*(1-AH$123)*$K132)</f>
        <v/>
      </c>
      <c r="AI132" s="651" t="str">
        <f>IF(OR(AI$122="",$I132=""),"",'I. Stream &amp; Compound Data'!BY187/$J132*(1-AI$127)*(1-AI$123)*$K132)</f>
        <v/>
      </c>
      <c r="AJ132" s="651" t="str">
        <f>IF(OR(AJ$122="",$I132=""),"",'I. Stream &amp; Compound Data'!CB187/$J132*(1-AJ$127)*(1-AJ$123)*$K132)</f>
        <v/>
      </c>
      <c r="AK132" s="651" t="str">
        <f>IF(OR(AK$122="",$I132=""),"",'I. Stream &amp; Compound Data'!CE187/$J132*(1-AK$127)*(1-AK$123)*$K132)</f>
        <v/>
      </c>
      <c r="AL132" s="651" t="str">
        <f>IF(OR(AL$122="",$I132=""),"",'I. Stream &amp; Compound Data'!CH187/$J132*(1-AL$127)*(1-AL$123)*$K132)</f>
        <v/>
      </c>
      <c r="AM132" s="651" t="str">
        <f>IF(OR(AM$122="",$I132=""),"",'I. Stream &amp; Compound Data'!CK187/$J132*(1-AM$127)*(1-AM$123)*$K132)</f>
        <v/>
      </c>
      <c r="AN132" s="651" t="str">
        <f>IF(OR(AN$122="",$I132=""),"",'I. Stream &amp; Compound Data'!CN187/$J132*(1-AN$127)*(1-AN$123)*$K132)</f>
        <v/>
      </c>
      <c r="AO132" s="651" t="str">
        <f>IF(OR(AO$122="",$I132=""),"",'I. Stream &amp; Compound Data'!CQ187/$J132*(1-AO$127)*(1-AO$123)*$K132)</f>
        <v/>
      </c>
      <c r="AP132" s="651" t="str">
        <f>IF(OR(AP$122="",$I132=""),"",'I. Stream &amp; Compound Data'!CT187/$J132*(1-AP$127)*(1-AP$123)*$K132)</f>
        <v/>
      </c>
      <c r="AQ132" s="651" t="str">
        <f>IF(OR(AQ$122="",$I132=""),"",'I. Stream &amp; Compound Data'!CW187/$J132*(1-AQ$127)*(1-AQ$123)*$K132)</f>
        <v/>
      </c>
      <c r="AR132" s="651" t="str">
        <f>IF(OR(AR$122="",$I132=""),"",'I. Stream &amp; Compound Data'!CZ187/$J132*(1-AR$127)*(1-AR$123)*$K132)</f>
        <v/>
      </c>
      <c r="AS132" s="651" t="str">
        <f>IF(OR(AS$122="",$I132=""),"",'I. Stream &amp; Compound Data'!DC187/$J132*(1-AS$127)*(1-AS$123)*$K132)</f>
        <v/>
      </c>
      <c r="AT132" s="651" t="str">
        <f>IF(OR(AT$122="",$I132=""),"",'I. Stream &amp; Compound Data'!DF187/$J132*(1-AT$127)*(1-AT$123)*$K132)</f>
        <v/>
      </c>
      <c r="AU132" s="651" t="str">
        <f>IF(OR(AU$122="",$I132=""),"",'I. Stream &amp; Compound Data'!DI187/$J132*(1-AU$127)*(1-AU$123)*$K132)</f>
        <v/>
      </c>
      <c r="AV132" s="651" t="str">
        <f>IF(OR(AV$122="",$I132=""),"",'I. Stream &amp; Compound Data'!DL187/$J132*(1-AV$127)*(1-AV$123)*$K132)</f>
        <v/>
      </c>
      <c r="AW132" s="651" t="str">
        <f>IF(OR(AW$122="",$I132=""),"",'I. Stream &amp; Compound Data'!DO187/$J132*(1-AW$127)*(1-AW$123)*$K132)</f>
        <v/>
      </c>
      <c r="AX132" s="651" t="str">
        <f>IF(OR(AX$122="",$I132=""),"",'I. Stream &amp; Compound Data'!DR187/$J132*(1-AX$127)*(1-AX$123)*$K132)</f>
        <v/>
      </c>
      <c r="AY132" s="667" t="str">
        <f>IF(OR(AY$122="",$I132=""),"",'I. Stream &amp; Compound Data'!DU187/$J132*(1-AY$127)*(1-AY$123)*$K132)</f>
        <v/>
      </c>
      <c r="AZ132" s="336"/>
      <c r="BA132" s="632"/>
      <c r="BB132" s="632"/>
      <c r="BC132" s="632"/>
      <c r="BD132" s="632"/>
      <c r="BE132" s="632"/>
      <c r="BF132" s="632"/>
      <c r="BG132" s="632"/>
      <c r="BH132" s="632"/>
      <c r="BI132" s="632"/>
      <c r="BJ132" s="632"/>
      <c r="BK132" s="632"/>
      <c r="BL132" s="632"/>
      <c r="BM132" s="632"/>
      <c r="BN132" s="632"/>
      <c r="BO132" s="632"/>
      <c r="BP132" s="632"/>
      <c r="BQ132" s="632"/>
      <c r="BR132" s="632"/>
      <c r="BS132" s="632"/>
      <c r="BT132" s="632"/>
      <c r="BU132" s="632"/>
      <c r="BV132" s="632"/>
      <c r="BW132" s="632"/>
      <c r="BX132" s="632"/>
      <c r="BY132" s="632"/>
      <c r="BZ132" s="632"/>
      <c r="CA132" s="632"/>
      <c r="CB132" s="632"/>
      <c r="CC132" s="632"/>
      <c r="CD132" s="632"/>
      <c r="CE132" s="632"/>
      <c r="CF132" s="632"/>
      <c r="CG132" s="632"/>
      <c r="CH132" s="632"/>
      <c r="CI132" s="632"/>
      <c r="CJ132" s="632"/>
      <c r="CK132" s="632"/>
      <c r="CL132" s="632"/>
      <c r="CM132" s="632"/>
      <c r="CN132" s="631"/>
    </row>
    <row r="133" spans="2:92" ht="15.75" x14ac:dyDescent="0.2">
      <c r="B133" s="610"/>
      <c r="C133" s="336"/>
      <c r="D133" s="611"/>
      <c r="E133" s="612"/>
      <c r="F133" s="612"/>
      <c r="G133" s="612"/>
      <c r="H133" s="618">
        <f>'I. Stream &amp; Compound Data'!F264</f>
        <v>3</v>
      </c>
      <c r="I133" s="677" t="str">
        <f>IF('I. Stream &amp; Compound Data'!G264&lt;&gt;"",'I. Stream &amp; Compound Data'!G264,"")</f>
        <v>Methanol</v>
      </c>
      <c r="J133" s="676">
        <f>IF('I. Stream &amp; Compound Data'!BH264="","",'I. Stream &amp; Compound Data'!BH264)</f>
        <v>789.60993116898578</v>
      </c>
      <c r="K133" s="652">
        <f>IF('I. Stream &amp; Compound Data'!G264="","",IF(OR('I. Stream &amp; Compound Data'!U264=1,'I. Stream &amp; Compound Data'!V264=1,'I. Stream &amp; Compound Data'!AY264&lt;25),0,1))</f>
        <v>1</v>
      </c>
      <c r="L133" s="651">
        <f>IF(OR(I133="",L$122=""),"",'I. Stream &amp; Compound Data'!H188/$J133*(1-L$127)*(1-L$123)*$K133)</f>
        <v>0</v>
      </c>
      <c r="M133" s="651">
        <f>IF(OR(J133="",M$122=""),"",'I. Stream &amp; Compound Data'!K188/$J133*(1-M$127)*(1-M$123)*$K133)</f>
        <v>0</v>
      </c>
      <c r="N133" s="651">
        <f>IF(OR(K133="",N$122=""),"",'I. Stream &amp; Compound Data'!N188/$J133*(1-N$127)*(1-N$123)*$K133)</f>
        <v>0</v>
      </c>
      <c r="O133" s="651">
        <f>IF(OR(L133="",O$122=""),"",'I. Stream &amp; Compound Data'!Q188/$J133*(1-O$127)*(1-O$123)*$K133)</f>
        <v>0</v>
      </c>
      <c r="P133" s="651">
        <f>IF(OR(M133="",P$122=""),"",'I. Stream &amp; Compound Data'!T188/$J133*(1-P$127)*(1-P$123)*$K133)</f>
        <v>8.6313504060290553E-3</v>
      </c>
      <c r="Q133" s="651">
        <f>IF(OR(N133="",Q$122=""),"",'I. Stream &amp; Compound Data'!W188/$J133*(1-Q$127)*(1-Q$123)*$K133)</f>
        <v>0</v>
      </c>
      <c r="R133" s="651">
        <f>IF(OR(O133="",R$122=""),"",'I. Stream &amp; Compound Data'!Z188/$J133*(1-R$127)*(1-R$123)*$K133)</f>
        <v>2.893833916978665E-2</v>
      </c>
      <c r="S133" s="651">
        <f>IF(OR(P133="",S$122=""),"",'I. Stream &amp; Compound Data'!AC188/$J133*(1-S$127)*(1-S$123)*$K133)</f>
        <v>0</v>
      </c>
      <c r="T133" s="651" t="str">
        <f>IF(OR(Q133="",T$122=""),"",'I. Stream &amp; Compound Data'!AF188/$J133*(1-T$127)*(1-T$123)*$K133)</f>
        <v/>
      </c>
      <c r="U133" s="651" t="str">
        <f>IF(OR(U$122="",$I133=""),"",'I. Stream &amp; Compound Data'!AI188/$J133*(1-U$127)*(1-U$123)*$K133)</f>
        <v/>
      </c>
      <c r="V133" s="651" t="str">
        <f>IF(OR(V$122="",$I133=""),"",'I. Stream &amp; Compound Data'!AL188/$J133*(1-V$127)*(1-V$123)*$K133)</f>
        <v/>
      </c>
      <c r="W133" s="651" t="str">
        <f>IF(OR(W$122="",$I133=""),"",'I. Stream &amp; Compound Data'!AO188/$J133*(1-W$127)*(1-W$123)*$K133)</f>
        <v/>
      </c>
      <c r="X133" s="651" t="str">
        <f>IF(OR(X$122="",$I133=""),"",'I. Stream &amp; Compound Data'!AR188/$J133*(1-X$127)*(1-X$123)*$K133)</f>
        <v/>
      </c>
      <c r="Y133" s="651" t="str">
        <f>IF(OR(Y$122="",$I133=""),"",'I. Stream &amp; Compound Data'!AU188/$J133*(1-Y$127)*(1-Y$123)*$K133)</f>
        <v/>
      </c>
      <c r="Z133" s="651" t="str">
        <f>IF(OR(Z$122="",$I133=""),"",'I. Stream &amp; Compound Data'!AX188/$J133*(1-Z$127)*(1-Z$123)*$K133)</f>
        <v/>
      </c>
      <c r="AA133" s="651" t="str">
        <f>IF(OR(AA$122="",$I133=""),"",'I. Stream &amp; Compound Data'!BA188/$J133*(1-AA$127)*(1-AA$123)*$K133)</f>
        <v/>
      </c>
      <c r="AB133" s="651" t="str">
        <f>IF(OR(AB$122="",$I133=""),"",'I. Stream &amp; Compound Data'!BD188/$J133*(1-AB$127)*(1-AB$123)*$K133)</f>
        <v/>
      </c>
      <c r="AC133" s="651" t="str">
        <f>IF(OR(AC$122="",$I133=""),"",'I. Stream &amp; Compound Data'!BG188/$J133*(1-AC$127)*(1-AC$123)*$K133)</f>
        <v/>
      </c>
      <c r="AD133" s="651" t="str">
        <f>IF(OR(AD$122="",$I133=""),"",'I. Stream &amp; Compound Data'!BJ188/$J133*(1-AD$127)*(1-AD$123)*$K133)</f>
        <v/>
      </c>
      <c r="AE133" s="651" t="str">
        <f>IF(OR(AE$122="",$I133=""),"",'I. Stream &amp; Compound Data'!BM188/$J133*(1-AE$127)*(1-AE$123)*$K133)</f>
        <v/>
      </c>
      <c r="AF133" s="651" t="str">
        <f>IF(OR(AF$122="",$I133=""),"",'I. Stream &amp; Compound Data'!BP188/$J133*(1-AF$127)*(1-AF$123)*$K133)</f>
        <v/>
      </c>
      <c r="AG133" s="651" t="str">
        <f>IF(OR(AG$122="",$I133=""),"",'I. Stream &amp; Compound Data'!BS188/$J133*(1-AG$127)*(1-AG$123)*$K133)</f>
        <v/>
      </c>
      <c r="AH133" s="651" t="str">
        <f>IF(OR(AH$122="",$I133=""),"",'I. Stream &amp; Compound Data'!BV188/$J133*(1-AH$127)*(1-AH$123)*$K133)</f>
        <v/>
      </c>
      <c r="AI133" s="651" t="str">
        <f>IF(OR(AI$122="",$I133=""),"",'I. Stream &amp; Compound Data'!BY188/$J133*(1-AI$127)*(1-AI$123)*$K133)</f>
        <v/>
      </c>
      <c r="AJ133" s="651" t="str">
        <f>IF(OR(AJ$122="",$I133=""),"",'I. Stream &amp; Compound Data'!CB188/$J133*(1-AJ$127)*(1-AJ$123)*$K133)</f>
        <v/>
      </c>
      <c r="AK133" s="651" t="str">
        <f>IF(OR(AK$122="",$I133=""),"",'I. Stream &amp; Compound Data'!CE188/$J133*(1-AK$127)*(1-AK$123)*$K133)</f>
        <v/>
      </c>
      <c r="AL133" s="651" t="str">
        <f>IF(OR(AL$122="",$I133=""),"",'I. Stream &amp; Compound Data'!CH188/$J133*(1-AL$127)*(1-AL$123)*$K133)</f>
        <v/>
      </c>
      <c r="AM133" s="651" t="str">
        <f>IF(OR(AM$122="",$I133=""),"",'I. Stream &amp; Compound Data'!CK188/$J133*(1-AM$127)*(1-AM$123)*$K133)</f>
        <v/>
      </c>
      <c r="AN133" s="651" t="str">
        <f>IF(OR(AN$122="",$I133=""),"",'I. Stream &amp; Compound Data'!CN188/$J133*(1-AN$127)*(1-AN$123)*$K133)</f>
        <v/>
      </c>
      <c r="AO133" s="651" t="str">
        <f>IF(OR(AO$122="",$I133=""),"",'I. Stream &amp; Compound Data'!CQ188/$J133*(1-AO$127)*(1-AO$123)*$K133)</f>
        <v/>
      </c>
      <c r="AP133" s="651" t="str">
        <f>IF(OR(AP$122="",$I133=""),"",'I. Stream &amp; Compound Data'!CT188/$J133*(1-AP$127)*(1-AP$123)*$K133)</f>
        <v/>
      </c>
      <c r="AQ133" s="651" t="str">
        <f>IF(OR(AQ$122="",$I133=""),"",'I. Stream &amp; Compound Data'!CW188/$J133*(1-AQ$127)*(1-AQ$123)*$K133)</f>
        <v/>
      </c>
      <c r="AR133" s="651" t="str">
        <f>IF(OR(AR$122="",$I133=""),"",'I. Stream &amp; Compound Data'!CZ188/$J133*(1-AR$127)*(1-AR$123)*$K133)</f>
        <v/>
      </c>
      <c r="AS133" s="651" t="str">
        <f>IF(OR(AS$122="",$I133=""),"",'I. Stream &amp; Compound Data'!DC188/$J133*(1-AS$127)*(1-AS$123)*$K133)</f>
        <v/>
      </c>
      <c r="AT133" s="651" t="str">
        <f>IF(OR(AT$122="",$I133=""),"",'I. Stream &amp; Compound Data'!DF188/$J133*(1-AT$127)*(1-AT$123)*$K133)</f>
        <v/>
      </c>
      <c r="AU133" s="651" t="str">
        <f>IF(OR(AU$122="",$I133=""),"",'I. Stream &amp; Compound Data'!DI188/$J133*(1-AU$127)*(1-AU$123)*$K133)</f>
        <v/>
      </c>
      <c r="AV133" s="651" t="str">
        <f>IF(OR(AV$122="",$I133=""),"",'I. Stream &amp; Compound Data'!DL188/$J133*(1-AV$127)*(1-AV$123)*$K133)</f>
        <v/>
      </c>
      <c r="AW133" s="651" t="str">
        <f>IF(OR(AW$122="",$I133=""),"",'I. Stream &amp; Compound Data'!DO188/$J133*(1-AW$127)*(1-AW$123)*$K133)</f>
        <v/>
      </c>
      <c r="AX133" s="651" t="str">
        <f>IF(OR(AX$122="",$I133=""),"",'I. Stream &amp; Compound Data'!DR188/$J133*(1-AX$127)*(1-AX$123)*$K133)</f>
        <v/>
      </c>
      <c r="AY133" s="667" t="str">
        <f>IF(OR(AY$122="",$I133=""),"",'I. Stream &amp; Compound Data'!DU188/$J133*(1-AY$127)*(1-AY$123)*$K133)</f>
        <v/>
      </c>
      <c r="AZ133" s="336"/>
      <c r="BA133" s="632"/>
      <c r="BB133" s="632"/>
      <c r="BC133" s="632"/>
      <c r="BD133" s="632"/>
      <c r="BE133" s="632"/>
      <c r="BF133" s="632"/>
      <c r="BG133" s="632"/>
      <c r="BH133" s="632"/>
      <c r="BI133" s="632"/>
      <c r="BJ133" s="632"/>
      <c r="BK133" s="632"/>
      <c r="BL133" s="632"/>
      <c r="BM133" s="632"/>
      <c r="BN133" s="632"/>
      <c r="BO133" s="632"/>
      <c r="BP133" s="632"/>
      <c r="BQ133" s="632"/>
      <c r="BR133" s="632"/>
      <c r="BS133" s="632"/>
      <c r="BT133" s="632"/>
      <c r="BU133" s="632"/>
      <c r="BV133" s="632"/>
      <c r="BW133" s="632"/>
      <c r="BX133" s="632"/>
      <c r="BY133" s="632"/>
      <c r="BZ133" s="632"/>
      <c r="CA133" s="632"/>
      <c r="CB133" s="632"/>
      <c r="CC133" s="632"/>
      <c r="CD133" s="632"/>
      <c r="CE133" s="632"/>
      <c r="CF133" s="632"/>
      <c r="CG133" s="632"/>
      <c r="CH133" s="632"/>
      <c r="CI133" s="632"/>
      <c r="CJ133" s="632"/>
      <c r="CK133" s="632"/>
      <c r="CL133" s="632"/>
      <c r="CM133" s="632"/>
      <c r="CN133" s="631"/>
    </row>
    <row r="134" spans="2:92" ht="15.75" x14ac:dyDescent="0.2">
      <c r="B134" s="610"/>
      <c r="C134" s="336"/>
      <c r="D134" s="611"/>
      <c r="E134" s="612"/>
      <c r="F134" s="612"/>
      <c r="G134" s="612"/>
      <c r="H134" s="618">
        <f>'I. Stream &amp; Compound Data'!F265</f>
        <v>4</v>
      </c>
      <c r="I134" s="677" t="str">
        <f>IF('I. Stream &amp; Compound Data'!G265&lt;&gt;"",'I. Stream &amp; Compound Data'!G265,"")</f>
        <v>Phosphoric Acid</v>
      </c>
      <c r="J134" s="676">
        <f>IF('I. Stream &amp; Compound Data'!BH265="","",'I. Stream &amp; Compound Data'!BH265)</f>
        <v>1856.5801288145083</v>
      </c>
      <c r="K134" s="652">
        <f>IF('I. Stream &amp; Compound Data'!G265="","",IF(OR('I. Stream &amp; Compound Data'!U265=1,'I. Stream &amp; Compound Data'!V265=1,'I. Stream &amp; Compound Data'!AY265&lt;25),0,1))</f>
        <v>1</v>
      </c>
      <c r="L134" s="651">
        <f>IF(OR(I134="",L$122=""),"",'I. Stream &amp; Compound Data'!H189/$J134*(1-L$127)*(1-L$123)*$K134)</f>
        <v>0</v>
      </c>
      <c r="M134" s="651">
        <f>IF(OR(J134="",M$122=""),"",'I. Stream &amp; Compound Data'!K189/$J134*(1-M$127)*(1-M$123)*$K134)</f>
        <v>0</v>
      </c>
      <c r="N134" s="651">
        <f>IF(OR(K134="",N$122=""),"",'I. Stream &amp; Compound Data'!N189/$J134*(1-N$127)*(1-N$123)*$K134)</f>
        <v>0</v>
      </c>
      <c r="O134" s="651">
        <f>IF(OR(L134="",O$122=""),"",'I. Stream &amp; Compound Data'!Q189/$J134*(1-O$127)*(1-O$123)*$K134)</f>
        <v>0</v>
      </c>
      <c r="P134" s="651">
        <f>IF(OR(M134="",P$122=""),"",'I. Stream &amp; Compound Data'!T189/$J134*(1-P$127)*(1-P$123)*$K134)</f>
        <v>0</v>
      </c>
      <c r="Q134" s="651">
        <f>IF(OR(N134="",Q$122=""),"",'I. Stream &amp; Compound Data'!W189/$J134*(1-Q$127)*(1-Q$123)*$K134)</f>
        <v>3.7993512321518271E-3</v>
      </c>
      <c r="R134" s="651">
        <f>IF(OR(O134="",R$122=""),"",'I. Stream &amp; Compound Data'!Z189/$J134*(1-R$127)*(1-R$123)*$K134)</f>
        <v>0</v>
      </c>
      <c r="S134" s="651">
        <f>IF(OR(P134="",S$122=""),"",'I. Stream &amp; Compound Data'!AC189/$J134*(1-S$127)*(1-S$123)*$K134)</f>
        <v>0</v>
      </c>
      <c r="T134" s="651" t="str">
        <f>IF(OR(Q134="",T$122=""),"",'I. Stream &amp; Compound Data'!AF189/$J134*(1-T$127)*(1-T$123)*$K134)</f>
        <v/>
      </c>
      <c r="U134" s="651" t="str">
        <f>IF(OR(R134="",U$122=""),"",'I. Stream &amp; Compound Data'!AI189/$J134*(1-U$127)*(1-U$123)*$K134)</f>
        <v/>
      </c>
      <c r="V134" s="651" t="str">
        <f>IF(OR(V$122="",$I134=""),"",'I. Stream &amp; Compound Data'!AL189/$J134*(1-V$127)*(1-V$123)*$K134)</f>
        <v/>
      </c>
      <c r="W134" s="651" t="str">
        <f>IF(OR(W$122="",$I134=""),"",'I. Stream &amp; Compound Data'!AO189/$J134*(1-W$127)*(1-W$123)*$K134)</f>
        <v/>
      </c>
      <c r="X134" s="651" t="str">
        <f>IF(OR(X$122="",$I134=""),"",'I. Stream &amp; Compound Data'!AR189/$J134*(1-X$127)*(1-X$123)*$K134)</f>
        <v/>
      </c>
      <c r="Y134" s="651" t="str">
        <f>IF(OR(Y$122="",$I134=""),"",'I. Stream &amp; Compound Data'!AU189/$J134*(1-Y$127)*(1-Y$123)*$K134)</f>
        <v/>
      </c>
      <c r="Z134" s="651" t="str">
        <f>IF(OR(Z$122="",$I134=""),"",'I. Stream &amp; Compound Data'!AX189/$J134*(1-Z$127)*(1-Z$123)*$K134)</f>
        <v/>
      </c>
      <c r="AA134" s="651" t="str">
        <f>IF(OR(AA$122="",$I134=""),"",'I. Stream &amp; Compound Data'!BA189/$J134*(1-AA$127)*(1-AA$123)*$K134)</f>
        <v/>
      </c>
      <c r="AB134" s="651" t="str">
        <f>IF(OR(AB$122="",$I134=""),"",'I. Stream &amp; Compound Data'!BD189/$J134*(1-AB$127)*(1-AB$123)*$K134)</f>
        <v/>
      </c>
      <c r="AC134" s="651" t="str">
        <f>IF(OR(AC$122="",$I134=""),"",'I. Stream &amp; Compound Data'!BG189/$J134*(1-AC$127)*(1-AC$123)*$K134)</f>
        <v/>
      </c>
      <c r="AD134" s="651" t="str">
        <f>IF(OR(AD$122="",$I134=""),"",'I. Stream &amp; Compound Data'!BJ189/$J134*(1-AD$127)*(1-AD$123)*$K134)</f>
        <v/>
      </c>
      <c r="AE134" s="651" t="str">
        <f>IF(OR(AE$122="",$I134=""),"",'I. Stream &amp; Compound Data'!BM189/$J134*(1-AE$127)*(1-AE$123)*$K134)</f>
        <v/>
      </c>
      <c r="AF134" s="651" t="str">
        <f>IF(OR(AF$122="",$I134=""),"",'I. Stream &amp; Compound Data'!BP189/$J134*(1-AF$127)*(1-AF$123)*$K134)</f>
        <v/>
      </c>
      <c r="AG134" s="651" t="str">
        <f>IF(OR(AG$122="",$I134=""),"",'I. Stream &amp; Compound Data'!BS189/$J134*(1-AG$127)*(1-AG$123)*$K134)</f>
        <v/>
      </c>
      <c r="AH134" s="651" t="str">
        <f>IF(OR(AH$122="",$I134=""),"",'I. Stream &amp; Compound Data'!BV189/$J134*(1-AH$127)*(1-AH$123)*$K134)</f>
        <v/>
      </c>
      <c r="AI134" s="651" t="str">
        <f>IF(OR(AI$122="",$I134=""),"",'I. Stream &amp; Compound Data'!BY189/$J134*(1-AI$127)*(1-AI$123)*$K134)</f>
        <v/>
      </c>
      <c r="AJ134" s="651" t="str">
        <f>IF(OR(AJ$122="",$I134=""),"",'I. Stream &amp; Compound Data'!CB189/$J134*(1-AJ$127)*(1-AJ$123)*$K134)</f>
        <v/>
      </c>
      <c r="AK134" s="651" t="str">
        <f>IF(OR(AK$122="",$I134=""),"",'I. Stream &amp; Compound Data'!CE189/$J134*(1-AK$127)*(1-AK$123)*$K134)</f>
        <v/>
      </c>
      <c r="AL134" s="651" t="str">
        <f>IF(OR(AL$122="",$I134=""),"",'I. Stream &amp; Compound Data'!CH189/$J134*(1-AL$127)*(1-AL$123)*$K134)</f>
        <v/>
      </c>
      <c r="AM134" s="651" t="str">
        <f>IF(OR(AM$122="",$I134=""),"",'I. Stream &amp; Compound Data'!CK189/$J134*(1-AM$127)*(1-AM$123)*$K134)</f>
        <v/>
      </c>
      <c r="AN134" s="651" t="str">
        <f>IF(OR(AN$122="",$I134=""),"",'I. Stream &amp; Compound Data'!CN189/$J134*(1-AN$127)*(1-AN$123)*$K134)</f>
        <v/>
      </c>
      <c r="AO134" s="651" t="str">
        <f>IF(OR(AO$122="",$I134=""),"",'I. Stream &amp; Compound Data'!CQ189/$J134*(1-AO$127)*(1-AO$123)*$K134)</f>
        <v/>
      </c>
      <c r="AP134" s="651" t="str">
        <f>IF(OR(AP$122="",$I134=""),"",'I. Stream &amp; Compound Data'!CT189/$J134*(1-AP$127)*(1-AP$123)*$K134)</f>
        <v/>
      </c>
      <c r="AQ134" s="651" t="str">
        <f>IF(OR(AQ$122="",$I134=""),"",'I. Stream &amp; Compound Data'!CW189/$J134*(1-AQ$127)*(1-AQ$123)*$K134)</f>
        <v/>
      </c>
      <c r="AR134" s="651" t="str">
        <f>IF(OR(AR$122="",$I134=""),"",'I. Stream &amp; Compound Data'!CZ189/$J134*(1-AR$127)*(1-AR$123)*$K134)</f>
        <v/>
      </c>
      <c r="AS134" s="651" t="str">
        <f>IF(OR(AS$122="",$I134=""),"",'I. Stream &amp; Compound Data'!DC189/$J134*(1-AS$127)*(1-AS$123)*$K134)</f>
        <v/>
      </c>
      <c r="AT134" s="651" t="str">
        <f>IF(OR(AT$122="",$I134=""),"",'I. Stream &amp; Compound Data'!DF189/$J134*(1-AT$127)*(1-AT$123)*$K134)</f>
        <v/>
      </c>
      <c r="AU134" s="651" t="str">
        <f>IF(OR(AU$122="",$I134=""),"",'I. Stream &amp; Compound Data'!DI189/$J134*(1-AU$127)*(1-AU$123)*$K134)</f>
        <v/>
      </c>
      <c r="AV134" s="651" t="str">
        <f>IF(OR(AV$122="",$I134=""),"",'I. Stream &amp; Compound Data'!DL189/$J134*(1-AV$127)*(1-AV$123)*$K134)</f>
        <v/>
      </c>
      <c r="AW134" s="651" t="str">
        <f>IF(OR(AW$122="",$I134=""),"",'I. Stream &amp; Compound Data'!DO189/$J134*(1-AW$127)*(1-AW$123)*$K134)</f>
        <v/>
      </c>
      <c r="AX134" s="651" t="str">
        <f>IF(OR(AX$122="",$I134=""),"",'I. Stream &amp; Compound Data'!DR189/$J134*(1-AX$127)*(1-AX$123)*$K134)</f>
        <v/>
      </c>
      <c r="AY134" s="667" t="str">
        <f>IF(OR(AY$122="",$I134=""),"",'I. Stream &amp; Compound Data'!DU189/$J134*(1-AY$127)*(1-AY$123)*$K134)</f>
        <v/>
      </c>
      <c r="AZ134" s="336"/>
      <c r="BA134" s="632"/>
      <c r="BB134" s="632"/>
      <c r="BC134" s="632"/>
      <c r="BD134" s="632"/>
      <c r="BE134" s="632"/>
      <c r="BF134" s="632"/>
      <c r="BG134" s="632"/>
      <c r="BH134" s="632"/>
      <c r="BI134" s="632"/>
      <c r="BJ134" s="632"/>
      <c r="BK134" s="632"/>
      <c r="BL134" s="632"/>
      <c r="BM134" s="632"/>
      <c r="BN134" s="632"/>
      <c r="BO134" s="632"/>
      <c r="BP134" s="632"/>
      <c r="BQ134" s="632"/>
      <c r="BR134" s="632"/>
      <c r="BS134" s="632"/>
      <c r="BT134" s="632"/>
      <c r="BU134" s="632"/>
      <c r="BV134" s="632"/>
      <c r="BW134" s="632"/>
      <c r="BX134" s="632"/>
      <c r="BY134" s="632"/>
      <c r="BZ134" s="632"/>
      <c r="CA134" s="632"/>
      <c r="CB134" s="632"/>
      <c r="CC134" s="632"/>
      <c r="CD134" s="632"/>
      <c r="CE134" s="632"/>
      <c r="CF134" s="632"/>
      <c r="CG134" s="632"/>
      <c r="CH134" s="632"/>
      <c r="CI134" s="632"/>
      <c r="CJ134" s="632"/>
      <c r="CK134" s="632"/>
      <c r="CL134" s="632"/>
      <c r="CM134" s="632"/>
      <c r="CN134" s="631"/>
    </row>
    <row r="135" spans="2:92" ht="15.75" x14ac:dyDescent="0.2">
      <c r="B135" s="610"/>
      <c r="C135" s="336"/>
      <c r="D135" s="611"/>
      <c r="E135" s="612"/>
      <c r="F135" s="612"/>
      <c r="G135" s="612"/>
      <c r="H135" s="618">
        <f>'I. Stream &amp; Compound Data'!F266</f>
        <v>5</v>
      </c>
      <c r="I135" s="677" t="str">
        <f>IF('I. Stream &amp; Compound Data'!G266&lt;&gt;"",'I. Stream &amp; Compound Data'!G266,"")</f>
        <v>Trisodium Phosphate</v>
      </c>
      <c r="J135" s="676">
        <f>IF('I. Stream &amp; Compound Data'!BH266="","",'I. Stream &amp; Compound Data'!BH266)</f>
        <v>2540</v>
      </c>
      <c r="K135" s="652">
        <f>IF('I. Stream &amp; Compound Data'!G266="","",IF(OR('I. Stream &amp; Compound Data'!U266=1,'I. Stream &amp; Compound Data'!V266=1,'I. Stream &amp; Compound Data'!AY266&lt;25),0,1))</f>
        <v>0</v>
      </c>
      <c r="L135" s="651">
        <f>IF(OR(I135="",L$122=""),"",'I. Stream &amp; Compound Data'!H190/$J135*(1-L$127)*(1-L$123)*$K135)</f>
        <v>0</v>
      </c>
      <c r="M135" s="651">
        <f>IF(OR(J135="",M$122=""),"",'I. Stream &amp; Compound Data'!K190/$J135*(1-M$127)*(1-M$123)*$K135)</f>
        <v>0</v>
      </c>
      <c r="N135" s="651">
        <f>IF(OR(K135="",N$122=""),"",'I. Stream &amp; Compound Data'!N190/$J135*(1-N$127)*(1-N$123)*$K135)</f>
        <v>0</v>
      </c>
      <c r="O135" s="651">
        <f>IF(OR(L135="",O$122=""),"",'I. Stream &amp; Compound Data'!Q190/$J135*(1-O$127)*(1-O$123)*$K135)</f>
        <v>0</v>
      </c>
      <c r="P135" s="651">
        <f>IF(OR(M135="",P$122=""),"",'I. Stream &amp; Compound Data'!T190/$J135*(1-P$127)*(1-P$123)*$K135)</f>
        <v>0</v>
      </c>
      <c r="Q135" s="651">
        <f>IF(OR(N135="",Q$122=""),"",'I. Stream &amp; Compound Data'!W190/$J135*(1-Q$127)*(1-Q$123)*$K135)</f>
        <v>0</v>
      </c>
      <c r="R135" s="651">
        <f>IF(OR(O135="",R$122=""),"",'I. Stream &amp; Compound Data'!Z190/$J135*(1-R$127)*(1-R$123)*$K135)</f>
        <v>0</v>
      </c>
      <c r="S135" s="651">
        <f>IF(OR(P135="",S$122=""),"",'I. Stream &amp; Compound Data'!AC190/$J135*(1-S$127)*(1-S$123)*$K135)</f>
        <v>0</v>
      </c>
      <c r="T135" s="651" t="str">
        <f>IF(OR(Q135="",T$122=""),"",'I. Stream &amp; Compound Data'!AF190/$J135*(1-T$127)*(1-T$123)*$K135)</f>
        <v/>
      </c>
      <c r="U135" s="651" t="str">
        <f>IF(OR(R135="",U$122=""),"",'I. Stream &amp; Compound Data'!AI190/$J135*(1-U$127)*(1-U$123)*$K135)</f>
        <v/>
      </c>
      <c r="V135" s="651" t="str">
        <f>IF(OR(V$122="",$I135=""),"",'I. Stream &amp; Compound Data'!AL190/$J135*(1-V$127)*(1-V$123)*$K135)</f>
        <v/>
      </c>
      <c r="W135" s="651" t="str">
        <f>IF(OR(W$122="",$I135=""),"",'I. Stream &amp; Compound Data'!AO190/$J135*(1-W$127)*(1-W$123)*$K135)</f>
        <v/>
      </c>
      <c r="X135" s="651" t="str">
        <f>IF(OR(X$122="",$I135=""),"",'I. Stream &amp; Compound Data'!AR190/$J135*(1-X$127)*(1-X$123)*$K135)</f>
        <v/>
      </c>
      <c r="Y135" s="651" t="str">
        <f>IF(OR(Y$122="",$I135=""),"",'I. Stream &amp; Compound Data'!AU190/$J135*(1-Y$127)*(1-Y$123)*$K135)</f>
        <v/>
      </c>
      <c r="Z135" s="651" t="str">
        <f>IF(OR(Z$122="",$I135=""),"",'I. Stream &amp; Compound Data'!AX190/$J135*(1-Z$127)*(1-Z$123)*$K135)</f>
        <v/>
      </c>
      <c r="AA135" s="651" t="str">
        <f>IF(OR(AA$122="",$I135=""),"",'I. Stream &amp; Compound Data'!BA190/$J135*(1-AA$127)*(1-AA$123)*$K135)</f>
        <v/>
      </c>
      <c r="AB135" s="651" t="str">
        <f>IF(OR(AB$122="",$I135=""),"",'I. Stream &amp; Compound Data'!BD190/$J135*(1-AB$127)*(1-AB$123)*$K135)</f>
        <v/>
      </c>
      <c r="AC135" s="651" t="str">
        <f>IF(OR(AC$122="",$I135=""),"",'I. Stream &amp; Compound Data'!BG190/$J135*(1-AC$127)*(1-AC$123)*$K135)</f>
        <v/>
      </c>
      <c r="AD135" s="651" t="str">
        <f>IF(OR(AD$122="",$I135=""),"",'I. Stream &amp; Compound Data'!BJ190/$J135*(1-AD$127)*(1-AD$123)*$K135)</f>
        <v/>
      </c>
      <c r="AE135" s="651" t="str">
        <f>IF(OR(AE$122="",$I135=""),"",'I. Stream &amp; Compound Data'!BM190/$J135*(1-AE$127)*(1-AE$123)*$K135)</f>
        <v/>
      </c>
      <c r="AF135" s="651" t="str">
        <f>IF(OR(AF$122="",$I135=""),"",'I. Stream &amp; Compound Data'!BP190/$J135*(1-AF$127)*(1-AF$123)*$K135)</f>
        <v/>
      </c>
      <c r="AG135" s="651" t="str">
        <f>IF(OR(AG$122="",$I135=""),"",'I. Stream &amp; Compound Data'!BS190/$J135*(1-AG$127)*(1-AG$123)*$K135)</f>
        <v/>
      </c>
      <c r="AH135" s="651" t="str">
        <f>IF(OR(AH$122="",$I135=""),"",'I. Stream &amp; Compound Data'!BV190/$J135*(1-AH$127)*(1-AH$123)*$K135)</f>
        <v/>
      </c>
      <c r="AI135" s="651" t="str">
        <f>IF(OR(AI$122="",$I135=""),"",'I. Stream &amp; Compound Data'!BY190/$J135*(1-AI$127)*(1-AI$123)*$K135)</f>
        <v/>
      </c>
      <c r="AJ135" s="651" t="str">
        <f>IF(OR(AJ$122="",$I135=""),"",'I. Stream &amp; Compound Data'!CB190/$J135*(1-AJ$127)*(1-AJ$123)*$K135)</f>
        <v/>
      </c>
      <c r="AK135" s="651" t="str">
        <f>IF(OR(AK$122="",$I135=""),"",'I. Stream &amp; Compound Data'!CE190/$J135*(1-AK$127)*(1-AK$123)*$K135)</f>
        <v/>
      </c>
      <c r="AL135" s="651" t="str">
        <f>IF(OR(AL$122="",$I135=""),"",'I. Stream &amp; Compound Data'!CH190/$J135*(1-AL$127)*(1-AL$123)*$K135)</f>
        <v/>
      </c>
      <c r="AM135" s="651" t="str">
        <f>IF(OR(AM$122="",$I135=""),"",'I. Stream &amp; Compound Data'!CK190/$J135*(1-AM$127)*(1-AM$123)*$K135)</f>
        <v/>
      </c>
      <c r="AN135" s="651" t="str">
        <f>IF(OR(AN$122="",$I135=""),"",'I. Stream &amp; Compound Data'!CN190/$J135*(1-AN$127)*(1-AN$123)*$K135)</f>
        <v/>
      </c>
      <c r="AO135" s="651" t="str">
        <f>IF(OR(AO$122="",$I135=""),"",'I. Stream &amp; Compound Data'!CQ190/$J135*(1-AO$127)*(1-AO$123)*$K135)</f>
        <v/>
      </c>
      <c r="AP135" s="651" t="str">
        <f>IF(OR(AP$122="",$I135=""),"",'I. Stream &amp; Compound Data'!CT190/$J135*(1-AP$127)*(1-AP$123)*$K135)</f>
        <v/>
      </c>
      <c r="AQ135" s="651" t="str">
        <f>IF(OR(AQ$122="",$I135=""),"",'I. Stream &amp; Compound Data'!CW190/$J135*(1-AQ$127)*(1-AQ$123)*$K135)</f>
        <v/>
      </c>
      <c r="AR135" s="651" t="str">
        <f>IF(OR(AR$122="",$I135=""),"",'I. Stream &amp; Compound Data'!CZ190/$J135*(1-AR$127)*(1-AR$123)*$K135)</f>
        <v/>
      </c>
      <c r="AS135" s="651" t="str">
        <f>IF(OR(AS$122="",$I135=""),"",'I. Stream &amp; Compound Data'!DC190/$J135*(1-AS$127)*(1-AS$123)*$K135)</f>
        <v/>
      </c>
      <c r="AT135" s="651" t="str">
        <f>IF(OR(AT$122="",$I135=""),"",'I. Stream &amp; Compound Data'!DF190/$J135*(1-AT$127)*(1-AT$123)*$K135)</f>
        <v/>
      </c>
      <c r="AU135" s="651" t="str">
        <f>IF(OR(AU$122="",$I135=""),"",'I. Stream &amp; Compound Data'!DI190/$J135*(1-AU$127)*(1-AU$123)*$K135)</f>
        <v/>
      </c>
      <c r="AV135" s="651" t="str">
        <f>IF(OR(AV$122="",$I135=""),"",'I. Stream &amp; Compound Data'!DL190/$J135*(1-AV$127)*(1-AV$123)*$K135)</f>
        <v/>
      </c>
      <c r="AW135" s="651" t="str">
        <f>IF(OR(AW$122="",$I135=""),"",'I. Stream &amp; Compound Data'!DO190/$J135*(1-AW$127)*(1-AW$123)*$K135)</f>
        <v/>
      </c>
      <c r="AX135" s="651" t="str">
        <f>IF(OR(AX$122="",$I135=""),"",'I. Stream &amp; Compound Data'!DR190/$J135*(1-AX$127)*(1-AX$123)*$K135)</f>
        <v/>
      </c>
      <c r="AY135" s="667" t="str">
        <f>IF(OR(AY$122="",$I135=""),"",'I. Stream &amp; Compound Data'!DU190/$J135*(1-AY$127)*(1-AY$123)*$K135)</f>
        <v/>
      </c>
      <c r="AZ135" s="336"/>
      <c r="BA135" s="632"/>
      <c r="BB135" s="632"/>
      <c r="BC135" s="632"/>
      <c r="BD135" s="632"/>
      <c r="BE135" s="632"/>
      <c r="BF135" s="632"/>
      <c r="BG135" s="632"/>
      <c r="BH135" s="632"/>
      <c r="BI135" s="632"/>
      <c r="BJ135" s="632"/>
      <c r="BK135" s="632"/>
      <c r="BL135" s="632"/>
      <c r="BM135" s="632"/>
      <c r="BN135" s="632"/>
      <c r="BO135" s="632"/>
      <c r="BP135" s="632"/>
      <c r="BQ135" s="632"/>
      <c r="BR135" s="632"/>
      <c r="BS135" s="632"/>
      <c r="BT135" s="632"/>
      <c r="BU135" s="632"/>
      <c r="BV135" s="632"/>
      <c r="BW135" s="632"/>
      <c r="BX135" s="632"/>
      <c r="BY135" s="632"/>
      <c r="BZ135" s="632"/>
      <c r="CA135" s="632"/>
      <c r="CB135" s="632"/>
      <c r="CC135" s="632"/>
      <c r="CD135" s="632"/>
      <c r="CE135" s="632"/>
      <c r="CF135" s="632"/>
      <c r="CG135" s="632"/>
      <c r="CH135" s="632"/>
      <c r="CI135" s="632"/>
      <c r="CJ135" s="632"/>
      <c r="CK135" s="632"/>
      <c r="CL135" s="632"/>
      <c r="CM135" s="632"/>
      <c r="CN135" s="631"/>
    </row>
    <row r="136" spans="2:92" ht="15.75" x14ac:dyDescent="0.2">
      <c r="B136" s="610"/>
      <c r="C136" s="336"/>
      <c r="D136" s="611"/>
      <c r="E136" s="612"/>
      <c r="F136" s="612"/>
      <c r="G136" s="612"/>
      <c r="H136" s="618">
        <f>'I. Stream &amp; Compound Data'!F267</f>
        <v>6</v>
      </c>
      <c r="I136" s="677" t="str">
        <f>IF('I. Stream &amp; Compound Data'!G267&lt;&gt;"",'I. Stream &amp; Compound Data'!G267,"")</f>
        <v>OIL (Triolein)</v>
      </c>
      <c r="J136" s="676">
        <f>IF('I. Stream &amp; Compound Data'!BH267="","",'I. Stream &amp; Compound Data'!BH267)</f>
        <v>909.07201792599153</v>
      </c>
      <c r="K136" s="652">
        <f>IF('I. Stream &amp; Compound Data'!G267="","",IF(OR('I. Stream &amp; Compound Data'!U267=1,'I. Stream &amp; Compound Data'!V267=1,'I. Stream &amp; Compound Data'!AY267&lt;25),0,1))</f>
        <v>0</v>
      </c>
      <c r="L136" s="651">
        <f>IF(OR(I136="",L$122=""),"",'I. Stream &amp; Compound Data'!H191/$J136*(1-L$127)*(1-L$123)*$K136)</f>
        <v>0</v>
      </c>
      <c r="M136" s="651">
        <f>IF(OR(J136="",M$122=""),"",'I. Stream &amp; Compound Data'!K191/$J136*(1-M$127)*(1-M$123)*$K136)</f>
        <v>0</v>
      </c>
      <c r="N136" s="651">
        <f>IF(OR(K136="",N$122=""),"",'I. Stream &amp; Compound Data'!N191/$J136*(1-N$127)*(1-N$123)*$K136)</f>
        <v>0</v>
      </c>
      <c r="O136" s="651">
        <f>IF(OR(L136="",O$122=""),"",'I. Stream &amp; Compound Data'!Q191/$J136*(1-O$127)*(1-O$123)*$K136)</f>
        <v>0</v>
      </c>
      <c r="P136" s="651">
        <f>IF(OR(M136="",P$122=""),"",'I. Stream &amp; Compound Data'!T191/$J136*(1-P$127)*(1-P$123)*$K136)</f>
        <v>0</v>
      </c>
      <c r="Q136" s="651">
        <f>IF(OR(N136="",Q$122=""),"",'I. Stream &amp; Compound Data'!W191/$J136*(1-Q$127)*(1-Q$123)*$K136)</f>
        <v>0</v>
      </c>
      <c r="R136" s="651">
        <f>IF(OR(O136="",R$122=""),"",'I. Stream &amp; Compound Data'!Z191/$J136*(1-R$127)*(1-R$123)*$K136)</f>
        <v>0</v>
      </c>
      <c r="S136" s="651">
        <f>IF(OR(P136="",S$122=""),"",'I. Stream &amp; Compound Data'!AC191/$J136*(1-S$127)*(1-S$123)*$K136)</f>
        <v>0</v>
      </c>
      <c r="T136" s="651" t="str">
        <f>IF(OR(Q136="",T$122=""),"",'I. Stream &amp; Compound Data'!AF191/$J136*(1-T$127)*(1-T$123)*$K136)</f>
        <v/>
      </c>
      <c r="U136" s="651" t="str">
        <f>IF(OR(R136="",U$122=""),"",'I. Stream &amp; Compound Data'!AI191/$J136*(1-U$127)*(1-U$123)*$K136)</f>
        <v/>
      </c>
      <c r="V136" s="651" t="str">
        <f>IF(OR(V$122="",$I136=""),"",'I. Stream &amp; Compound Data'!AL191/$J136*(1-V$127)*(1-V$123)*$K136)</f>
        <v/>
      </c>
      <c r="W136" s="651" t="str">
        <f>IF(OR(W$122="",$I136=""),"",'I. Stream &amp; Compound Data'!AO191/$J136*(1-W$127)*(1-W$123)*$K136)</f>
        <v/>
      </c>
      <c r="X136" s="651" t="str">
        <f>IF(OR(X$122="",$I136=""),"",'I. Stream &amp; Compound Data'!AR191/$J136*(1-X$127)*(1-X$123)*$K136)</f>
        <v/>
      </c>
      <c r="Y136" s="651" t="str">
        <f>IF(OR(Y$122="",$I136=""),"",'I. Stream &amp; Compound Data'!AU191/$J136*(1-Y$127)*(1-Y$123)*$K136)</f>
        <v/>
      </c>
      <c r="Z136" s="651" t="str">
        <f>IF(OR(Z$122="",$I136=""),"",'I. Stream &amp; Compound Data'!AX191/$J136*(1-Z$127)*(1-Z$123)*$K136)</f>
        <v/>
      </c>
      <c r="AA136" s="651" t="str">
        <f>IF(OR(AA$122="",$I136=""),"",'I. Stream &amp; Compound Data'!BA191/$J136*(1-AA$127)*(1-AA$123)*$K136)</f>
        <v/>
      </c>
      <c r="AB136" s="651" t="str">
        <f>IF(OR(AB$122="",$I136=""),"",'I. Stream &amp; Compound Data'!BD191/$J136*(1-AB$127)*(1-AB$123)*$K136)</f>
        <v/>
      </c>
      <c r="AC136" s="651" t="str">
        <f>IF(OR(AC$122="",$I136=""),"",'I. Stream &amp; Compound Data'!BG191/$J136*(1-AC$127)*(1-AC$123)*$K136)</f>
        <v/>
      </c>
      <c r="AD136" s="651" t="str">
        <f>IF(OR(AD$122="",$I136=""),"",'I. Stream &amp; Compound Data'!BJ191/$J136*(1-AD$127)*(1-AD$123)*$K136)</f>
        <v/>
      </c>
      <c r="AE136" s="651" t="str">
        <f>IF(OR(AE$122="",$I136=""),"",'I. Stream &amp; Compound Data'!BM191/$J136*(1-AE$127)*(1-AE$123)*$K136)</f>
        <v/>
      </c>
      <c r="AF136" s="651" t="str">
        <f>IF(OR(AF$122="",$I136=""),"",'I. Stream &amp; Compound Data'!BP191/$J136*(1-AF$127)*(1-AF$123)*$K136)</f>
        <v/>
      </c>
      <c r="AG136" s="651" t="str">
        <f>IF(OR(AG$122="",$I136=""),"",'I. Stream &amp; Compound Data'!BS191/$J136*(1-AG$127)*(1-AG$123)*$K136)</f>
        <v/>
      </c>
      <c r="AH136" s="651" t="str">
        <f>IF(OR(AH$122="",$I136=""),"",'I. Stream &amp; Compound Data'!BV191/$J136*(1-AH$127)*(1-AH$123)*$K136)</f>
        <v/>
      </c>
      <c r="AI136" s="651" t="str">
        <f>IF(OR(AI$122="",$I136=""),"",'I. Stream &amp; Compound Data'!BY191/$J136*(1-AI$127)*(1-AI$123)*$K136)</f>
        <v/>
      </c>
      <c r="AJ136" s="651" t="str">
        <f>IF(OR(AJ$122="",$I136=""),"",'I. Stream &amp; Compound Data'!CB191/$J136*(1-AJ$127)*(1-AJ$123)*$K136)</f>
        <v/>
      </c>
      <c r="AK136" s="651" t="str">
        <f>IF(OR(AK$122="",$I136=""),"",'I. Stream &amp; Compound Data'!CE191/$J136*(1-AK$127)*(1-AK$123)*$K136)</f>
        <v/>
      </c>
      <c r="AL136" s="651" t="str">
        <f>IF(OR(AL$122="",$I136=""),"",'I. Stream &amp; Compound Data'!CH191/$J136*(1-AL$127)*(1-AL$123)*$K136)</f>
        <v/>
      </c>
      <c r="AM136" s="651" t="str">
        <f>IF(OR(AM$122="",$I136=""),"",'I. Stream &amp; Compound Data'!CK191/$J136*(1-AM$127)*(1-AM$123)*$K136)</f>
        <v/>
      </c>
      <c r="AN136" s="651" t="str">
        <f>IF(OR(AN$122="",$I136=""),"",'I. Stream &amp; Compound Data'!CN191/$J136*(1-AN$127)*(1-AN$123)*$K136)</f>
        <v/>
      </c>
      <c r="AO136" s="651" t="str">
        <f>IF(OR(AO$122="",$I136=""),"",'I. Stream &amp; Compound Data'!CQ191/$J136*(1-AO$127)*(1-AO$123)*$K136)</f>
        <v/>
      </c>
      <c r="AP136" s="651" t="str">
        <f>IF(OR(AP$122="",$I136=""),"",'I. Stream &amp; Compound Data'!CT191/$J136*(1-AP$127)*(1-AP$123)*$K136)</f>
        <v/>
      </c>
      <c r="AQ136" s="651" t="str">
        <f>IF(OR(AQ$122="",$I136=""),"",'I. Stream &amp; Compound Data'!CW191/$J136*(1-AQ$127)*(1-AQ$123)*$K136)</f>
        <v/>
      </c>
      <c r="AR136" s="651" t="str">
        <f>IF(OR(AR$122="",$I136=""),"",'I. Stream &amp; Compound Data'!CZ191/$J136*(1-AR$127)*(1-AR$123)*$K136)</f>
        <v/>
      </c>
      <c r="AS136" s="651" t="str">
        <f>IF(OR(AS$122="",$I136=""),"",'I. Stream &amp; Compound Data'!DC191/$J136*(1-AS$127)*(1-AS$123)*$K136)</f>
        <v/>
      </c>
      <c r="AT136" s="651" t="str">
        <f>IF(OR(AT$122="",$I136=""),"",'I. Stream &amp; Compound Data'!DF191/$J136*(1-AT$127)*(1-AT$123)*$K136)</f>
        <v/>
      </c>
      <c r="AU136" s="651" t="str">
        <f>IF(OR(AU$122="",$I136=""),"",'I. Stream &amp; Compound Data'!DI191/$J136*(1-AU$127)*(1-AU$123)*$K136)</f>
        <v/>
      </c>
      <c r="AV136" s="651" t="str">
        <f>IF(OR(AV$122="",$I136=""),"",'I. Stream &amp; Compound Data'!DL191/$J136*(1-AV$127)*(1-AV$123)*$K136)</f>
        <v/>
      </c>
      <c r="AW136" s="651" t="str">
        <f>IF(OR(AW$122="",$I136=""),"",'I. Stream &amp; Compound Data'!DO191/$J136*(1-AW$127)*(1-AW$123)*$K136)</f>
        <v/>
      </c>
      <c r="AX136" s="651" t="str">
        <f>IF(OR(AX$122="",$I136=""),"",'I. Stream &amp; Compound Data'!DR191/$J136*(1-AX$127)*(1-AX$123)*$K136)</f>
        <v/>
      </c>
      <c r="AY136" s="667" t="str">
        <f>IF(OR(AY$122="",$I136=""),"",'I. Stream &amp; Compound Data'!DU191/$J136*(1-AY$127)*(1-AY$123)*$K136)</f>
        <v/>
      </c>
      <c r="AZ136" s="336"/>
      <c r="BA136" s="632"/>
      <c r="BB136" s="632"/>
      <c r="BC136" s="632"/>
      <c r="BD136" s="632"/>
      <c r="BE136" s="632"/>
      <c r="BF136" s="632"/>
      <c r="BG136" s="632"/>
      <c r="BH136" s="632"/>
      <c r="BI136" s="632"/>
      <c r="BJ136" s="632"/>
      <c r="BK136" s="632"/>
      <c r="BL136" s="632"/>
      <c r="BM136" s="632"/>
      <c r="BN136" s="632"/>
      <c r="BO136" s="632"/>
      <c r="BP136" s="632"/>
      <c r="BQ136" s="632"/>
      <c r="BR136" s="632"/>
      <c r="BS136" s="632"/>
      <c r="BT136" s="632"/>
      <c r="BU136" s="632"/>
      <c r="BV136" s="632"/>
      <c r="BW136" s="632"/>
      <c r="BX136" s="632"/>
      <c r="BY136" s="632"/>
      <c r="BZ136" s="632"/>
      <c r="CA136" s="632"/>
      <c r="CB136" s="632"/>
      <c r="CC136" s="632"/>
      <c r="CD136" s="632"/>
      <c r="CE136" s="632"/>
      <c r="CF136" s="632"/>
      <c r="CG136" s="632"/>
      <c r="CH136" s="632"/>
      <c r="CI136" s="632"/>
      <c r="CJ136" s="632"/>
      <c r="CK136" s="632"/>
      <c r="CL136" s="632"/>
      <c r="CM136" s="632"/>
      <c r="CN136" s="631"/>
    </row>
    <row r="137" spans="2:92" ht="15.75" x14ac:dyDescent="0.2">
      <c r="B137" s="610"/>
      <c r="C137" s="336"/>
      <c r="D137" s="611"/>
      <c r="E137" s="612"/>
      <c r="F137" s="612"/>
      <c r="G137" s="612"/>
      <c r="H137" s="618">
        <f>'I. Stream &amp; Compound Data'!F268</f>
        <v>7</v>
      </c>
      <c r="I137" s="677" t="str">
        <f>IF('I. Stream &amp; Compound Data'!G268&lt;&gt;"",'I. Stream &amp; Compound Data'!G268,"")</f>
        <v>Water</v>
      </c>
      <c r="J137" s="676">
        <f>IF('I. Stream &amp; Compound Data'!BH268="","",'I. Stream &amp; Compound Data'!BH268)</f>
        <v>997.04190279393686</v>
      </c>
      <c r="K137" s="652">
        <f>IF('I. Stream &amp; Compound Data'!G268="","",IF(OR('I. Stream &amp; Compound Data'!U268=1,'I. Stream &amp; Compound Data'!V268=1,'I. Stream &amp; Compound Data'!AY268&lt;25),0,1))</f>
        <v>1</v>
      </c>
      <c r="L137" s="651">
        <f>IF(OR(I137="",L$122=""),"",'I. Stream &amp; Compound Data'!H192/$J137*(1-L$127)*(1-L$123)*$K137)</f>
        <v>0</v>
      </c>
      <c r="M137" s="651">
        <f>IF(OR(J137="",M$122=""),"",'I. Stream &amp; Compound Data'!K192/$J137*(1-M$127)*(1-M$123)*$K137)</f>
        <v>0</v>
      </c>
      <c r="N137" s="651">
        <f>IF(OR(K137="",N$122=""),"",'I. Stream &amp; Compound Data'!N192/$J137*(1-N$127)*(1-N$123)*$K137)</f>
        <v>0</v>
      </c>
      <c r="O137" s="651">
        <f>IF(OR(L137="",O$122=""),"",'I. Stream &amp; Compound Data'!Q192/$J137*(1-O$127)*(1-O$123)*$K137)</f>
        <v>0</v>
      </c>
      <c r="P137" s="651">
        <f>IF(OR(M137="",P$122=""),"",'I. Stream &amp; Compound Data'!T192/$J137*(1-P$127)*(1-P$123)*$K137)</f>
        <v>8.6776693895764447E-3</v>
      </c>
      <c r="Q137" s="651">
        <f>IF(OR(N137="",Q$122=""),"",'I. Stream &amp; Compound Data'!W192/$J137*(1-Q$127)*(1-Q$123)*$K137)</f>
        <v>0</v>
      </c>
      <c r="R137" s="651">
        <f>IF(OR(O137="",R$122=""),"",'I. Stream &amp; Compound Data'!Z192/$J137*(1-R$127)*(1-R$123)*$K137)</f>
        <v>7.7144200042610026E-3</v>
      </c>
      <c r="S137" s="651">
        <f>IF(OR(P137="",S$122=""),"",'I. Stream &amp; Compound Data'!AC192/$J137*(1-S$127)*(1-S$123)*$K137)</f>
        <v>0</v>
      </c>
      <c r="T137" s="651" t="str">
        <f>IF(OR(Q137="",T$122=""),"",'I. Stream &amp; Compound Data'!AF192/$J137*(1-T$127)*(1-T$123)*$K137)</f>
        <v/>
      </c>
      <c r="U137" s="651" t="str">
        <f>IF(OR(R137="",U$122=""),"",'I. Stream &amp; Compound Data'!AI192/$J137*(1-U$127)*(1-U$123)*$K137)</f>
        <v/>
      </c>
      <c r="V137" s="651" t="str">
        <f>IF(OR(V$122="",$I137=""),"",'I. Stream &amp; Compound Data'!AL192/$J137*(1-V$127)*(1-V$123)*$K137)</f>
        <v/>
      </c>
      <c r="W137" s="651" t="str">
        <f>IF(OR(W$122="",$I137=""),"",'I. Stream &amp; Compound Data'!AO192/$J137*(1-W$127)*(1-W$123)*$K137)</f>
        <v/>
      </c>
      <c r="X137" s="651" t="str">
        <f>IF(OR(X$122="",$I137=""),"",'I. Stream &amp; Compound Data'!AR192/$J137*(1-X$127)*(1-X$123)*$K137)</f>
        <v/>
      </c>
      <c r="Y137" s="651" t="str">
        <f>IF(OR(Y$122="",$I137=""),"",'I. Stream &amp; Compound Data'!AU192/$J137*(1-Y$127)*(1-Y$123)*$K137)</f>
        <v/>
      </c>
      <c r="Z137" s="651" t="str">
        <f>IF(OR(Z$122="",$I137=""),"",'I. Stream &amp; Compound Data'!AX192/$J137*(1-Z$127)*(1-Z$123)*$K137)</f>
        <v/>
      </c>
      <c r="AA137" s="651" t="str">
        <f>IF(OR(AA$122="",$I137=""),"",'I. Stream &amp; Compound Data'!BA192/$J137*(1-AA$127)*(1-AA$123)*$K137)</f>
        <v/>
      </c>
      <c r="AB137" s="651" t="str">
        <f>IF(OR(AB$122="",$I137=""),"",'I. Stream &amp; Compound Data'!BD192/$J137*(1-AB$127)*(1-AB$123)*$K137)</f>
        <v/>
      </c>
      <c r="AC137" s="651" t="str">
        <f>IF(OR(AC$122="",$I137=""),"",'I. Stream &amp; Compound Data'!BG192/$J137*(1-AC$127)*(1-AC$123)*$K137)</f>
        <v/>
      </c>
      <c r="AD137" s="651" t="str">
        <f>IF(OR(AD$122="",$I137=""),"",'I. Stream &amp; Compound Data'!BJ192/$J137*(1-AD$127)*(1-AD$123)*$K137)</f>
        <v/>
      </c>
      <c r="AE137" s="651" t="str">
        <f>IF(OR(AE$122="",$I137=""),"",'I. Stream &amp; Compound Data'!BM192/$J137*(1-AE$127)*(1-AE$123)*$K137)</f>
        <v/>
      </c>
      <c r="AF137" s="651" t="str">
        <f>IF(OR(AF$122="",$I137=""),"",'I. Stream &amp; Compound Data'!BP192/$J137*(1-AF$127)*(1-AF$123)*$K137)</f>
        <v/>
      </c>
      <c r="AG137" s="651" t="str">
        <f>IF(OR(AG$122="",$I137=""),"",'I. Stream &amp; Compound Data'!BS192/$J137*(1-AG$127)*(1-AG$123)*$K137)</f>
        <v/>
      </c>
      <c r="AH137" s="651" t="str">
        <f>IF(OR(AH$122="",$I137=""),"",'I. Stream &amp; Compound Data'!BV192/$J137*(1-AH$127)*(1-AH$123)*$K137)</f>
        <v/>
      </c>
      <c r="AI137" s="651" t="str">
        <f>IF(OR(AI$122="",$I137=""),"",'I. Stream &amp; Compound Data'!BY192/$J137*(1-AI$127)*(1-AI$123)*$K137)</f>
        <v/>
      </c>
      <c r="AJ137" s="651" t="str">
        <f>IF(OR(AJ$122="",$I137=""),"",'I. Stream &amp; Compound Data'!CB192/$J137*(1-AJ$127)*(1-AJ$123)*$K137)</f>
        <v/>
      </c>
      <c r="AK137" s="651" t="str">
        <f>IF(OR(AK$122="",$I137=""),"",'I. Stream &amp; Compound Data'!CE192/$J137*(1-AK$127)*(1-AK$123)*$K137)</f>
        <v/>
      </c>
      <c r="AL137" s="651" t="str">
        <f>IF(OR(AL$122="",$I137=""),"",'I. Stream &amp; Compound Data'!CH192/$J137*(1-AL$127)*(1-AL$123)*$K137)</f>
        <v/>
      </c>
      <c r="AM137" s="651" t="str">
        <f>IF(OR(AM$122="",$I137=""),"",'I. Stream &amp; Compound Data'!CK192/$J137*(1-AM$127)*(1-AM$123)*$K137)</f>
        <v/>
      </c>
      <c r="AN137" s="651" t="str">
        <f>IF(OR(AN$122="",$I137=""),"",'I. Stream &amp; Compound Data'!CN192/$J137*(1-AN$127)*(1-AN$123)*$K137)</f>
        <v/>
      </c>
      <c r="AO137" s="651" t="str">
        <f>IF(OR(AO$122="",$I137=""),"",'I. Stream &amp; Compound Data'!CQ192/$J137*(1-AO$127)*(1-AO$123)*$K137)</f>
        <v/>
      </c>
      <c r="AP137" s="651" t="str">
        <f>IF(OR(AP$122="",$I137=""),"",'I. Stream &amp; Compound Data'!CT192/$J137*(1-AP$127)*(1-AP$123)*$K137)</f>
        <v/>
      </c>
      <c r="AQ137" s="651" t="str">
        <f>IF(OR(AQ$122="",$I137=""),"",'I. Stream &amp; Compound Data'!CW192/$J137*(1-AQ$127)*(1-AQ$123)*$K137)</f>
        <v/>
      </c>
      <c r="AR137" s="651" t="str">
        <f>IF(OR(AR$122="",$I137=""),"",'I. Stream &amp; Compound Data'!CZ192/$J137*(1-AR$127)*(1-AR$123)*$K137)</f>
        <v/>
      </c>
      <c r="AS137" s="651" t="str">
        <f>IF(OR(AS$122="",$I137=""),"",'I. Stream &amp; Compound Data'!DC192/$J137*(1-AS$127)*(1-AS$123)*$K137)</f>
        <v/>
      </c>
      <c r="AT137" s="651" t="str">
        <f>IF(OR(AT$122="",$I137=""),"",'I. Stream &amp; Compound Data'!DF192/$J137*(1-AT$127)*(1-AT$123)*$K137)</f>
        <v/>
      </c>
      <c r="AU137" s="651" t="str">
        <f>IF(OR(AU$122="",$I137=""),"",'I. Stream &amp; Compound Data'!DI192/$J137*(1-AU$127)*(1-AU$123)*$K137)</f>
        <v/>
      </c>
      <c r="AV137" s="651" t="str">
        <f>IF(OR(AV$122="",$I137=""),"",'I. Stream &amp; Compound Data'!DL192/$J137*(1-AV$127)*(1-AV$123)*$K137)</f>
        <v/>
      </c>
      <c r="AW137" s="651" t="str">
        <f>IF(OR(AW$122="",$I137=""),"",'I. Stream &amp; Compound Data'!DO192/$J137*(1-AW$127)*(1-AW$123)*$K137)</f>
        <v/>
      </c>
      <c r="AX137" s="651" t="str">
        <f>IF(OR(AX$122="",$I137=""),"",'I. Stream &amp; Compound Data'!DR192/$J137*(1-AX$127)*(1-AX$123)*$K137)</f>
        <v/>
      </c>
      <c r="AY137" s="667" t="str">
        <f>IF(OR(AY$122="",$I137=""),"",'I. Stream &amp; Compound Data'!DU192/$J137*(1-AY$127)*(1-AY$123)*$K137)</f>
        <v/>
      </c>
      <c r="AZ137" s="336"/>
      <c r="BA137" s="632"/>
      <c r="BB137" s="632"/>
      <c r="BC137" s="632"/>
      <c r="BD137" s="632"/>
      <c r="BE137" s="632"/>
      <c r="BF137" s="632"/>
      <c r="BG137" s="632"/>
      <c r="BH137" s="632"/>
      <c r="BI137" s="632"/>
      <c r="BJ137" s="632"/>
      <c r="BK137" s="632"/>
      <c r="BL137" s="632"/>
      <c r="BM137" s="632"/>
      <c r="BN137" s="632"/>
      <c r="BO137" s="632"/>
      <c r="BP137" s="632"/>
      <c r="BQ137" s="632"/>
      <c r="BR137" s="632"/>
      <c r="BS137" s="632"/>
      <c r="BT137" s="632"/>
      <c r="BU137" s="632"/>
      <c r="BV137" s="632"/>
      <c r="BW137" s="632"/>
      <c r="BX137" s="632"/>
      <c r="BY137" s="632"/>
      <c r="BZ137" s="632"/>
      <c r="CA137" s="632"/>
      <c r="CB137" s="632"/>
      <c r="CC137" s="632"/>
      <c r="CD137" s="632"/>
      <c r="CE137" s="632"/>
      <c r="CF137" s="632"/>
      <c r="CG137" s="632"/>
      <c r="CH137" s="632"/>
      <c r="CI137" s="632"/>
      <c r="CJ137" s="632"/>
      <c r="CK137" s="632"/>
      <c r="CL137" s="632"/>
      <c r="CM137" s="632"/>
      <c r="CN137" s="631"/>
    </row>
    <row r="138" spans="2:92" ht="15.75" x14ac:dyDescent="0.2">
      <c r="B138" s="610"/>
      <c r="C138" s="336"/>
      <c r="D138" s="611"/>
      <c r="E138" s="612"/>
      <c r="F138" s="612"/>
      <c r="G138" s="612"/>
      <c r="H138" s="618">
        <f>'I. Stream &amp; Compound Data'!F269</f>
        <v>8</v>
      </c>
      <c r="I138" s="677" t="str">
        <f>IF('I. Stream &amp; Compound Data'!G269&lt;&gt;"",'I. Stream &amp; Compound Data'!G269,"")</f>
        <v>Sodium Hydroxide</v>
      </c>
      <c r="J138" s="676">
        <f>IF('I. Stream &amp; Compound Data'!BH269="","",'I. Stream &amp; Compound Data'!BH269)</f>
        <v>1782.3627984679999</v>
      </c>
      <c r="K138" s="652">
        <f>IF('I. Stream &amp; Compound Data'!G269="","",IF(OR('I. Stream &amp; Compound Data'!U269=1,'I. Stream &amp; Compound Data'!V269=1,'I. Stream &amp; Compound Data'!AY269&lt;25),0,1))</f>
        <v>1</v>
      </c>
      <c r="L138" s="651">
        <f>IF(OR(I138="",L$122=""),"",'I. Stream &amp; Compound Data'!H193/$J138*(1-L$127)*(1-L$123)*$K138)</f>
        <v>0</v>
      </c>
      <c r="M138" s="651">
        <f>IF(OR(J138="",M$122=""),"",'I. Stream &amp; Compound Data'!K193/$J138*(1-M$127)*(1-M$123)*$K138)</f>
        <v>0</v>
      </c>
      <c r="N138" s="651">
        <f>IF(OR(K138="",N$122=""),"",'I. Stream &amp; Compound Data'!N193/$J138*(1-N$127)*(1-N$123)*$K138)</f>
        <v>0</v>
      </c>
      <c r="O138" s="651">
        <f>IF(OR(L138="",O$122=""),"",'I. Stream &amp; Compound Data'!Q193/$J138*(1-O$127)*(1-O$123)*$K138)</f>
        <v>3.5865874251272815E-3</v>
      </c>
      <c r="P138" s="651">
        <f>IF(OR(M138="",P$122=""),"",'I. Stream &amp; Compound Data'!T193/$J138*(1-P$127)*(1-P$123)*$K138)</f>
        <v>0</v>
      </c>
      <c r="Q138" s="651">
        <f>IF(OR(N138="",Q$122=""),"",'I. Stream &amp; Compound Data'!W193/$J138*(1-Q$127)*(1-Q$123)*$K138)</f>
        <v>0</v>
      </c>
      <c r="R138" s="651">
        <f>IF(OR(O138="",R$122=""),"",'I. Stream &amp; Compound Data'!Z193/$J138*(1-R$127)*(1-R$123)*$K138)</f>
        <v>2.8052650135526091E-5</v>
      </c>
      <c r="S138" s="651">
        <f>IF(OR(P138="",S$122=""),"",'I. Stream &amp; Compound Data'!AC193/$J138*(1-S$127)*(1-S$123)*$K138)</f>
        <v>0</v>
      </c>
      <c r="T138" s="651" t="str">
        <f>IF(OR(Q138="",T$122=""),"",'I. Stream &amp; Compound Data'!AF193/$J138*(1-T$127)*(1-T$123)*$K138)</f>
        <v/>
      </c>
      <c r="U138" s="651" t="str">
        <f>IF(OR(R138="",U$122=""),"",'I. Stream &amp; Compound Data'!AI193/$J138*(1-U$127)*(1-U$123)*$K138)</f>
        <v/>
      </c>
      <c r="V138" s="651" t="str">
        <f>IF(OR(V$122="",$I138=""),"",'I. Stream &amp; Compound Data'!AL193/$J138*(1-V$127)*(1-V$123)*$K138)</f>
        <v/>
      </c>
      <c r="W138" s="651" t="str">
        <f>IF(OR(W$122="",$I138=""),"",'I. Stream &amp; Compound Data'!AO193/$J138*(1-W$127)*(1-W$123)*$K138)</f>
        <v/>
      </c>
      <c r="X138" s="651" t="str">
        <f>IF(OR(X$122="",$I138=""),"",'I. Stream &amp; Compound Data'!AR193/$J138*(1-X$127)*(1-X$123)*$K138)</f>
        <v/>
      </c>
      <c r="Y138" s="651" t="str">
        <f>IF(OR(Y$122="",$I138=""),"",'I. Stream &amp; Compound Data'!AU193/$J138*(1-Y$127)*(1-Y$123)*$K138)</f>
        <v/>
      </c>
      <c r="Z138" s="651" t="str">
        <f>IF(OR(Z$122="",$I138=""),"",'I. Stream &amp; Compound Data'!AX193/$J138*(1-Z$127)*(1-Z$123)*$K138)</f>
        <v/>
      </c>
      <c r="AA138" s="651" t="str">
        <f>IF(OR(AA$122="",$I138=""),"",'I. Stream &amp; Compound Data'!BA193/$J138*(1-AA$127)*(1-AA$123)*$K138)</f>
        <v/>
      </c>
      <c r="AB138" s="651" t="str">
        <f>IF(OR(AB$122="",$I138=""),"",'I. Stream &amp; Compound Data'!BD193/$J138*(1-AB$127)*(1-AB$123)*$K138)</f>
        <v/>
      </c>
      <c r="AC138" s="651" t="str">
        <f>IF(OR(AC$122="",$I138=""),"",'I. Stream &amp; Compound Data'!BG193/$J138*(1-AC$127)*(1-AC$123)*$K138)</f>
        <v/>
      </c>
      <c r="AD138" s="651" t="str">
        <f>IF(OR(AD$122="",$I138=""),"",'I. Stream &amp; Compound Data'!BJ193/$J138*(1-AD$127)*(1-AD$123)*$K138)</f>
        <v/>
      </c>
      <c r="AE138" s="651" t="str">
        <f>IF(OR(AE$122="",$I138=""),"",'I. Stream &amp; Compound Data'!BM193/$J138*(1-AE$127)*(1-AE$123)*$K138)</f>
        <v/>
      </c>
      <c r="AF138" s="651" t="str">
        <f>IF(OR(AF$122="",$I138=""),"",'I. Stream &amp; Compound Data'!BP193/$J138*(1-AF$127)*(1-AF$123)*$K138)</f>
        <v/>
      </c>
      <c r="AG138" s="651" t="str">
        <f>IF(OR(AG$122="",$I138=""),"",'I. Stream &amp; Compound Data'!BS193/$J138*(1-AG$127)*(1-AG$123)*$K138)</f>
        <v/>
      </c>
      <c r="AH138" s="651" t="str">
        <f>IF(OR(AH$122="",$I138=""),"",'I. Stream &amp; Compound Data'!BV193/$J138*(1-AH$127)*(1-AH$123)*$K138)</f>
        <v/>
      </c>
      <c r="AI138" s="651" t="str">
        <f>IF(OR(AI$122="",$I138=""),"",'I. Stream &amp; Compound Data'!BY193/$J138*(1-AI$127)*(1-AI$123)*$K138)</f>
        <v/>
      </c>
      <c r="AJ138" s="651" t="str">
        <f>IF(OR(AJ$122="",$I138=""),"",'I. Stream &amp; Compound Data'!CB193/$J138*(1-AJ$127)*(1-AJ$123)*$K138)</f>
        <v/>
      </c>
      <c r="AK138" s="651" t="str">
        <f>IF(OR(AK$122="",$I138=""),"",'I. Stream &amp; Compound Data'!CE193/$J138*(1-AK$127)*(1-AK$123)*$K138)</f>
        <v/>
      </c>
      <c r="AL138" s="651" t="str">
        <f>IF(OR(AL$122="",$I138=""),"",'I. Stream &amp; Compound Data'!CH193/$J138*(1-AL$127)*(1-AL$123)*$K138)</f>
        <v/>
      </c>
      <c r="AM138" s="651" t="str">
        <f>IF(OR(AM$122="",$I138=""),"",'I. Stream &amp; Compound Data'!CK193/$J138*(1-AM$127)*(1-AM$123)*$K138)</f>
        <v/>
      </c>
      <c r="AN138" s="651" t="str">
        <f>IF(OR(AN$122="",$I138=""),"",'I. Stream &amp; Compound Data'!CN193/$J138*(1-AN$127)*(1-AN$123)*$K138)</f>
        <v/>
      </c>
      <c r="AO138" s="651" t="str">
        <f>IF(OR(AO$122="",$I138=""),"",'I. Stream &amp; Compound Data'!CQ193/$J138*(1-AO$127)*(1-AO$123)*$K138)</f>
        <v/>
      </c>
      <c r="AP138" s="651" t="str">
        <f>IF(OR(AP$122="",$I138=""),"",'I. Stream &amp; Compound Data'!CT193/$J138*(1-AP$127)*(1-AP$123)*$K138)</f>
        <v/>
      </c>
      <c r="AQ138" s="651" t="str">
        <f>IF(OR(AQ$122="",$I138=""),"",'I. Stream &amp; Compound Data'!CW193/$J138*(1-AQ$127)*(1-AQ$123)*$K138)</f>
        <v/>
      </c>
      <c r="AR138" s="651" t="str">
        <f>IF(OR(AR$122="",$I138=""),"",'I. Stream &amp; Compound Data'!CZ193/$J138*(1-AR$127)*(1-AR$123)*$K138)</f>
        <v/>
      </c>
      <c r="AS138" s="651" t="str">
        <f>IF(OR(AS$122="",$I138=""),"",'I. Stream &amp; Compound Data'!DC193/$J138*(1-AS$127)*(1-AS$123)*$K138)</f>
        <v/>
      </c>
      <c r="AT138" s="651" t="str">
        <f>IF(OR(AT$122="",$I138=""),"",'I. Stream &amp; Compound Data'!DF193/$J138*(1-AT$127)*(1-AT$123)*$K138)</f>
        <v/>
      </c>
      <c r="AU138" s="651" t="str">
        <f>IF(OR(AU$122="",$I138=""),"",'I. Stream &amp; Compound Data'!DI193/$J138*(1-AU$127)*(1-AU$123)*$K138)</f>
        <v/>
      </c>
      <c r="AV138" s="651" t="str">
        <f>IF(OR(AV$122="",$I138=""),"",'I. Stream &amp; Compound Data'!DL193/$J138*(1-AV$127)*(1-AV$123)*$K138)</f>
        <v/>
      </c>
      <c r="AW138" s="651" t="str">
        <f>IF(OR(AW$122="",$I138=""),"",'I. Stream &amp; Compound Data'!DO193/$J138*(1-AW$127)*(1-AW$123)*$K138)</f>
        <v/>
      </c>
      <c r="AX138" s="651" t="str">
        <f>IF(OR(AX$122="",$I138=""),"",'I. Stream &amp; Compound Data'!DR193/$J138*(1-AX$127)*(1-AX$123)*$K138)</f>
        <v/>
      </c>
      <c r="AY138" s="667" t="str">
        <f>IF(OR(AY$122="",$I138=""),"",'I. Stream &amp; Compound Data'!DU193/$J138*(1-AY$127)*(1-AY$123)*$K138)</f>
        <v/>
      </c>
      <c r="AZ138" s="336"/>
      <c r="BA138" s="632"/>
      <c r="BB138" s="632"/>
      <c r="BC138" s="632"/>
      <c r="BD138" s="632"/>
      <c r="BE138" s="632"/>
      <c r="BF138" s="632"/>
      <c r="BG138" s="632"/>
      <c r="BH138" s="632"/>
      <c r="BI138" s="632"/>
      <c r="BJ138" s="632"/>
      <c r="BK138" s="632"/>
      <c r="BL138" s="632"/>
      <c r="BM138" s="632"/>
      <c r="BN138" s="632"/>
      <c r="BO138" s="632"/>
      <c r="BP138" s="632"/>
      <c r="BQ138" s="632"/>
      <c r="BR138" s="632"/>
      <c r="BS138" s="632"/>
      <c r="BT138" s="632"/>
      <c r="BU138" s="632"/>
      <c r="BV138" s="632"/>
      <c r="BW138" s="632"/>
      <c r="BX138" s="632"/>
      <c r="BY138" s="632"/>
      <c r="BZ138" s="632"/>
      <c r="CA138" s="632"/>
      <c r="CB138" s="632"/>
      <c r="CC138" s="632"/>
      <c r="CD138" s="632"/>
      <c r="CE138" s="632"/>
      <c r="CF138" s="632"/>
      <c r="CG138" s="632"/>
      <c r="CH138" s="632"/>
      <c r="CI138" s="632"/>
      <c r="CJ138" s="632"/>
      <c r="CK138" s="632"/>
      <c r="CL138" s="632"/>
      <c r="CM138" s="632"/>
      <c r="CN138" s="631"/>
    </row>
    <row r="139" spans="2:92" ht="15.75" x14ac:dyDescent="0.2">
      <c r="B139" s="610"/>
      <c r="C139" s="336"/>
      <c r="D139" s="611"/>
      <c r="E139" s="612"/>
      <c r="F139" s="612"/>
      <c r="G139" s="612"/>
      <c r="H139" s="618">
        <f>'I. Stream &amp; Compound Data'!F270</f>
        <v>9</v>
      </c>
      <c r="I139" s="677" t="str">
        <f>IF('I. Stream &amp; Compound Data'!G270&lt;&gt;"",'I. Stream &amp; Compound Data'!G270,"")</f>
        <v>Sulfuric Acid</v>
      </c>
      <c r="J139" s="676">
        <f>IF('I. Stream &amp; Compound Data'!BH270="","",'I. Stream &amp; Compound Data'!BH270)</f>
        <v>1832.9</v>
      </c>
      <c r="K139" s="652">
        <f>IF('I. Stream &amp; Compound Data'!G270="","",IF(OR('I. Stream &amp; Compound Data'!U270=1,'I. Stream &amp; Compound Data'!V270=1,'I. Stream &amp; Compound Data'!AY270&lt;25),0,1))</f>
        <v>1</v>
      </c>
      <c r="L139" s="651">
        <f>IF(OR(I139="",L$122=""),"",'I. Stream &amp; Compound Data'!H194/$J139*(1-L$127)*(1-L$123)*$K139)</f>
        <v>0</v>
      </c>
      <c r="M139" s="651">
        <f>IF(OR(J139="",M$122=""),"",'I. Stream &amp; Compound Data'!K194/$J139*(1-M$127)*(1-M$123)*$K139)</f>
        <v>0</v>
      </c>
      <c r="N139" s="651">
        <f>IF(OR(K139="",N$122=""),"",'I. Stream &amp; Compound Data'!N194/$J139*(1-N$127)*(1-N$123)*$K139)</f>
        <v>0</v>
      </c>
      <c r="O139" s="651">
        <f>IF(OR(L139="",O$122=""),"",'I. Stream &amp; Compound Data'!Q194/$J139*(1-O$127)*(1-O$123)*$K139)</f>
        <v>0</v>
      </c>
      <c r="P139" s="651">
        <f>IF(OR(M139="",P$122=""),"",'I. Stream &amp; Compound Data'!T194/$J139*(1-P$127)*(1-P$123)*$K139)</f>
        <v>0</v>
      </c>
      <c r="Q139" s="651">
        <f>IF(OR(N139="",Q$122=""),"",'I. Stream &amp; Compound Data'!W194/$J139*(1-Q$127)*(1-Q$123)*$K139)</f>
        <v>0</v>
      </c>
      <c r="R139" s="651">
        <f>IF(OR(O139="",R$122=""),"",'I. Stream &amp; Compound Data'!Z194/$J139*(1-R$127)*(1-R$123)*$K139)</f>
        <v>0</v>
      </c>
      <c r="S139" s="651">
        <f>IF(OR(P139="",S$122=""),"",'I. Stream &amp; Compound Data'!AC194/$J139*(1-S$127)*(1-S$123)*$K139)</f>
        <v>0</v>
      </c>
      <c r="T139" s="651" t="str">
        <f>IF(OR(Q139="",T$122=""),"",'I. Stream &amp; Compound Data'!AF194/$J139*(1-T$127)*(1-T$123)*$K139)</f>
        <v/>
      </c>
      <c r="U139" s="651" t="str">
        <f>IF(OR(R139="",U$122=""),"",'I. Stream &amp; Compound Data'!AI194/$J139*(1-U$127)*(1-U$123)*$K139)</f>
        <v/>
      </c>
      <c r="V139" s="651" t="str">
        <f>IF(OR(V$122="",$I139=""),"",'I. Stream &amp; Compound Data'!AL194/$J139*(1-V$127)*(1-V$123)*$K139)</f>
        <v/>
      </c>
      <c r="W139" s="651" t="str">
        <f>IF(OR(W$122="",$I139=""),"",'I. Stream &amp; Compound Data'!AO194/$J139*(1-W$127)*(1-W$123)*$K139)</f>
        <v/>
      </c>
      <c r="X139" s="651" t="str">
        <f>IF(OR(X$122="",$I139=""),"",'I. Stream &amp; Compound Data'!AR194/$J139*(1-X$127)*(1-X$123)*$K139)</f>
        <v/>
      </c>
      <c r="Y139" s="651" t="str">
        <f>IF(OR(Y$122="",$I139=""),"",'I. Stream &amp; Compound Data'!AU194/$J139*(1-Y$127)*(1-Y$123)*$K139)</f>
        <v/>
      </c>
      <c r="Z139" s="651" t="str">
        <f>IF(OR(Z$122="",$I139=""),"",'I. Stream &amp; Compound Data'!AX194/$J139*(1-Z$127)*(1-Z$123)*$K139)</f>
        <v/>
      </c>
      <c r="AA139" s="651" t="str">
        <f>IF(OR(AA$122="",$I139=""),"",'I. Stream &amp; Compound Data'!BA194/$J139*(1-AA$127)*(1-AA$123)*$K139)</f>
        <v/>
      </c>
      <c r="AB139" s="651" t="str">
        <f>IF(OR(AB$122="",$I139=""),"",'I. Stream &amp; Compound Data'!BD194/$J139*(1-AB$127)*(1-AB$123)*$K139)</f>
        <v/>
      </c>
      <c r="AC139" s="651" t="str">
        <f>IF(OR(AC$122="",$I139=""),"",'I. Stream &amp; Compound Data'!BG194/$J139*(1-AC$127)*(1-AC$123)*$K139)</f>
        <v/>
      </c>
      <c r="AD139" s="651" t="str">
        <f>IF(OR(AD$122="",$I139=""),"",'I. Stream &amp; Compound Data'!BJ194/$J139*(1-AD$127)*(1-AD$123)*$K139)</f>
        <v/>
      </c>
      <c r="AE139" s="651" t="str">
        <f>IF(OR(AE$122="",$I139=""),"",'I. Stream &amp; Compound Data'!BM194/$J139*(1-AE$127)*(1-AE$123)*$K139)</f>
        <v/>
      </c>
      <c r="AF139" s="651" t="str">
        <f>IF(OR(AF$122="",$I139=""),"",'I. Stream &amp; Compound Data'!BP194/$J139*(1-AF$127)*(1-AF$123)*$K139)</f>
        <v/>
      </c>
      <c r="AG139" s="651" t="str">
        <f>IF(OR(AG$122="",$I139=""),"",'I. Stream &amp; Compound Data'!BS194/$J139*(1-AG$127)*(1-AG$123)*$K139)</f>
        <v/>
      </c>
      <c r="AH139" s="651" t="str">
        <f>IF(OR(AH$122="",$I139=""),"",'I. Stream &amp; Compound Data'!BV194/$J139*(1-AH$127)*(1-AH$123)*$K139)</f>
        <v/>
      </c>
      <c r="AI139" s="651" t="str">
        <f>IF(OR(AI$122="",$I139=""),"",'I. Stream &amp; Compound Data'!BY194/$J139*(1-AI$127)*(1-AI$123)*$K139)</f>
        <v/>
      </c>
      <c r="AJ139" s="651" t="str">
        <f>IF(OR(AJ$122="",$I139=""),"",'I. Stream &amp; Compound Data'!CB194/$J139*(1-AJ$127)*(1-AJ$123)*$K139)</f>
        <v/>
      </c>
      <c r="AK139" s="651" t="str">
        <f>IF(OR(AK$122="",$I139=""),"",'I. Stream &amp; Compound Data'!CE194/$J139*(1-AK$127)*(1-AK$123)*$K139)</f>
        <v/>
      </c>
      <c r="AL139" s="651" t="str">
        <f>IF(OR(AL$122="",$I139=""),"",'I. Stream &amp; Compound Data'!CH194/$J139*(1-AL$127)*(1-AL$123)*$K139)</f>
        <v/>
      </c>
      <c r="AM139" s="651" t="str">
        <f>IF(OR(AM$122="",$I139=""),"",'I. Stream &amp; Compound Data'!CK194/$J139*(1-AM$127)*(1-AM$123)*$K139)</f>
        <v/>
      </c>
      <c r="AN139" s="651" t="str">
        <f>IF(OR(AN$122="",$I139=""),"",'I. Stream &amp; Compound Data'!CN194/$J139*(1-AN$127)*(1-AN$123)*$K139)</f>
        <v/>
      </c>
      <c r="AO139" s="651" t="str">
        <f>IF(OR(AO$122="",$I139=""),"",'I. Stream &amp; Compound Data'!CQ194/$J139*(1-AO$127)*(1-AO$123)*$K139)</f>
        <v/>
      </c>
      <c r="AP139" s="651" t="str">
        <f>IF(OR(AP$122="",$I139=""),"",'I. Stream &amp; Compound Data'!CT194/$J139*(1-AP$127)*(1-AP$123)*$K139)</f>
        <v/>
      </c>
      <c r="AQ139" s="651" t="str">
        <f>IF(OR(AQ$122="",$I139=""),"",'I. Stream &amp; Compound Data'!CW194/$J139*(1-AQ$127)*(1-AQ$123)*$K139)</f>
        <v/>
      </c>
      <c r="AR139" s="651" t="str">
        <f>IF(OR(AR$122="",$I139=""),"",'I. Stream &amp; Compound Data'!CZ194/$J139*(1-AR$127)*(1-AR$123)*$K139)</f>
        <v/>
      </c>
      <c r="AS139" s="651" t="str">
        <f>IF(OR(AS$122="",$I139=""),"",'I. Stream &amp; Compound Data'!DC194/$J139*(1-AS$127)*(1-AS$123)*$K139)</f>
        <v/>
      </c>
      <c r="AT139" s="651" t="str">
        <f>IF(OR(AT$122="",$I139=""),"",'I. Stream &amp; Compound Data'!DF194/$J139*(1-AT$127)*(1-AT$123)*$K139)</f>
        <v/>
      </c>
      <c r="AU139" s="651" t="str">
        <f>IF(OR(AU$122="",$I139=""),"",'I. Stream &amp; Compound Data'!DI194/$J139*(1-AU$127)*(1-AU$123)*$K139)</f>
        <v/>
      </c>
      <c r="AV139" s="651" t="str">
        <f>IF(OR(AV$122="",$I139=""),"",'I. Stream &amp; Compound Data'!DL194/$J139*(1-AV$127)*(1-AV$123)*$K139)</f>
        <v/>
      </c>
      <c r="AW139" s="651" t="str">
        <f>IF(OR(AW$122="",$I139=""),"",'I. Stream &amp; Compound Data'!DO194/$J139*(1-AW$127)*(1-AW$123)*$K139)</f>
        <v/>
      </c>
      <c r="AX139" s="651" t="str">
        <f>IF(OR(AX$122="",$I139=""),"",'I. Stream &amp; Compound Data'!DR194/$J139*(1-AX$127)*(1-AX$123)*$K139)</f>
        <v/>
      </c>
      <c r="AY139" s="667" t="str">
        <f>IF(OR(AY$122="",$I139=""),"",'I. Stream &amp; Compound Data'!DU194/$J139*(1-AY$127)*(1-AY$123)*$K139)</f>
        <v/>
      </c>
      <c r="AZ139" s="336"/>
      <c r="BA139" s="632"/>
      <c r="BB139" s="632"/>
      <c r="BC139" s="632"/>
      <c r="BD139" s="632"/>
      <c r="BE139" s="632"/>
      <c r="BF139" s="632"/>
      <c r="BG139" s="632"/>
      <c r="BH139" s="632"/>
      <c r="BI139" s="632"/>
      <c r="BJ139" s="632"/>
      <c r="BK139" s="632"/>
      <c r="BL139" s="632"/>
      <c r="BM139" s="632"/>
      <c r="BN139" s="632"/>
      <c r="BO139" s="632"/>
      <c r="BP139" s="632"/>
      <c r="BQ139" s="632"/>
      <c r="BR139" s="632"/>
      <c r="BS139" s="632"/>
      <c r="BT139" s="632"/>
      <c r="BU139" s="632"/>
      <c r="BV139" s="632"/>
      <c r="BW139" s="632"/>
      <c r="BX139" s="632"/>
      <c r="BY139" s="632"/>
      <c r="BZ139" s="632"/>
      <c r="CA139" s="632"/>
      <c r="CB139" s="632"/>
      <c r="CC139" s="632"/>
      <c r="CD139" s="632"/>
      <c r="CE139" s="632"/>
      <c r="CF139" s="632"/>
      <c r="CG139" s="632"/>
      <c r="CH139" s="632"/>
      <c r="CI139" s="632"/>
      <c r="CJ139" s="632"/>
      <c r="CK139" s="632"/>
      <c r="CL139" s="632"/>
      <c r="CM139" s="632"/>
      <c r="CN139" s="631"/>
    </row>
    <row r="140" spans="2:92" ht="15.75" x14ac:dyDescent="0.2">
      <c r="B140" s="610"/>
      <c r="C140" s="336"/>
      <c r="D140" s="611"/>
      <c r="E140" s="612"/>
      <c r="F140" s="612"/>
      <c r="G140" s="612"/>
      <c r="H140" s="618">
        <f>'I. Stream &amp; Compound Data'!F271</f>
        <v>10</v>
      </c>
      <c r="I140" s="677" t="str">
        <f>IF('I. Stream &amp; Compound Data'!G271&lt;&gt;"",'I. Stream &amp; Compound Data'!G271,"")</f>
        <v>Oleic Acid</v>
      </c>
      <c r="J140" s="676">
        <f>IF('I. Stream &amp; Compound Data'!BH271="","",'I. Stream &amp; Compound Data'!BH271)</f>
        <v>895</v>
      </c>
      <c r="K140" s="652">
        <f>IF('I. Stream &amp; Compound Data'!G271="","",IF(OR('I. Stream &amp; Compound Data'!U271=1,'I. Stream &amp; Compound Data'!V271=1,'I. Stream &amp; Compound Data'!AY271&lt;25),0,1))</f>
        <v>0</v>
      </c>
      <c r="L140" s="651">
        <f>IF(OR(I140="",L$122=""),"",'I. Stream &amp; Compound Data'!H195/$J140*(1-L$127)*(1-L$123)*$K140)</f>
        <v>0</v>
      </c>
      <c r="M140" s="651">
        <f>IF(OR(J140="",M$122=""),"",'I. Stream &amp; Compound Data'!K195/$J140*(1-M$127)*(1-M$123)*$K140)</f>
        <v>0</v>
      </c>
      <c r="N140" s="651">
        <f>IF(OR(K140="",N$122=""),"",'I. Stream &amp; Compound Data'!N195/$J140*(1-N$127)*(1-N$123)*$K140)</f>
        <v>0</v>
      </c>
      <c r="O140" s="651">
        <f>IF(OR(L140="",O$122=""),"",'I. Stream &amp; Compound Data'!Q195/$J140*(1-O$127)*(1-O$123)*$K140)</f>
        <v>0</v>
      </c>
      <c r="P140" s="651">
        <f>IF(OR(M140="",P$122=""),"",'I. Stream &amp; Compound Data'!T195/$J140*(1-P$127)*(1-P$123)*$K140)</f>
        <v>0</v>
      </c>
      <c r="Q140" s="651">
        <f>IF(OR(N140="",Q$122=""),"",'I. Stream &amp; Compound Data'!W195/$J140*(1-Q$127)*(1-Q$123)*$K140)</f>
        <v>0</v>
      </c>
      <c r="R140" s="651">
        <f>IF(OR(O140="",R$122=""),"",'I. Stream &amp; Compound Data'!Z195/$J140*(1-R$127)*(1-R$123)*$K140)</f>
        <v>0</v>
      </c>
      <c r="S140" s="651">
        <f>IF(OR(P140="",S$122=""),"",'I. Stream &amp; Compound Data'!AC195/$J140*(1-S$127)*(1-S$123)*$K140)</f>
        <v>0</v>
      </c>
      <c r="T140" s="651" t="str">
        <f>IF(OR(Q140="",T$122=""),"",'I. Stream &amp; Compound Data'!AF195/$J140*(1-T$127)*(1-T$123)*$K140)</f>
        <v/>
      </c>
      <c r="U140" s="651" t="str">
        <f>IF(OR(R140="",U$122=""),"",'I. Stream &amp; Compound Data'!AI195/$J140*(1-U$127)*(1-U$123)*$K140)</f>
        <v/>
      </c>
      <c r="V140" s="651" t="str">
        <f>IF(OR(V$122="",$I140=""),"",'I. Stream &amp; Compound Data'!AL195/$J140*(1-V$127)*(1-V$123)*$K140)</f>
        <v/>
      </c>
      <c r="W140" s="651" t="str">
        <f>IF(OR(W$122="",$I140=""),"",'I. Stream &amp; Compound Data'!AO195/$J140*(1-W$127)*(1-W$123)*$K140)</f>
        <v/>
      </c>
      <c r="X140" s="651" t="str">
        <f>IF(OR(X$122="",$I140=""),"",'I. Stream &amp; Compound Data'!AR195/$J140*(1-X$127)*(1-X$123)*$K140)</f>
        <v/>
      </c>
      <c r="Y140" s="651" t="str">
        <f>IF(OR(Y$122="",$I140=""),"",'I. Stream &amp; Compound Data'!AU195/$J140*(1-Y$127)*(1-Y$123)*$K140)</f>
        <v/>
      </c>
      <c r="Z140" s="651" t="str">
        <f>IF(OR(Z$122="",$I140=""),"",'I. Stream &amp; Compound Data'!AX195/$J140*(1-Z$127)*(1-Z$123)*$K140)</f>
        <v/>
      </c>
      <c r="AA140" s="651" t="str">
        <f>IF(OR(AA$122="",$I140=""),"",'I. Stream &amp; Compound Data'!BA195/$J140*(1-AA$127)*(1-AA$123)*$K140)</f>
        <v/>
      </c>
      <c r="AB140" s="651" t="str">
        <f>IF(OR(AB$122="",$I140=""),"",'I. Stream &amp; Compound Data'!BD195/$J140*(1-AB$127)*(1-AB$123)*$K140)</f>
        <v/>
      </c>
      <c r="AC140" s="651" t="str">
        <f>IF(OR(AC$122="",$I140=""),"",'I. Stream &amp; Compound Data'!BG195/$J140*(1-AC$127)*(1-AC$123)*$K140)</f>
        <v/>
      </c>
      <c r="AD140" s="651" t="str">
        <f>IF(OR(AD$122="",$I140=""),"",'I. Stream &amp; Compound Data'!BJ195/$J140*(1-AD$127)*(1-AD$123)*$K140)</f>
        <v/>
      </c>
      <c r="AE140" s="651" t="str">
        <f>IF(OR(AE$122="",$I140=""),"",'I. Stream &amp; Compound Data'!BM195/$J140*(1-AE$127)*(1-AE$123)*$K140)</f>
        <v/>
      </c>
      <c r="AF140" s="651" t="str">
        <f>IF(OR(AF$122="",$I140=""),"",'I. Stream &amp; Compound Data'!BP195/$J140*(1-AF$127)*(1-AF$123)*$K140)</f>
        <v/>
      </c>
      <c r="AG140" s="651" t="str">
        <f>IF(OR(AG$122="",$I140=""),"",'I. Stream &amp; Compound Data'!BS195/$J140*(1-AG$127)*(1-AG$123)*$K140)</f>
        <v/>
      </c>
      <c r="AH140" s="651" t="str">
        <f>IF(OR(AH$122="",$I140=""),"",'I. Stream &amp; Compound Data'!BV195/$J140*(1-AH$127)*(1-AH$123)*$K140)</f>
        <v/>
      </c>
      <c r="AI140" s="651" t="str">
        <f>IF(OR(AI$122="",$I140=""),"",'I. Stream &amp; Compound Data'!BY195/$J140*(1-AI$127)*(1-AI$123)*$K140)</f>
        <v/>
      </c>
      <c r="AJ140" s="651" t="str">
        <f>IF(OR(AJ$122="",$I140=""),"",'I. Stream &amp; Compound Data'!CB195/$J140*(1-AJ$127)*(1-AJ$123)*$K140)</f>
        <v/>
      </c>
      <c r="AK140" s="651" t="str">
        <f>IF(OR(AK$122="",$I140=""),"",'I. Stream &amp; Compound Data'!CE195/$J140*(1-AK$127)*(1-AK$123)*$K140)</f>
        <v/>
      </c>
      <c r="AL140" s="651" t="str">
        <f>IF(OR(AL$122="",$I140=""),"",'I. Stream &amp; Compound Data'!CH195/$J140*(1-AL$127)*(1-AL$123)*$K140)</f>
        <v/>
      </c>
      <c r="AM140" s="651" t="str">
        <f>IF(OR(AM$122="",$I140=""),"",'I. Stream &amp; Compound Data'!CK195/$J140*(1-AM$127)*(1-AM$123)*$K140)</f>
        <v/>
      </c>
      <c r="AN140" s="651" t="str">
        <f>IF(OR(AN$122="",$I140=""),"",'I. Stream &amp; Compound Data'!CN195/$J140*(1-AN$127)*(1-AN$123)*$K140)</f>
        <v/>
      </c>
      <c r="AO140" s="651" t="str">
        <f>IF(OR(AO$122="",$I140=""),"",'I. Stream &amp; Compound Data'!CQ195/$J140*(1-AO$127)*(1-AO$123)*$K140)</f>
        <v/>
      </c>
      <c r="AP140" s="651" t="str">
        <f>IF(OR(AP$122="",$I140=""),"",'I. Stream &amp; Compound Data'!CT195/$J140*(1-AP$127)*(1-AP$123)*$K140)</f>
        <v/>
      </c>
      <c r="AQ140" s="651" t="str">
        <f>IF(OR(AQ$122="",$I140=""),"",'I. Stream &amp; Compound Data'!CW195/$J140*(1-AQ$127)*(1-AQ$123)*$K140)</f>
        <v/>
      </c>
      <c r="AR140" s="651" t="str">
        <f>IF(OR(AR$122="",$I140=""),"",'I. Stream &amp; Compound Data'!CZ195/$J140*(1-AR$127)*(1-AR$123)*$K140)</f>
        <v/>
      </c>
      <c r="AS140" s="651" t="str">
        <f>IF(OR(AS$122="",$I140=""),"",'I. Stream &amp; Compound Data'!DC195/$J140*(1-AS$127)*(1-AS$123)*$K140)</f>
        <v/>
      </c>
      <c r="AT140" s="651" t="str">
        <f>IF(OR(AT$122="",$I140=""),"",'I. Stream &amp; Compound Data'!DF195/$J140*(1-AT$127)*(1-AT$123)*$K140)</f>
        <v/>
      </c>
      <c r="AU140" s="651" t="str">
        <f>IF(OR(AU$122="",$I140=""),"",'I. Stream &amp; Compound Data'!DI195/$J140*(1-AU$127)*(1-AU$123)*$K140)</f>
        <v/>
      </c>
      <c r="AV140" s="651" t="str">
        <f>IF(OR(AV$122="",$I140=""),"",'I. Stream &amp; Compound Data'!DL195/$J140*(1-AV$127)*(1-AV$123)*$K140)</f>
        <v/>
      </c>
      <c r="AW140" s="651" t="str">
        <f>IF(OR(AW$122="",$I140=""),"",'I. Stream &amp; Compound Data'!DO195/$J140*(1-AW$127)*(1-AW$123)*$K140)</f>
        <v/>
      </c>
      <c r="AX140" s="651" t="str">
        <f>IF(OR(AX$122="",$I140=""),"",'I. Stream &amp; Compound Data'!DR195/$J140*(1-AX$127)*(1-AX$123)*$K140)</f>
        <v/>
      </c>
      <c r="AY140" s="667" t="str">
        <f>IF(OR(AY$122="",$I140=""),"",'I. Stream &amp; Compound Data'!DU195/$J140*(1-AY$127)*(1-AY$123)*$K140)</f>
        <v/>
      </c>
      <c r="AZ140" s="336"/>
      <c r="BA140" s="632"/>
      <c r="BB140" s="632"/>
      <c r="BC140" s="632"/>
      <c r="BD140" s="632"/>
      <c r="BE140" s="632"/>
      <c r="BF140" s="632"/>
      <c r="BG140" s="632"/>
      <c r="BH140" s="632"/>
      <c r="BI140" s="632"/>
      <c r="BJ140" s="632"/>
      <c r="BK140" s="632"/>
      <c r="BL140" s="632"/>
      <c r="BM140" s="632"/>
      <c r="BN140" s="632"/>
      <c r="BO140" s="632"/>
      <c r="BP140" s="632"/>
      <c r="BQ140" s="632"/>
      <c r="BR140" s="632"/>
      <c r="BS140" s="632"/>
      <c r="BT140" s="632"/>
      <c r="BU140" s="632"/>
      <c r="BV140" s="632"/>
      <c r="BW140" s="632"/>
      <c r="BX140" s="632"/>
      <c r="BY140" s="632"/>
      <c r="BZ140" s="632"/>
      <c r="CA140" s="632"/>
      <c r="CB140" s="632"/>
      <c r="CC140" s="632"/>
      <c r="CD140" s="632"/>
      <c r="CE140" s="632"/>
      <c r="CF140" s="632"/>
      <c r="CG140" s="632"/>
      <c r="CH140" s="632"/>
      <c r="CI140" s="632"/>
      <c r="CJ140" s="632"/>
      <c r="CK140" s="632"/>
      <c r="CL140" s="632"/>
      <c r="CM140" s="632"/>
      <c r="CN140" s="631"/>
    </row>
    <row r="141" spans="2:92" ht="15.75" x14ac:dyDescent="0.2">
      <c r="B141" s="610"/>
      <c r="C141" s="336"/>
      <c r="D141" s="611"/>
      <c r="E141" s="612"/>
      <c r="F141" s="612"/>
      <c r="G141" s="612"/>
      <c r="H141" s="618">
        <f>'I. Stream &amp; Compound Data'!F272</f>
        <v>11</v>
      </c>
      <c r="I141" s="677" t="str">
        <f>IF('I. Stream &amp; Compound Data'!G272&lt;&gt;"",'I. Stream &amp; Compound Data'!G272,"")</f>
        <v>Sodium Sulphate</v>
      </c>
      <c r="J141" s="676">
        <f>IF('I. Stream &amp; Compound Data'!BH272="","",'I. Stream &amp; Compound Data'!BH272)</f>
        <v>1464</v>
      </c>
      <c r="K141" s="652">
        <f>IF('I. Stream &amp; Compound Data'!G272="","",IF(OR('I. Stream &amp; Compound Data'!U272=1,'I. Stream &amp; Compound Data'!V272=1,'I. Stream &amp; Compound Data'!AY272&lt;25),0,1))</f>
        <v>0</v>
      </c>
      <c r="L141" s="651">
        <f>IF(OR(I141="",L$122=""),"",'I. Stream &amp; Compound Data'!H196/$J141*(1-L$127)*(1-L$123)*$K141)</f>
        <v>0</v>
      </c>
      <c r="M141" s="651">
        <f>IF(OR(J141="",M$122=""),"",'I. Stream &amp; Compound Data'!K196/$J141*(1-M$127)*(1-M$123)*$K141)</f>
        <v>0</v>
      </c>
      <c r="N141" s="651">
        <f>IF(OR(K141="",N$122=""),"",'I. Stream &amp; Compound Data'!N196/$J141*(1-N$127)*(1-N$123)*$K141)</f>
        <v>0</v>
      </c>
      <c r="O141" s="651">
        <f>IF(OR(L141="",O$122=""),"",'I. Stream &amp; Compound Data'!Q196/$J141*(1-O$127)*(1-O$123)*$K141)</f>
        <v>0</v>
      </c>
      <c r="P141" s="651">
        <f>IF(OR(M141="",P$122=""),"",'I. Stream &amp; Compound Data'!T196/$J141*(1-P$127)*(1-P$123)*$K141)</f>
        <v>0</v>
      </c>
      <c r="Q141" s="651">
        <f>IF(OR(N141="",Q$122=""),"",'I. Stream &amp; Compound Data'!W196/$J141*(1-Q$127)*(1-Q$123)*$K141)</f>
        <v>0</v>
      </c>
      <c r="R141" s="651">
        <f>IF(OR(O141="",R$122=""),"",'I. Stream &amp; Compound Data'!Z196/$J141*(1-R$127)*(1-R$123)*$K141)</f>
        <v>0</v>
      </c>
      <c r="S141" s="651">
        <f>IF(OR(P141="",S$122=""),"",'I. Stream &amp; Compound Data'!AC196/$J141*(1-S$127)*(1-S$123)*$K141)</f>
        <v>0</v>
      </c>
      <c r="T141" s="651" t="str">
        <f>IF(OR(Q141="",T$122=""),"",'I. Stream &amp; Compound Data'!AF196/$J141*(1-T$127)*(1-T$123)*$K141)</f>
        <v/>
      </c>
      <c r="U141" s="651" t="str">
        <f>IF(OR(R141="",U$122=""),"",'I. Stream &amp; Compound Data'!AI196/$J141*(1-U$127)*(1-U$123)*$K141)</f>
        <v/>
      </c>
      <c r="V141" s="651" t="str">
        <f>IF(OR(V$122="",$I141=""),"",'I. Stream &amp; Compound Data'!AL196/$J141*(1-V$127)*(1-V$123)*$K141)</f>
        <v/>
      </c>
      <c r="W141" s="651" t="str">
        <f>IF(OR(W$122="",$I141=""),"",'I. Stream &amp; Compound Data'!AO196/$J141*(1-W$127)*(1-W$123)*$K141)</f>
        <v/>
      </c>
      <c r="X141" s="651" t="str">
        <f>IF(OR(X$122="",$I141=""),"",'I. Stream &amp; Compound Data'!AR196/$J141*(1-X$127)*(1-X$123)*$K141)</f>
        <v/>
      </c>
      <c r="Y141" s="651" t="str">
        <f>IF(OR(Y$122="",$I141=""),"",'I. Stream &amp; Compound Data'!AU196/$J141*(1-Y$127)*(1-Y$123)*$K141)</f>
        <v/>
      </c>
      <c r="Z141" s="651" t="str">
        <f>IF(OR(Z$122="",$I141=""),"",'I. Stream &amp; Compound Data'!AX196/$J141*(1-Z$127)*(1-Z$123)*$K141)</f>
        <v/>
      </c>
      <c r="AA141" s="651" t="str">
        <f>IF(OR(AA$122="",$I141=""),"",'I. Stream &amp; Compound Data'!BA196/$J141*(1-AA$127)*(1-AA$123)*$K141)</f>
        <v/>
      </c>
      <c r="AB141" s="651" t="str">
        <f>IF(OR(AB$122="",$I141=""),"",'I. Stream &amp; Compound Data'!BD196/$J141*(1-AB$127)*(1-AB$123)*$K141)</f>
        <v/>
      </c>
      <c r="AC141" s="651" t="str">
        <f>IF(OR(AC$122="",$I141=""),"",'I. Stream &amp; Compound Data'!BG196/$J141*(1-AC$127)*(1-AC$123)*$K141)</f>
        <v/>
      </c>
      <c r="AD141" s="651" t="str">
        <f>IF(OR(AD$122="",$I141=""),"",'I. Stream &amp; Compound Data'!BJ196/$J141*(1-AD$127)*(1-AD$123)*$K141)</f>
        <v/>
      </c>
      <c r="AE141" s="651" t="str">
        <f>IF(OR(AE$122="",$I141=""),"",'I. Stream &amp; Compound Data'!BM196/$J141*(1-AE$127)*(1-AE$123)*$K141)</f>
        <v/>
      </c>
      <c r="AF141" s="651" t="str">
        <f>IF(OR(AF$122="",$I141=""),"",'I. Stream &amp; Compound Data'!BP196/$J141*(1-AF$127)*(1-AF$123)*$K141)</f>
        <v/>
      </c>
      <c r="AG141" s="651" t="str">
        <f>IF(OR(AG$122="",$I141=""),"",'I. Stream &amp; Compound Data'!BS196/$J141*(1-AG$127)*(1-AG$123)*$K141)</f>
        <v/>
      </c>
      <c r="AH141" s="651" t="str">
        <f>IF(OR(AH$122="",$I141=""),"",'I. Stream &amp; Compound Data'!BV196/$J141*(1-AH$127)*(1-AH$123)*$K141)</f>
        <v/>
      </c>
      <c r="AI141" s="651" t="str">
        <f>IF(OR(AI$122="",$I141=""),"",'I. Stream &amp; Compound Data'!BY196/$J141*(1-AI$127)*(1-AI$123)*$K141)</f>
        <v/>
      </c>
      <c r="AJ141" s="651" t="str">
        <f>IF(OR(AJ$122="",$I141=""),"",'I. Stream &amp; Compound Data'!CB196/$J141*(1-AJ$127)*(1-AJ$123)*$K141)</f>
        <v/>
      </c>
      <c r="AK141" s="651" t="str">
        <f>IF(OR(AK$122="",$I141=""),"",'I. Stream &amp; Compound Data'!CE196/$J141*(1-AK$127)*(1-AK$123)*$K141)</f>
        <v/>
      </c>
      <c r="AL141" s="651" t="str">
        <f>IF(OR(AL$122="",$I141=""),"",'I. Stream &amp; Compound Data'!CH196/$J141*(1-AL$127)*(1-AL$123)*$K141)</f>
        <v/>
      </c>
      <c r="AM141" s="651" t="str">
        <f>IF(OR(AM$122="",$I141=""),"",'I. Stream &amp; Compound Data'!CK196/$J141*(1-AM$127)*(1-AM$123)*$K141)</f>
        <v/>
      </c>
      <c r="AN141" s="651" t="str">
        <f>IF(OR(AN$122="",$I141=""),"",'I. Stream &amp; Compound Data'!CN196/$J141*(1-AN$127)*(1-AN$123)*$K141)</f>
        <v/>
      </c>
      <c r="AO141" s="651" t="str">
        <f>IF(OR(AO$122="",$I141=""),"",'I. Stream &amp; Compound Data'!CQ196/$J141*(1-AO$127)*(1-AO$123)*$K141)</f>
        <v/>
      </c>
      <c r="AP141" s="651" t="str">
        <f>IF(OR(AP$122="",$I141=""),"",'I. Stream &amp; Compound Data'!CT196/$J141*(1-AP$127)*(1-AP$123)*$K141)</f>
        <v/>
      </c>
      <c r="AQ141" s="651" t="str">
        <f>IF(OR(AQ$122="",$I141=""),"",'I. Stream &amp; Compound Data'!CW196/$J141*(1-AQ$127)*(1-AQ$123)*$K141)</f>
        <v/>
      </c>
      <c r="AR141" s="651" t="str">
        <f>IF(OR(AR$122="",$I141=""),"",'I. Stream &amp; Compound Data'!CZ196/$J141*(1-AR$127)*(1-AR$123)*$K141)</f>
        <v/>
      </c>
      <c r="AS141" s="651" t="str">
        <f>IF(OR(AS$122="",$I141=""),"",'I. Stream &amp; Compound Data'!DC196/$J141*(1-AS$127)*(1-AS$123)*$K141)</f>
        <v/>
      </c>
      <c r="AT141" s="651" t="str">
        <f>IF(OR(AT$122="",$I141=""),"",'I. Stream &amp; Compound Data'!DF196/$J141*(1-AT$127)*(1-AT$123)*$K141)</f>
        <v/>
      </c>
      <c r="AU141" s="651" t="str">
        <f>IF(OR(AU$122="",$I141=""),"",'I. Stream &amp; Compound Data'!DI196/$J141*(1-AU$127)*(1-AU$123)*$K141)</f>
        <v/>
      </c>
      <c r="AV141" s="651" t="str">
        <f>IF(OR(AV$122="",$I141=""),"",'I. Stream &amp; Compound Data'!DL196/$J141*(1-AV$127)*(1-AV$123)*$K141)</f>
        <v/>
      </c>
      <c r="AW141" s="651" t="str">
        <f>IF(OR(AW$122="",$I141=""),"",'I. Stream &amp; Compound Data'!DO196/$J141*(1-AW$127)*(1-AW$123)*$K141)</f>
        <v/>
      </c>
      <c r="AX141" s="651" t="str">
        <f>IF(OR(AX$122="",$I141=""),"",'I. Stream &amp; Compound Data'!DR196/$J141*(1-AX$127)*(1-AX$123)*$K141)</f>
        <v/>
      </c>
      <c r="AY141" s="667" t="str">
        <f>IF(OR(AY$122="",$I141=""),"",'I. Stream &amp; Compound Data'!DU196/$J141*(1-AY$127)*(1-AY$123)*$K141)</f>
        <v/>
      </c>
      <c r="AZ141" s="336"/>
      <c r="BA141" s="632"/>
      <c r="BB141" s="632"/>
      <c r="BC141" s="632"/>
      <c r="BD141" s="632"/>
      <c r="BE141" s="632"/>
      <c r="BF141" s="632"/>
      <c r="BG141" s="632"/>
      <c r="BH141" s="632"/>
      <c r="BI141" s="632"/>
      <c r="BJ141" s="632"/>
      <c r="BK141" s="632"/>
      <c r="BL141" s="632"/>
      <c r="BM141" s="632"/>
      <c r="BN141" s="632"/>
      <c r="BO141" s="632"/>
      <c r="BP141" s="632"/>
      <c r="BQ141" s="632"/>
      <c r="BR141" s="632"/>
      <c r="BS141" s="632"/>
      <c r="BT141" s="632"/>
      <c r="BU141" s="632"/>
      <c r="BV141" s="632"/>
      <c r="BW141" s="632"/>
      <c r="BX141" s="632"/>
      <c r="BY141" s="632"/>
      <c r="BZ141" s="632"/>
      <c r="CA141" s="632"/>
      <c r="CB141" s="632"/>
      <c r="CC141" s="632"/>
      <c r="CD141" s="632"/>
      <c r="CE141" s="632"/>
      <c r="CF141" s="632"/>
      <c r="CG141" s="632"/>
      <c r="CH141" s="632"/>
      <c r="CI141" s="632"/>
      <c r="CJ141" s="632"/>
      <c r="CK141" s="632"/>
      <c r="CL141" s="632"/>
      <c r="CM141" s="632"/>
      <c r="CN141" s="631"/>
    </row>
    <row r="142" spans="2:92" ht="15.75" x14ac:dyDescent="0.2">
      <c r="B142" s="610"/>
      <c r="C142" s="336"/>
      <c r="D142" s="611"/>
      <c r="E142" s="612"/>
      <c r="F142" s="612"/>
      <c r="G142" s="612"/>
      <c r="H142" s="618">
        <f>'I. Stream &amp; Compound Data'!F273</f>
        <v>12</v>
      </c>
      <c r="I142" s="677" t="str">
        <f>IF('I. Stream &amp; Compound Data'!G273&lt;&gt;"",'I. Stream &amp; Compound Data'!G273,"")</f>
        <v/>
      </c>
      <c r="J142" s="676" t="str">
        <f>IF('I. Stream &amp; Compound Data'!BH273="","",'I. Stream &amp; Compound Data'!BH273)</f>
        <v/>
      </c>
      <c r="K142" s="652" t="str">
        <f>IF('I. Stream &amp; Compound Data'!G273="","",IF(OR('I. Stream &amp; Compound Data'!U273=1,'I. Stream &amp; Compound Data'!V273=1,'I. Stream &amp; Compound Data'!AY273&lt;25),0,1))</f>
        <v/>
      </c>
      <c r="L142" s="651" t="str">
        <f>IF(OR(I142="",L$122=""),"",'I. Stream &amp; Compound Data'!H197/$J142*(1-L$127)*(1-L$123)*$K142)</f>
        <v/>
      </c>
      <c r="M142" s="651" t="str">
        <f>IF(OR(J142="",M$122=""),"",'I. Stream &amp; Compound Data'!K197/$J142*(1-M$127)*(1-M$123)*$K142)</f>
        <v/>
      </c>
      <c r="N142" s="651" t="str">
        <f>IF(OR(K142="",N$122=""),"",'I. Stream &amp; Compound Data'!N197/$J142*(1-N$127)*(1-N$123)*$K142)</f>
        <v/>
      </c>
      <c r="O142" s="651" t="str">
        <f>IF(OR(L142="",O$122=""),"",'I. Stream &amp; Compound Data'!Q197/$J142*(1-O$127)*(1-O$123)*$K142)</f>
        <v/>
      </c>
      <c r="P142" s="651" t="str">
        <f>IF(OR(M142="",P$122=""),"",'I. Stream &amp; Compound Data'!T197/$J142*(1-P$127)*(1-P$123)*$K142)</f>
        <v/>
      </c>
      <c r="Q142" s="651" t="str">
        <f>IF(OR(N142="",Q$122=""),"",'I. Stream &amp; Compound Data'!W197/$J142*(1-Q$127)*(1-Q$123)*$K142)</f>
        <v/>
      </c>
      <c r="R142" s="651" t="str">
        <f>IF(OR(O142="",R$122=""),"",'I. Stream &amp; Compound Data'!Z197/$J142*(1-R$127)*(1-R$123)*$K142)</f>
        <v/>
      </c>
      <c r="S142" s="651" t="str">
        <f>IF(OR(P142="",S$122=""),"",'I. Stream &amp; Compound Data'!AC197/$J142*(1-S$127)*(1-S$123)*$K142)</f>
        <v/>
      </c>
      <c r="T142" s="651" t="str">
        <f>IF(OR(Q142="",T$122=""),"",'I. Stream &amp; Compound Data'!AF197/$J142*(1-T$127)*(1-T$123)*$K142)</f>
        <v/>
      </c>
      <c r="U142" s="651" t="str">
        <f>IF(OR(R142="",U$122=""),"",'I. Stream &amp; Compound Data'!AI197/$J142*(1-U$127)*(1-U$123)*$K142)</f>
        <v/>
      </c>
      <c r="V142" s="651" t="str">
        <f>IF(OR(V$122="",$I142=""),"",'I. Stream &amp; Compound Data'!AL197/$J142*(1-V$127)*(1-V$123)*$K142)</f>
        <v/>
      </c>
      <c r="W142" s="651" t="str">
        <f>IF(OR(W$122="",$I142=""),"",'I. Stream &amp; Compound Data'!AO197/$J142*(1-W$127)*(1-W$123)*$K142)</f>
        <v/>
      </c>
      <c r="X142" s="651" t="str">
        <f>IF(OR(X$122="",$I142=""),"",'I. Stream &amp; Compound Data'!AR197/$J142*(1-X$127)*(1-X$123)*$K142)</f>
        <v/>
      </c>
      <c r="Y142" s="651" t="str">
        <f>IF(OR(Y$122="",$I142=""),"",'I. Stream &amp; Compound Data'!AU197/$J142*(1-Y$127)*(1-Y$123)*$K142)</f>
        <v/>
      </c>
      <c r="Z142" s="651" t="str">
        <f>IF(OR(Z$122="",$I142=""),"",'I. Stream &amp; Compound Data'!AX197/$J142*(1-Z$127)*(1-Z$123)*$K142)</f>
        <v/>
      </c>
      <c r="AA142" s="651" t="str">
        <f>IF(OR(AA$122="",$I142=""),"",'I. Stream &amp; Compound Data'!BA197/$J142*(1-AA$127)*(1-AA$123)*$K142)</f>
        <v/>
      </c>
      <c r="AB142" s="651" t="str">
        <f>IF(OR(AB$122="",$I142=""),"",'I. Stream &amp; Compound Data'!BD197/$J142*(1-AB$127)*(1-AB$123)*$K142)</f>
        <v/>
      </c>
      <c r="AC142" s="651" t="str">
        <f>IF(OR(AC$122="",$I142=""),"",'I. Stream &amp; Compound Data'!BG197/$J142*(1-AC$127)*(1-AC$123)*$K142)</f>
        <v/>
      </c>
      <c r="AD142" s="651" t="str">
        <f>IF(OR(AD$122="",$I142=""),"",'I. Stream &amp; Compound Data'!BJ197/$J142*(1-AD$127)*(1-AD$123)*$K142)</f>
        <v/>
      </c>
      <c r="AE142" s="651" t="str">
        <f>IF(OR(AE$122="",$I142=""),"",'I. Stream &amp; Compound Data'!BM197/$J142*(1-AE$127)*(1-AE$123)*$K142)</f>
        <v/>
      </c>
      <c r="AF142" s="651" t="str">
        <f>IF(OR(AF$122="",$I142=""),"",'I. Stream &amp; Compound Data'!BP197/$J142*(1-AF$127)*(1-AF$123)*$K142)</f>
        <v/>
      </c>
      <c r="AG142" s="651" t="str">
        <f>IF(OR(AG$122="",$I142=""),"",'I. Stream &amp; Compound Data'!BS197/$J142*(1-AG$127)*(1-AG$123)*$K142)</f>
        <v/>
      </c>
      <c r="AH142" s="651" t="str">
        <f>IF(OR(AH$122="",$I142=""),"",'I. Stream &amp; Compound Data'!BV197/$J142*(1-AH$127)*(1-AH$123)*$K142)</f>
        <v/>
      </c>
      <c r="AI142" s="651" t="str">
        <f>IF(OR(AI$122="",$I142=""),"",'I. Stream &amp; Compound Data'!BY197/$J142*(1-AI$127)*(1-AI$123)*$K142)</f>
        <v/>
      </c>
      <c r="AJ142" s="651" t="str">
        <f>IF(OR(AJ$122="",$I142=""),"",'I. Stream &amp; Compound Data'!CB197/$J142*(1-AJ$127)*(1-AJ$123)*$K142)</f>
        <v/>
      </c>
      <c r="AK142" s="651" t="str">
        <f>IF(OR(AK$122="",$I142=""),"",'I. Stream &amp; Compound Data'!CE197/$J142*(1-AK$127)*(1-AK$123)*$K142)</f>
        <v/>
      </c>
      <c r="AL142" s="651" t="str">
        <f>IF(OR(AL$122="",$I142=""),"",'I. Stream &amp; Compound Data'!CH197/$J142*(1-AL$127)*(1-AL$123)*$K142)</f>
        <v/>
      </c>
      <c r="AM142" s="651" t="str">
        <f>IF(OR(AM$122="",$I142=""),"",'I. Stream &amp; Compound Data'!CK197/$J142*(1-AM$127)*(1-AM$123)*$K142)</f>
        <v/>
      </c>
      <c r="AN142" s="651" t="str">
        <f>IF(OR(AN$122="",$I142=""),"",'I. Stream &amp; Compound Data'!CN197/$J142*(1-AN$127)*(1-AN$123)*$K142)</f>
        <v/>
      </c>
      <c r="AO142" s="651" t="str">
        <f>IF(OR(AO$122="",$I142=""),"",'I. Stream &amp; Compound Data'!CQ197/$J142*(1-AO$127)*(1-AO$123)*$K142)</f>
        <v/>
      </c>
      <c r="AP142" s="651" t="str">
        <f>IF(OR(AP$122="",$I142=""),"",'I. Stream &amp; Compound Data'!CT197/$J142*(1-AP$127)*(1-AP$123)*$K142)</f>
        <v/>
      </c>
      <c r="AQ142" s="651" t="str">
        <f>IF(OR(AQ$122="",$I142=""),"",'I. Stream &amp; Compound Data'!CW197/$J142*(1-AQ$127)*(1-AQ$123)*$K142)</f>
        <v/>
      </c>
      <c r="AR142" s="651" t="str">
        <f>IF(OR(AR$122="",$I142=""),"",'I. Stream &amp; Compound Data'!CZ197/$J142*(1-AR$127)*(1-AR$123)*$K142)</f>
        <v/>
      </c>
      <c r="AS142" s="651" t="str">
        <f>IF(OR(AS$122="",$I142=""),"",'I. Stream &amp; Compound Data'!DC197/$J142*(1-AS$127)*(1-AS$123)*$K142)</f>
        <v/>
      </c>
      <c r="AT142" s="651" t="str">
        <f>IF(OR(AT$122="",$I142=""),"",'I. Stream &amp; Compound Data'!DF197/$J142*(1-AT$127)*(1-AT$123)*$K142)</f>
        <v/>
      </c>
      <c r="AU142" s="651" t="str">
        <f>IF(OR(AU$122="",$I142=""),"",'I. Stream &amp; Compound Data'!DI197/$J142*(1-AU$127)*(1-AU$123)*$K142)</f>
        <v/>
      </c>
      <c r="AV142" s="651" t="str">
        <f>IF(OR(AV$122="",$I142=""),"",'I. Stream &amp; Compound Data'!DL197/$J142*(1-AV$127)*(1-AV$123)*$K142)</f>
        <v/>
      </c>
      <c r="AW142" s="651" t="str">
        <f>IF(OR(AW$122="",$I142=""),"",'I. Stream &amp; Compound Data'!DO197/$J142*(1-AW$127)*(1-AW$123)*$K142)</f>
        <v/>
      </c>
      <c r="AX142" s="651" t="str">
        <f>IF(OR(AX$122="",$I142=""),"",'I. Stream &amp; Compound Data'!DR197/$J142*(1-AX$127)*(1-AX$123)*$K142)</f>
        <v/>
      </c>
      <c r="AY142" s="667" t="str">
        <f>IF(OR(AY$122="",$I142=""),"",'I. Stream &amp; Compound Data'!DU197/$J142*(1-AY$127)*(1-AY$123)*$K142)</f>
        <v/>
      </c>
      <c r="AZ142" s="336"/>
      <c r="BA142" s="632"/>
      <c r="BB142" s="632"/>
      <c r="BC142" s="632"/>
      <c r="BD142" s="632"/>
      <c r="BE142" s="632"/>
      <c r="BF142" s="632"/>
      <c r="BG142" s="632"/>
      <c r="BH142" s="632"/>
      <c r="BI142" s="632"/>
      <c r="BJ142" s="632"/>
      <c r="BK142" s="632"/>
      <c r="BL142" s="632"/>
      <c r="BM142" s="632"/>
      <c r="BN142" s="632"/>
      <c r="BO142" s="632"/>
      <c r="BP142" s="632"/>
      <c r="BQ142" s="632"/>
      <c r="BR142" s="632"/>
      <c r="BS142" s="632"/>
      <c r="BT142" s="632"/>
      <c r="BU142" s="632"/>
      <c r="BV142" s="632"/>
      <c r="BW142" s="632"/>
      <c r="BX142" s="632"/>
      <c r="BY142" s="632"/>
      <c r="BZ142" s="632"/>
      <c r="CA142" s="632"/>
      <c r="CB142" s="632"/>
      <c r="CC142" s="632"/>
      <c r="CD142" s="632"/>
      <c r="CE142" s="632"/>
      <c r="CF142" s="632"/>
      <c r="CG142" s="632"/>
      <c r="CH142" s="632"/>
      <c r="CI142" s="632"/>
      <c r="CJ142" s="632"/>
      <c r="CK142" s="632"/>
      <c r="CL142" s="632"/>
      <c r="CM142" s="632"/>
      <c r="CN142" s="631"/>
    </row>
    <row r="143" spans="2:92" ht="15.75" x14ac:dyDescent="0.2">
      <c r="B143" s="610"/>
      <c r="C143" s="336"/>
      <c r="D143" s="611"/>
      <c r="E143" s="612"/>
      <c r="F143" s="612"/>
      <c r="G143" s="612"/>
      <c r="H143" s="618">
        <f>'I. Stream &amp; Compound Data'!F274</f>
        <v>13</v>
      </c>
      <c r="I143" s="677" t="str">
        <f>IF('I. Stream &amp; Compound Data'!G274&lt;&gt;"",'I. Stream &amp; Compound Data'!G274,"")</f>
        <v/>
      </c>
      <c r="J143" s="676" t="str">
        <f>IF('I. Stream &amp; Compound Data'!BH274="","",'I. Stream &amp; Compound Data'!BH274)</f>
        <v/>
      </c>
      <c r="K143" s="652" t="str">
        <f>IF('I. Stream &amp; Compound Data'!G274="","",IF(OR('I. Stream &amp; Compound Data'!U274=1,'I. Stream &amp; Compound Data'!V274=1,'I. Stream &amp; Compound Data'!AY274&lt;25),0,1))</f>
        <v/>
      </c>
      <c r="L143" s="651" t="str">
        <f>IF(OR(I143="",L$122=""),"",'I. Stream &amp; Compound Data'!H198/$J143*(1-L$127)*(1-L$123)*$K143)</f>
        <v/>
      </c>
      <c r="M143" s="651" t="str">
        <f>IF(OR(J143="",M$122=""),"",'I. Stream &amp; Compound Data'!K198/$J143*(1-M$127)*(1-M$123)*$K143)</f>
        <v/>
      </c>
      <c r="N143" s="651" t="str">
        <f>IF(OR(K143="",N$122=""),"",'I. Stream &amp; Compound Data'!N198/$J143*(1-N$127)*(1-N$123)*$K143)</f>
        <v/>
      </c>
      <c r="O143" s="651" t="str">
        <f>IF(OR(L143="",O$122=""),"",'I. Stream &amp; Compound Data'!Q198/$J143*(1-O$127)*(1-O$123)*$K143)</f>
        <v/>
      </c>
      <c r="P143" s="651" t="str">
        <f>IF(OR(M143="",P$122=""),"",'I. Stream &amp; Compound Data'!T198/$J143*(1-P$127)*(1-P$123)*$K143)</f>
        <v/>
      </c>
      <c r="Q143" s="651" t="str">
        <f>IF(OR(N143="",Q$122=""),"",'I. Stream &amp; Compound Data'!W198/$J143*(1-Q$127)*(1-Q$123)*$K143)</f>
        <v/>
      </c>
      <c r="R143" s="651" t="str">
        <f>IF(OR(O143="",R$122=""),"",'I. Stream &amp; Compound Data'!Z198/$J143*(1-R$127)*(1-R$123)*$K143)</f>
        <v/>
      </c>
      <c r="S143" s="651" t="str">
        <f>IF(OR(P143="",S$122=""),"",'I. Stream &amp; Compound Data'!AC198/$J143*(1-S$127)*(1-S$123)*$K143)</f>
        <v/>
      </c>
      <c r="T143" s="651" t="str">
        <f>IF(OR(Q143="",T$122=""),"",'I. Stream &amp; Compound Data'!AF198/$J143*(1-T$127)*(1-T$123)*$K143)</f>
        <v/>
      </c>
      <c r="U143" s="651" t="str">
        <f>IF(OR(R143="",U$122=""),"",'I. Stream &amp; Compound Data'!AI198/$J143*(1-U$127)*(1-U$123)*$K143)</f>
        <v/>
      </c>
      <c r="V143" s="651" t="str">
        <f>IF(OR(V$122="",$I143=""),"",'I. Stream &amp; Compound Data'!AL198/$J143*(1-V$127)*(1-V$123)*$K143)</f>
        <v/>
      </c>
      <c r="W143" s="651" t="str">
        <f>IF(OR(W$122="",$I143=""),"",'I. Stream &amp; Compound Data'!AO198/$J143*(1-W$127)*(1-W$123)*$K143)</f>
        <v/>
      </c>
      <c r="X143" s="651" t="str">
        <f>IF(OR(X$122="",$I143=""),"",'I. Stream &amp; Compound Data'!AR198/$J143*(1-X$127)*(1-X$123)*$K143)</f>
        <v/>
      </c>
      <c r="Y143" s="651" t="str">
        <f>IF(OR(Y$122="",$I143=""),"",'I. Stream &amp; Compound Data'!AU198/$J143*(1-Y$127)*(1-Y$123)*$K143)</f>
        <v/>
      </c>
      <c r="Z143" s="651" t="str">
        <f>IF(OR(Z$122="",$I143=""),"",'I. Stream &amp; Compound Data'!AX198/$J143*(1-Z$127)*(1-Z$123)*$K143)</f>
        <v/>
      </c>
      <c r="AA143" s="651" t="str">
        <f>IF(OR(AA$122="",$I143=""),"",'I. Stream &amp; Compound Data'!BA198/$J143*(1-AA$127)*(1-AA$123)*$K143)</f>
        <v/>
      </c>
      <c r="AB143" s="651" t="str">
        <f>IF(OR(AB$122="",$I143=""),"",'I. Stream &amp; Compound Data'!BD198/$J143*(1-AB$127)*(1-AB$123)*$K143)</f>
        <v/>
      </c>
      <c r="AC143" s="651" t="str">
        <f>IF(OR(AC$122="",$I143=""),"",'I. Stream &amp; Compound Data'!BG198/$J143*(1-AC$127)*(1-AC$123)*$K143)</f>
        <v/>
      </c>
      <c r="AD143" s="651" t="str">
        <f>IF(OR(AD$122="",$I143=""),"",'I. Stream &amp; Compound Data'!BJ198/$J143*(1-AD$127)*(1-AD$123)*$K143)</f>
        <v/>
      </c>
      <c r="AE143" s="651" t="str">
        <f>IF(OR(AE$122="",$I143=""),"",'I. Stream &amp; Compound Data'!BM198/$J143*(1-AE$127)*(1-AE$123)*$K143)</f>
        <v/>
      </c>
      <c r="AF143" s="651" t="str">
        <f>IF(OR(AF$122="",$I143=""),"",'I. Stream &amp; Compound Data'!BP198/$J143*(1-AF$127)*(1-AF$123)*$K143)</f>
        <v/>
      </c>
      <c r="AG143" s="651" t="str">
        <f>IF(OR(AG$122="",$I143=""),"",'I. Stream &amp; Compound Data'!BS198/$J143*(1-AG$127)*(1-AG$123)*$K143)</f>
        <v/>
      </c>
      <c r="AH143" s="651" t="str">
        <f>IF(OR(AH$122="",$I143=""),"",'I. Stream &amp; Compound Data'!BV198/$J143*(1-AH$127)*(1-AH$123)*$K143)</f>
        <v/>
      </c>
      <c r="AI143" s="651" t="str">
        <f>IF(OR(AI$122="",$I143=""),"",'I. Stream &amp; Compound Data'!BY198/$J143*(1-AI$127)*(1-AI$123)*$K143)</f>
        <v/>
      </c>
      <c r="AJ143" s="651" t="str">
        <f>IF(OR(AJ$122="",$I143=""),"",'I. Stream &amp; Compound Data'!CB198/$J143*(1-AJ$127)*(1-AJ$123)*$K143)</f>
        <v/>
      </c>
      <c r="AK143" s="651" t="str">
        <f>IF(OR(AK$122="",$I143=""),"",'I. Stream &amp; Compound Data'!CE198/$J143*(1-AK$127)*(1-AK$123)*$K143)</f>
        <v/>
      </c>
      <c r="AL143" s="651" t="str">
        <f>IF(OR(AL$122="",$I143=""),"",'I. Stream &amp; Compound Data'!CH198/$J143*(1-AL$127)*(1-AL$123)*$K143)</f>
        <v/>
      </c>
      <c r="AM143" s="651" t="str">
        <f>IF(OR(AM$122="",$I143=""),"",'I. Stream &amp; Compound Data'!CK198/$J143*(1-AM$127)*(1-AM$123)*$K143)</f>
        <v/>
      </c>
      <c r="AN143" s="651" t="str">
        <f>IF(OR(AN$122="",$I143=""),"",'I. Stream &amp; Compound Data'!CN198/$J143*(1-AN$127)*(1-AN$123)*$K143)</f>
        <v/>
      </c>
      <c r="AO143" s="651" t="str">
        <f>IF(OR(AO$122="",$I143=""),"",'I. Stream &amp; Compound Data'!CQ198/$J143*(1-AO$127)*(1-AO$123)*$K143)</f>
        <v/>
      </c>
      <c r="AP143" s="651" t="str">
        <f>IF(OR(AP$122="",$I143=""),"",'I. Stream &amp; Compound Data'!CT198/$J143*(1-AP$127)*(1-AP$123)*$K143)</f>
        <v/>
      </c>
      <c r="AQ143" s="651" t="str">
        <f>IF(OR(AQ$122="",$I143=""),"",'I. Stream &amp; Compound Data'!CW198/$J143*(1-AQ$127)*(1-AQ$123)*$K143)</f>
        <v/>
      </c>
      <c r="AR143" s="651" t="str">
        <f>IF(OR(AR$122="",$I143=""),"",'I. Stream &amp; Compound Data'!CZ198/$J143*(1-AR$127)*(1-AR$123)*$K143)</f>
        <v/>
      </c>
      <c r="AS143" s="651" t="str">
        <f>IF(OR(AS$122="",$I143=""),"",'I. Stream &amp; Compound Data'!DC198/$J143*(1-AS$127)*(1-AS$123)*$K143)</f>
        <v/>
      </c>
      <c r="AT143" s="651" t="str">
        <f>IF(OR(AT$122="",$I143=""),"",'I. Stream &amp; Compound Data'!DF198/$J143*(1-AT$127)*(1-AT$123)*$K143)</f>
        <v/>
      </c>
      <c r="AU143" s="651" t="str">
        <f>IF(OR(AU$122="",$I143=""),"",'I. Stream &amp; Compound Data'!DI198/$J143*(1-AU$127)*(1-AU$123)*$K143)</f>
        <v/>
      </c>
      <c r="AV143" s="651" t="str">
        <f>IF(OR(AV$122="",$I143=""),"",'I. Stream &amp; Compound Data'!DL198/$J143*(1-AV$127)*(1-AV$123)*$K143)</f>
        <v/>
      </c>
      <c r="AW143" s="651" t="str">
        <f>IF(OR(AW$122="",$I143=""),"",'I. Stream &amp; Compound Data'!DO198/$J143*(1-AW$127)*(1-AW$123)*$K143)</f>
        <v/>
      </c>
      <c r="AX143" s="651" t="str">
        <f>IF(OR(AX$122="",$I143=""),"",'I. Stream &amp; Compound Data'!DR198/$J143*(1-AX$127)*(1-AX$123)*$K143)</f>
        <v/>
      </c>
      <c r="AY143" s="667" t="str">
        <f>IF(OR(AY$122="",$I143=""),"",'I. Stream &amp; Compound Data'!DU198/$J143*(1-AY$127)*(1-AY$123)*$K143)</f>
        <v/>
      </c>
      <c r="AZ143" s="336"/>
      <c r="BA143" s="632"/>
      <c r="BB143" s="632"/>
      <c r="BC143" s="632"/>
      <c r="BD143" s="632"/>
      <c r="BE143" s="632"/>
      <c r="BF143" s="632"/>
      <c r="BG143" s="632"/>
      <c r="BH143" s="632"/>
      <c r="BI143" s="632"/>
      <c r="BJ143" s="632"/>
      <c r="BK143" s="632"/>
      <c r="BL143" s="632"/>
      <c r="BM143" s="632"/>
      <c r="BN143" s="632"/>
      <c r="BO143" s="632"/>
      <c r="BP143" s="632"/>
      <c r="BQ143" s="632"/>
      <c r="BR143" s="632"/>
      <c r="BS143" s="632"/>
      <c r="BT143" s="632"/>
      <c r="BU143" s="632"/>
      <c r="BV143" s="632"/>
      <c r="BW143" s="632"/>
      <c r="BX143" s="632"/>
      <c r="BY143" s="632"/>
      <c r="BZ143" s="632"/>
      <c r="CA143" s="632"/>
      <c r="CB143" s="632"/>
      <c r="CC143" s="632"/>
      <c r="CD143" s="632"/>
      <c r="CE143" s="632"/>
      <c r="CF143" s="632"/>
      <c r="CG143" s="632"/>
      <c r="CH143" s="632"/>
      <c r="CI143" s="632"/>
      <c r="CJ143" s="632"/>
      <c r="CK143" s="632"/>
      <c r="CL143" s="632"/>
      <c r="CM143" s="632"/>
      <c r="CN143" s="631"/>
    </row>
    <row r="144" spans="2:92" ht="15.75" x14ac:dyDescent="0.2">
      <c r="B144" s="610"/>
      <c r="C144" s="336"/>
      <c r="D144" s="611"/>
      <c r="E144" s="612"/>
      <c r="F144" s="612"/>
      <c r="G144" s="612"/>
      <c r="H144" s="618">
        <f>'I. Stream &amp; Compound Data'!F275</f>
        <v>14</v>
      </c>
      <c r="I144" s="677" t="str">
        <f>IF('I. Stream &amp; Compound Data'!G275&lt;&gt;"",'I. Stream &amp; Compound Data'!G275,"")</f>
        <v/>
      </c>
      <c r="J144" s="676" t="str">
        <f>IF('I. Stream &amp; Compound Data'!BH275="","",'I. Stream &amp; Compound Data'!BH275)</f>
        <v/>
      </c>
      <c r="K144" s="652" t="str">
        <f>IF('I. Stream &amp; Compound Data'!G275="","",IF(OR('I. Stream &amp; Compound Data'!U275=1,'I. Stream &amp; Compound Data'!V275=1,'I. Stream &amp; Compound Data'!AY275&lt;25),0,1))</f>
        <v/>
      </c>
      <c r="L144" s="651" t="str">
        <f>IF(OR(I144="",L$122=""),"",'I. Stream &amp; Compound Data'!H199/$J144*(1-L$127)*(1-L$123)*$K144)</f>
        <v/>
      </c>
      <c r="M144" s="651" t="str">
        <f>IF(OR(J144="",M$122=""),"",'I. Stream &amp; Compound Data'!K199/$J144*(1-M$127)*(1-M$123)*$K144)</f>
        <v/>
      </c>
      <c r="N144" s="651" t="str">
        <f>IF(OR(K144="",N$122=""),"",'I. Stream &amp; Compound Data'!N199/$J144*(1-N$127)*(1-N$123)*$K144)</f>
        <v/>
      </c>
      <c r="O144" s="651" t="str">
        <f>IF(OR(L144="",O$122=""),"",'I. Stream &amp; Compound Data'!Q199/$J144*(1-O$127)*(1-O$123)*$K144)</f>
        <v/>
      </c>
      <c r="P144" s="651" t="str">
        <f>IF(OR(M144="",P$122=""),"",'I. Stream &amp; Compound Data'!T199/$J144*(1-P$127)*(1-P$123)*$K144)</f>
        <v/>
      </c>
      <c r="Q144" s="651" t="str">
        <f>IF(OR(N144="",Q$122=""),"",'I. Stream &amp; Compound Data'!W199/$J144*(1-Q$127)*(1-Q$123)*$K144)</f>
        <v/>
      </c>
      <c r="R144" s="651" t="str">
        <f>IF(OR(O144="",R$122=""),"",'I. Stream &amp; Compound Data'!Z199/$J144*(1-R$127)*(1-R$123)*$K144)</f>
        <v/>
      </c>
      <c r="S144" s="651" t="str">
        <f>IF(OR(P144="",S$122=""),"",'I. Stream &amp; Compound Data'!AC199/$J144*(1-S$127)*(1-S$123)*$K144)</f>
        <v/>
      </c>
      <c r="T144" s="651" t="str">
        <f>IF(OR(Q144="",T$122=""),"",'I. Stream &amp; Compound Data'!AF199/$J144*(1-T$127)*(1-T$123)*$K144)</f>
        <v/>
      </c>
      <c r="U144" s="651" t="str">
        <f>IF(OR(R144="",U$122=""),"",'I. Stream &amp; Compound Data'!AI199/$J144*(1-U$127)*(1-U$123)*$K144)</f>
        <v/>
      </c>
      <c r="V144" s="651" t="str">
        <f>IF(OR(V$122="",$I144=""),"",'I. Stream &amp; Compound Data'!AL199/$J144*(1-V$127)*(1-V$123)*$K144)</f>
        <v/>
      </c>
      <c r="W144" s="651" t="str">
        <f>IF(OR(W$122="",$I144=""),"",'I. Stream &amp; Compound Data'!AO199/$J144*(1-W$127)*(1-W$123)*$K144)</f>
        <v/>
      </c>
      <c r="X144" s="651" t="str">
        <f>IF(OR(X$122="",$I144=""),"",'I. Stream &amp; Compound Data'!AR199/$J144*(1-X$127)*(1-X$123)*$K144)</f>
        <v/>
      </c>
      <c r="Y144" s="651" t="str">
        <f>IF(OR(Y$122="",$I144=""),"",'I. Stream &amp; Compound Data'!AU199/$J144*(1-Y$127)*(1-Y$123)*$K144)</f>
        <v/>
      </c>
      <c r="Z144" s="651" t="str">
        <f>IF(OR(Z$122="",$I144=""),"",'I. Stream &amp; Compound Data'!AX199/$J144*(1-Z$127)*(1-Z$123)*$K144)</f>
        <v/>
      </c>
      <c r="AA144" s="651" t="str">
        <f>IF(OR(AA$122="",$I144=""),"",'I. Stream &amp; Compound Data'!BA199/$J144*(1-AA$127)*(1-AA$123)*$K144)</f>
        <v/>
      </c>
      <c r="AB144" s="651" t="str">
        <f>IF(OR(AB$122="",$I144=""),"",'I. Stream &amp; Compound Data'!BD199/$J144*(1-AB$127)*(1-AB$123)*$K144)</f>
        <v/>
      </c>
      <c r="AC144" s="651" t="str">
        <f>IF(OR(AC$122="",$I144=""),"",'I. Stream &amp; Compound Data'!BG199/$J144*(1-AC$127)*(1-AC$123)*$K144)</f>
        <v/>
      </c>
      <c r="AD144" s="651" t="str">
        <f>IF(OR(AD$122="",$I144=""),"",'I. Stream &amp; Compound Data'!BJ199/$J144*(1-AD$127)*(1-AD$123)*$K144)</f>
        <v/>
      </c>
      <c r="AE144" s="651" t="str">
        <f>IF(OR(AE$122="",$I144=""),"",'I. Stream &amp; Compound Data'!BM199/$J144*(1-AE$127)*(1-AE$123)*$K144)</f>
        <v/>
      </c>
      <c r="AF144" s="651" t="str">
        <f>IF(OR(AF$122="",$I144=""),"",'I. Stream &amp; Compound Data'!BP199/$J144*(1-AF$127)*(1-AF$123)*$K144)</f>
        <v/>
      </c>
      <c r="AG144" s="651" t="str">
        <f>IF(OR(AG$122="",$I144=""),"",'I. Stream &amp; Compound Data'!BS199/$J144*(1-AG$127)*(1-AG$123)*$K144)</f>
        <v/>
      </c>
      <c r="AH144" s="651" t="str">
        <f>IF(OR(AH$122="",$I144=""),"",'I. Stream &amp; Compound Data'!BV199/$J144*(1-AH$127)*(1-AH$123)*$K144)</f>
        <v/>
      </c>
      <c r="AI144" s="651" t="str">
        <f>IF(OR(AI$122="",$I144=""),"",'I. Stream &amp; Compound Data'!BY199/$J144*(1-AI$127)*(1-AI$123)*$K144)</f>
        <v/>
      </c>
      <c r="AJ144" s="651" t="str">
        <f>IF(OR(AJ$122="",$I144=""),"",'I. Stream &amp; Compound Data'!CB199/$J144*(1-AJ$127)*(1-AJ$123)*$K144)</f>
        <v/>
      </c>
      <c r="AK144" s="651" t="str">
        <f>IF(OR(AK$122="",$I144=""),"",'I. Stream &amp; Compound Data'!CE199/$J144*(1-AK$127)*(1-AK$123)*$K144)</f>
        <v/>
      </c>
      <c r="AL144" s="651" t="str">
        <f>IF(OR(AL$122="",$I144=""),"",'I. Stream &amp; Compound Data'!CH199/$J144*(1-AL$127)*(1-AL$123)*$K144)</f>
        <v/>
      </c>
      <c r="AM144" s="651" t="str">
        <f>IF(OR(AM$122="",$I144=""),"",'I. Stream &amp; Compound Data'!CK199/$J144*(1-AM$127)*(1-AM$123)*$K144)</f>
        <v/>
      </c>
      <c r="AN144" s="651" t="str">
        <f>IF(OR(AN$122="",$I144=""),"",'I. Stream &amp; Compound Data'!CN199/$J144*(1-AN$127)*(1-AN$123)*$K144)</f>
        <v/>
      </c>
      <c r="AO144" s="651" t="str">
        <f>IF(OR(AO$122="",$I144=""),"",'I. Stream &amp; Compound Data'!CQ199/$J144*(1-AO$127)*(1-AO$123)*$K144)</f>
        <v/>
      </c>
      <c r="AP144" s="651" t="str">
        <f>IF(OR(AP$122="",$I144=""),"",'I. Stream &amp; Compound Data'!CT199/$J144*(1-AP$127)*(1-AP$123)*$K144)</f>
        <v/>
      </c>
      <c r="AQ144" s="651" t="str">
        <f>IF(OR(AQ$122="",$I144=""),"",'I. Stream &amp; Compound Data'!CW199/$J144*(1-AQ$127)*(1-AQ$123)*$K144)</f>
        <v/>
      </c>
      <c r="AR144" s="651" t="str">
        <f>IF(OR(AR$122="",$I144=""),"",'I. Stream &amp; Compound Data'!CZ199/$J144*(1-AR$127)*(1-AR$123)*$K144)</f>
        <v/>
      </c>
      <c r="AS144" s="651" t="str">
        <f>IF(OR(AS$122="",$I144=""),"",'I. Stream &amp; Compound Data'!DC199/$J144*(1-AS$127)*(1-AS$123)*$K144)</f>
        <v/>
      </c>
      <c r="AT144" s="651" t="str">
        <f>IF(OR(AT$122="",$I144=""),"",'I. Stream &amp; Compound Data'!DF199/$J144*(1-AT$127)*(1-AT$123)*$K144)</f>
        <v/>
      </c>
      <c r="AU144" s="651" t="str">
        <f>IF(OR(AU$122="",$I144=""),"",'I. Stream &amp; Compound Data'!DI199/$J144*(1-AU$127)*(1-AU$123)*$K144)</f>
        <v/>
      </c>
      <c r="AV144" s="651" t="str">
        <f>IF(OR(AV$122="",$I144=""),"",'I. Stream &amp; Compound Data'!DL199/$J144*(1-AV$127)*(1-AV$123)*$K144)</f>
        <v/>
      </c>
      <c r="AW144" s="651" t="str">
        <f>IF(OR(AW$122="",$I144=""),"",'I. Stream &amp; Compound Data'!DO199/$J144*(1-AW$127)*(1-AW$123)*$K144)</f>
        <v/>
      </c>
      <c r="AX144" s="651" t="str">
        <f>IF(OR(AX$122="",$I144=""),"",'I. Stream &amp; Compound Data'!DR199/$J144*(1-AX$127)*(1-AX$123)*$K144)</f>
        <v/>
      </c>
      <c r="AY144" s="667" t="str">
        <f>IF(OR(AY$122="",$I144=""),"",'I. Stream &amp; Compound Data'!DU199/$J144*(1-AY$127)*(1-AY$123)*$K144)</f>
        <v/>
      </c>
      <c r="AZ144" s="336"/>
      <c r="BA144" s="632"/>
      <c r="BB144" s="632"/>
      <c r="BC144" s="632"/>
      <c r="BD144" s="632"/>
      <c r="BE144" s="632"/>
      <c r="BF144" s="632"/>
      <c r="BG144" s="632"/>
      <c r="BH144" s="632"/>
      <c r="BI144" s="632"/>
      <c r="BJ144" s="632"/>
      <c r="BK144" s="632"/>
      <c r="BL144" s="632"/>
      <c r="BM144" s="632"/>
      <c r="BN144" s="632"/>
      <c r="BO144" s="632"/>
      <c r="BP144" s="632"/>
      <c r="BQ144" s="632"/>
      <c r="BR144" s="632"/>
      <c r="BS144" s="632"/>
      <c r="BT144" s="632"/>
      <c r="BU144" s="632"/>
      <c r="BV144" s="632"/>
      <c r="BW144" s="632"/>
      <c r="BX144" s="632"/>
      <c r="BY144" s="632"/>
      <c r="BZ144" s="632"/>
      <c r="CA144" s="632"/>
      <c r="CB144" s="632"/>
      <c r="CC144" s="632"/>
      <c r="CD144" s="632"/>
      <c r="CE144" s="632"/>
      <c r="CF144" s="632"/>
      <c r="CG144" s="632"/>
      <c r="CH144" s="632"/>
      <c r="CI144" s="632"/>
      <c r="CJ144" s="632"/>
      <c r="CK144" s="632"/>
      <c r="CL144" s="632"/>
      <c r="CM144" s="632"/>
      <c r="CN144" s="631"/>
    </row>
    <row r="145" spans="2:92" ht="15.75" x14ac:dyDescent="0.2">
      <c r="B145" s="610"/>
      <c r="C145" s="336"/>
      <c r="D145" s="611"/>
      <c r="E145" s="612"/>
      <c r="F145" s="612"/>
      <c r="G145" s="612"/>
      <c r="H145" s="618">
        <f>'I. Stream &amp; Compound Data'!F276</f>
        <v>15</v>
      </c>
      <c r="I145" s="677" t="str">
        <f>IF('I. Stream &amp; Compound Data'!G276&lt;&gt;"",'I. Stream &amp; Compound Data'!G276,"")</f>
        <v/>
      </c>
      <c r="J145" s="676" t="str">
        <f>IF('I. Stream &amp; Compound Data'!BH276="","",'I. Stream &amp; Compound Data'!BH276)</f>
        <v/>
      </c>
      <c r="K145" s="652" t="str">
        <f>IF('I. Stream &amp; Compound Data'!G276="","",IF(OR('I. Stream &amp; Compound Data'!U276=1,'I. Stream &amp; Compound Data'!V276=1,'I. Stream &amp; Compound Data'!AY276&lt;25),0,1))</f>
        <v/>
      </c>
      <c r="L145" s="651" t="str">
        <f>IF(OR(I145="",L$122=""),"",'I. Stream &amp; Compound Data'!H200/$J145*(1-L$127)*(1-L$123)*$K145)</f>
        <v/>
      </c>
      <c r="M145" s="651" t="str">
        <f>IF(OR(J145="",M$122=""),"",'I. Stream &amp; Compound Data'!K200/$J145*(1-M$127)*(1-M$123)*$K145)</f>
        <v/>
      </c>
      <c r="N145" s="651" t="str">
        <f>IF(OR(K145="",N$122=""),"",'I. Stream &amp; Compound Data'!N200/$J145*(1-N$127)*(1-N$123)*$K145)</f>
        <v/>
      </c>
      <c r="O145" s="651" t="str">
        <f>IF(OR(L145="",O$122=""),"",'I. Stream &amp; Compound Data'!Q200/$J145*(1-O$127)*(1-O$123)*$K145)</f>
        <v/>
      </c>
      <c r="P145" s="651" t="str">
        <f>IF(OR(M145="",P$122=""),"",'I. Stream &amp; Compound Data'!T200/$J145*(1-P$127)*(1-P$123)*$K145)</f>
        <v/>
      </c>
      <c r="Q145" s="651" t="str">
        <f>IF(OR(N145="",Q$122=""),"",'I. Stream &amp; Compound Data'!W200/$J145*(1-Q$127)*(1-Q$123)*$K145)</f>
        <v/>
      </c>
      <c r="R145" s="651" t="str">
        <f>IF(OR(O145="",R$122=""),"",'I. Stream &amp; Compound Data'!Z200/$J145*(1-R$127)*(1-R$123)*$K145)</f>
        <v/>
      </c>
      <c r="S145" s="651" t="str">
        <f>IF(OR(P145="",S$122=""),"",'I. Stream &amp; Compound Data'!AC200/$J145*(1-S$127)*(1-S$123)*$K145)</f>
        <v/>
      </c>
      <c r="T145" s="651" t="str">
        <f>IF(OR(Q145="",T$122=""),"",'I. Stream &amp; Compound Data'!AF200/$J145*(1-T$127)*(1-T$123)*$K145)</f>
        <v/>
      </c>
      <c r="U145" s="651" t="str">
        <f>IF(OR(R145="",U$122=""),"",'I. Stream &amp; Compound Data'!AI200/$J145*(1-U$127)*(1-U$123)*$K145)</f>
        <v/>
      </c>
      <c r="V145" s="651" t="str">
        <f>IF(OR(V$122="",$I145=""),"",'I. Stream &amp; Compound Data'!AL200/$J145*(1-V$127)*(1-V$123)*$K145)</f>
        <v/>
      </c>
      <c r="W145" s="651" t="str">
        <f>IF(OR(W$122="",$I145=""),"",'I. Stream &amp; Compound Data'!AO200/$J145*(1-W$127)*(1-W$123)*$K145)</f>
        <v/>
      </c>
      <c r="X145" s="651" t="str">
        <f>IF(OR(X$122="",$I145=""),"",'I. Stream &amp; Compound Data'!AR200/$J145*(1-X$127)*(1-X$123)*$K145)</f>
        <v/>
      </c>
      <c r="Y145" s="651" t="str">
        <f>IF(OR(Y$122="",$I145=""),"",'I. Stream &amp; Compound Data'!AU200/$J145*(1-Y$127)*(1-Y$123)*$K145)</f>
        <v/>
      </c>
      <c r="Z145" s="651" t="str">
        <f>IF(OR(Z$122="",$I145=""),"",'I. Stream &amp; Compound Data'!AX200/$J145*(1-Z$127)*(1-Z$123)*$K145)</f>
        <v/>
      </c>
      <c r="AA145" s="651" t="str">
        <f>IF(OR(AA$122="",$I145=""),"",'I. Stream &amp; Compound Data'!BA200/$J145*(1-AA$127)*(1-AA$123)*$K145)</f>
        <v/>
      </c>
      <c r="AB145" s="651" t="str">
        <f>IF(OR(AB$122="",$I145=""),"",'I. Stream &amp; Compound Data'!BD200/$J145*(1-AB$127)*(1-AB$123)*$K145)</f>
        <v/>
      </c>
      <c r="AC145" s="651" t="str">
        <f>IF(OR(AC$122="",$I145=""),"",'I. Stream &amp; Compound Data'!BG200/$J145*(1-AC$127)*(1-AC$123)*$K145)</f>
        <v/>
      </c>
      <c r="AD145" s="651" t="str">
        <f>IF(OR(AD$122="",$I145=""),"",'I. Stream &amp; Compound Data'!BJ200/$J145*(1-AD$127)*(1-AD$123)*$K145)</f>
        <v/>
      </c>
      <c r="AE145" s="651" t="str">
        <f>IF(OR(AE$122="",$I145=""),"",'I. Stream &amp; Compound Data'!BM200/$J145*(1-AE$127)*(1-AE$123)*$K145)</f>
        <v/>
      </c>
      <c r="AF145" s="651" t="str">
        <f>IF(OR(AF$122="",$I145=""),"",'I. Stream &amp; Compound Data'!BP200/$J145*(1-AF$127)*(1-AF$123)*$K145)</f>
        <v/>
      </c>
      <c r="AG145" s="651" t="str">
        <f>IF(OR(AG$122="",$I145=""),"",'I. Stream &amp; Compound Data'!BS200/$J145*(1-AG$127)*(1-AG$123)*$K145)</f>
        <v/>
      </c>
      <c r="AH145" s="651" t="str">
        <f>IF(OR(AH$122="",$I145=""),"",'I. Stream &amp; Compound Data'!BV200/$J145*(1-AH$127)*(1-AH$123)*$K145)</f>
        <v/>
      </c>
      <c r="AI145" s="651" t="str">
        <f>IF(OR(AI$122="",$I145=""),"",'I. Stream &amp; Compound Data'!BY200/$J145*(1-AI$127)*(1-AI$123)*$K145)</f>
        <v/>
      </c>
      <c r="AJ145" s="651" t="str">
        <f>IF(OR(AJ$122="",$I145=""),"",'I. Stream &amp; Compound Data'!CB200/$J145*(1-AJ$127)*(1-AJ$123)*$K145)</f>
        <v/>
      </c>
      <c r="AK145" s="651" t="str">
        <f>IF(OR(AK$122="",$I145=""),"",'I. Stream &amp; Compound Data'!CE200/$J145*(1-AK$127)*(1-AK$123)*$K145)</f>
        <v/>
      </c>
      <c r="AL145" s="651" t="str">
        <f>IF(OR(AL$122="",$I145=""),"",'I. Stream &amp; Compound Data'!CH200/$J145*(1-AL$127)*(1-AL$123)*$K145)</f>
        <v/>
      </c>
      <c r="AM145" s="651" t="str">
        <f>IF(OR(AM$122="",$I145=""),"",'I. Stream &amp; Compound Data'!CK200/$J145*(1-AM$127)*(1-AM$123)*$K145)</f>
        <v/>
      </c>
      <c r="AN145" s="651" t="str">
        <f>IF(OR(AN$122="",$I145=""),"",'I. Stream &amp; Compound Data'!CN200/$J145*(1-AN$127)*(1-AN$123)*$K145)</f>
        <v/>
      </c>
      <c r="AO145" s="651" t="str">
        <f>IF(OR(AO$122="",$I145=""),"",'I. Stream &amp; Compound Data'!CQ200/$J145*(1-AO$127)*(1-AO$123)*$K145)</f>
        <v/>
      </c>
      <c r="AP145" s="651" t="str">
        <f>IF(OR(AP$122="",$I145=""),"",'I. Stream &amp; Compound Data'!CT200/$J145*(1-AP$127)*(1-AP$123)*$K145)</f>
        <v/>
      </c>
      <c r="AQ145" s="651" t="str">
        <f>IF(OR(AQ$122="",$I145=""),"",'I. Stream &amp; Compound Data'!CW200/$J145*(1-AQ$127)*(1-AQ$123)*$K145)</f>
        <v/>
      </c>
      <c r="AR145" s="651" t="str">
        <f>IF(OR(AR$122="",$I145=""),"",'I. Stream &amp; Compound Data'!CZ200/$J145*(1-AR$127)*(1-AR$123)*$K145)</f>
        <v/>
      </c>
      <c r="AS145" s="651" t="str">
        <f>IF(OR(AS$122="",$I145=""),"",'I. Stream &amp; Compound Data'!DC200/$J145*(1-AS$127)*(1-AS$123)*$K145)</f>
        <v/>
      </c>
      <c r="AT145" s="651" t="str">
        <f>IF(OR(AT$122="",$I145=""),"",'I. Stream &amp; Compound Data'!DF200/$J145*(1-AT$127)*(1-AT$123)*$K145)</f>
        <v/>
      </c>
      <c r="AU145" s="651" t="str">
        <f>IF(OR(AU$122="",$I145=""),"",'I. Stream &amp; Compound Data'!DI200/$J145*(1-AU$127)*(1-AU$123)*$K145)</f>
        <v/>
      </c>
      <c r="AV145" s="651" t="str">
        <f>IF(OR(AV$122="",$I145=""),"",'I. Stream &amp; Compound Data'!DL200/$J145*(1-AV$127)*(1-AV$123)*$K145)</f>
        <v/>
      </c>
      <c r="AW145" s="651" t="str">
        <f>IF(OR(AW$122="",$I145=""),"",'I. Stream &amp; Compound Data'!DO200/$J145*(1-AW$127)*(1-AW$123)*$K145)</f>
        <v/>
      </c>
      <c r="AX145" s="651" t="str">
        <f>IF(OR(AX$122="",$I145=""),"",'I. Stream &amp; Compound Data'!DR200/$J145*(1-AX$127)*(1-AX$123)*$K145)</f>
        <v/>
      </c>
      <c r="AY145" s="667" t="str">
        <f>IF(OR(AY$122="",$I145=""),"",'I. Stream &amp; Compound Data'!DU200/$J145*(1-AY$127)*(1-AY$123)*$K145)</f>
        <v/>
      </c>
      <c r="AZ145" s="336"/>
      <c r="BA145" s="632"/>
      <c r="BB145" s="632"/>
      <c r="BC145" s="632"/>
      <c r="BD145" s="632"/>
      <c r="BE145" s="632"/>
      <c r="BF145" s="632"/>
      <c r="BG145" s="632"/>
      <c r="BH145" s="632"/>
      <c r="BI145" s="632"/>
      <c r="BJ145" s="632"/>
      <c r="BK145" s="632"/>
      <c r="BL145" s="632"/>
      <c r="BM145" s="632"/>
      <c r="BN145" s="632"/>
      <c r="BO145" s="632"/>
      <c r="BP145" s="632"/>
      <c r="BQ145" s="632"/>
      <c r="BR145" s="632"/>
      <c r="BS145" s="632"/>
      <c r="BT145" s="632"/>
      <c r="BU145" s="632"/>
      <c r="BV145" s="632"/>
      <c r="BW145" s="632"/>
      <c r="BX145" s="632"/>
      <c r="BY145" s="632"/>
      <c r="BZ145" s="632"/>
      <c r="CA145" s="632"/>
      <c r="CB145" s="632"/>
      <c r="CC145" s="632"/>
      <c r="CD145" s="632"/>
      <c r="CE145" s="632"/>
      <c r="CF145" s="632"/>
      <c r="CG145" s="632"/>
      <c r="CH145" s="632"/>
      <c r="CI145" s="632"/>
      <c r="CJ145" s="632"/>
      <c r="CK145" s="632"/>
      <c r="CL145" s="632"/>
      <c r="CM145" s="632"/>
      <c r="CN145" s="631"/>
    </row>
    <row r="146" spans="2:92" ht="15.75" x14ac:dyDescent="0.2">
      <c r="B146" s="610"/>
      <c r="C146" s="336"/>
      <c r="D146" s="611"/>
      <c r="E146" s="612"/>
      <c r="F146" s="612"/>
      <c r="G146" s="612"/>
      <c r="H146" s="618">
        <f>'I. Stream &amp; Compound Data'!F277</f>
        <v>16</v>
      </c>
      <c r="I146" s="677" t="str">
        <f>IF('I. Stream &amp; Compound Data'!G277&lt;&gt;"",'I. Stream &amp; Compound Data'!G277,"")</f>
        <v/>
      </c>
      <c r="J146" s="676" t="str">
        <f>IF('I. Stream &amp; Compound Data'!BH277="","",'I. Stream &amp; Compound Data'!BH277)</f>
        <v/>
      </c>
      <c r="K146" s="652" t="str">
        <f>IF('I. Stream &amp; Compound Data'!G277="","",IF(OR('I. Stream &amp; Compound Data'!U277=1,'I. Stream &amp; Compound Data'!V277=1,'I. Stream &amp; Compound Data'!AY277&lt;25),0,1))</f>
        <v/>
      </c>
      <c r="L146" s="651" t="str">
        <f>IF(OR(I146="",L$122=""),"",'I. Stream &amp; Compound Data'!H201/$J146*(1-L$127)*(1-L$123)*$K146)</f>
        <v/>
      </c>
      <c r="M146" s="651" t="str">
        <f>IF(OR(J146="",M$122=""),"",'I. Stream &amp; Compound Data'!K201/$J146*(1-M$127)*(1-M$123)*$K146)</f>
        <v/>
      </c>
      <c r="N146" s="651" t="str">
        <f>IF(OR(K146="",N$122=""),"",'I. Stream &amp; Compound Data'!N201/$J146*(1-N$127)*(1-N$123)*$K146)</f>
        <v/>
      </c>
      <c r="O146" s="651" t="str">
        <f>IF(OR(L146="",O$122=""),"",'I. Stream &amp; Compound Data'!Q201/$J146*(1-O$127)*(1-O$123)*$K146)</f>
        <v/>
      </c>
      <c r="P146" s="651" t="str">
        <f>IF(OR(M146="",P$122=""),"",'I. Stream &amp; Compound Data'!T201/$J146*(1-P$127)*(1-P$123)*$K146)</f>
        <v/>
      </c>
      <c r="Q146" s="651" t="str">
        <f>IF(OR(N146="",Q$122=""),"",'I. Stream &amp; Compound Data'!W201/$J146*(1-Q$127)*(1-Q$123)*$K146)</f>
        <v/>
      </c>
      <c r="R146" s="651" t="str">
        <f>IF(OR(O146="",R$122=""),"",'I. Stream &amp; Compound Data'!Z201/$J146*(1-R$127)*(1-R$123)*$K146)</f>
        <v/>
      </c>
      <c r="S146" s="651" t="str">
        <f>IF(OR(P146="",S$122=""),"",'I. Stream &amp; Compound Data'!AC201/$J146*(1-S$127)*(1-S$123)*$K146)</f>
        <v/>
      </c>
      <c r="T146" s="651" t="str">
        <f>IF(OR(Q146="",T$122=""),"",'I. Stream &amp; Compound Data'!AF201/$J146*(1-T$127)*(1-T$123)*$K146)</f>
        <v/>
      </c>
      <c r="U146" s="651" t="str">
        <f>IF(OR(R146="",U$122=""),"",'I. Stream &amp; Compound Data'!AI201/$J146*(1-U$127)*(1-U$123)*$K146)</f>
        <v/>
      </c>
      <c r="V146" s="651" t="str">
        <f>IF(OR(V$122="",$I146=""),"",'I. Stream &amp; Compound Data'!AL201/$J146*(1-V$127)*(1-V$123)*$K146)</f>
        <v/>
      </c>
      <c r="W146" s="651" t="str">
        <f>IF(OR(W$122="",$I146=""),"",'I. Stream &amp; Compound Data'!AO201/$J146*(1-W$127)*(1-W$123)*$K146)</f>
        <v/>
      </c>
      <c r="X146" s="651" t="str">
        <f>IF(OR(X$122="",$I146=""),"",'I. Stream &amp; Compound Data'!AR201/$J146*(1-X$127)*(1-X$123)*$K146)</f>
        <v/>
      </c>
      <c r="Y146" s="651" t="str">
        <f>IF(OR(Y$122="",$I146=""),"",'I. Stream &amp; Compound Data'!AU201/$J146*(1-Y$127)*(1-Y$123)*$K146)</f>
        <v/>
      </c>
      <c r="Z146" s="651" t="str">
        <f>IF(OR(Z$122="",$I146=""),"",'I. Stream &amp; Compound Data'!AX201/$J146*(1-Z$127)*(1-Z$123)*$K146)</f>
        <v/>
      </c>
      <c r="AA146" s="651" t="str">
        <f>IF(OR(AA$122="",$I146=""),"",'I. Stream &amp; Compound Data'!BA201/$J146*(1-AA$127)*(1-AA$123)*$K146)</f>
        <v/>
      </c>
      <c r="AB146" s="651" t="str">
        <f>IF(OR(AB$122="",$I146=""),"",'I. Stream &amp; Compound Data'!BD201/$J146*(1-AB$127)*(1-AB$123)*$K146)</f>
        <v/>
      </c>
      <c r="AC146" s="651" t="str">
        <f>IF(OR(AC$122="",$I146=""),"",'I. Stream &amp; Compound Data'!BG201/$J146*(1-AC$127)*(1-AC$123)*$K146)</f>
        <v/>
      </c>
      <c r="AD146" s="651" t="str">
        <f>IF(OR(AD$122="",$I146=""),"",'I. Stream &amp; Compound Data'!BJ201/$J146*(1-AD$127)*(1-AD$123)*$K146)</f>
        <v/>
      </c>
      <c r="AE146" s="651" t="str">
        <f>IF(OR(AE$122="",$I146=""),"",'I. Stream &amp; Compound Data'!BM201/$J146*(1-AE$127)*(1-AE$123)*$K146)</f>
        <v/>
      </c>
      <c r="AF146" s="651" t="str">
        <f>IF(OR(AF$122="",$I146=""),"",'I. Stream &amp; Compound Data'!BP201/$J146*(1-AF$127)*(1-AF$123)*$K146)</f>
        <v/>
      </c>
      <c r="AG146" s="651" t="str">
        <f>IF(OR(AG$122="",$I146=""),"",'I. Stream &amp; Compound Data'!BS201/$J146*(1-AG$127)*(1-AG$123)*$K146)</f>
        <v/>
      </c>
      <c r="AH146" s="651" t="str">
        <f>IF(OR(AH$122="",$I146=""),"",'I. Stream &amp; Compound Data'!BV201/$J146*(1-AH$127)*(1-AH$123)*$K146)</f>
        <v/>
      </c>
      <c r="AI146" s="651" t="str">
        <f>IF(OR(AI$122="",$I146=""),"",'I. Stream &amp; Compound Data'!BY201/$J146*(1-AI$127)*(1-AI$123)*$K146)</f>
        <v/>
      </c>
      <c r="AJ146" s="651" t="str">
        <f>IF(OR(AJ$122="",$I146=""),"",'I. Stream &amp; Compound Data'!CB201/$J146*(1-AJ$127)*(1-AJ$123)*$K146)</f>
        <v/>
      </c>
      <c r="AK146" s="651" t="str">
        <f>IF(OR(AK$122="",$I146=""),"",'I. Stream &amp; Compound Data'!CE201/$J146*(1-AK$127)*(1-AK$123)*$K146)</f>
        <v/>
      </c>
      <c r="AL146" s="651" t="str">
        <f>IF(OR(AL$122="",$I146=""),"",'I. Stream &amp; Compound Data'!CH201/$J146*(1-AL$127)*(1-AL$123)*$K146)</f>
        <v/>
      </c>
      <c r="AM146" s="651" t="str">
        <f>IF(OR(AM$122="",$I146=""),"",'I. Stream &amp; Compound Data'!CK201/$J146*(1-AM$127)*(1-AM$123)*$K146)</f>
        <v/>
      </c>
      <c r="AN146" s="651" t="str">
        <f>IF(OR(AN$122="",$I146=""),"",'I. Stream &amp; Compound Data'!CN201/$J146*(1-AN$127)*(1-AN$123)*$K146)</f>
        <v/>
      </c>
      <c r="AO146" s="651" t="str">
        <f>IF(OR(AO$122="",$I146=""),"",'I. Stream &amp; Compound Data'!CQ201/$J146*(1-AO$127)*(1-AO$123)*$K146)</f>
        <v/>
      </c>
      <c r="AP146" s="651" t="str">
        <f>IF(OR(AP$122="",$I146=""),"",'I. Stream &amp; Compound Data'!CT201/$J146*(1-AP$127)*(1-AP$123)*$K146)</f>
        <v/>
      </c>
      <c r="AQ146" s="651" t="str">
        <f>IF(OR(AQ$122="",$I146=""),"",'I. Stream &amp; Compound Data'!CW201/$J146*(1-AQ$127)*(1-AQ$123)*$K146)</f>
        <v/>
      </c>
      <c r="AR146" s="651" t="str">
        <f>IF(OR(AR$122="",$I146=""),"",'I. Stream &amp; Compound Data'!CZ201/$J146*(1-AR$127)*(1-AR$123)*$K146)</f>
        <v/>
      </c>
      <c r="AS146" s="651" t="str">
        <f>IF(OR(AS$122="",$I146=""),"",'I. Stream &amp; Compound Data'!DC201/$J146*(1-AS$127)*(1-AS$123)*$K146)</f>
        <v/>
      </c>
      <c r="AT146" s="651" t="str">
        <f>IF(OR(AT$122="",$I146=""),"",'I. Stream &amp; Compound Data'!DF201/$J146*(1-AT$127)*(1-AT$123)*$K146)</f>
        <v/>
      </c>
      <c r="AU146" s="651" t="str">
        <f>IF(OR(AU$122="",$I146=""),"",'I. Stream &amp; Compound Data'!DI201/$J146*(1-AU$127)*(1-AU$123)*$K146)</f>
        <v/>
      </c>
      <c r="AV146" s="651" t="str">
        <f>IF(OR(AV$122="",$I146=""),"",'I. Stream &amp; Compound Data'!DL201/$J146*(1-AV$127)*(1-AV$123)*$K146)</f>
        <v/>
      </c>
      <c r="AW146" s="651" t="str">
        <f>IF(OR(AW$122="",$I146=""),"",'I. Stream &amp; Compound Data'!DO201/$J146*(1-AW$127)*(1-AW$123)*$K146)</f>
        <v/>
      </c>
      <c r="AX146" s="651" t="str">
        <f>IF(OR(AX$122="",$I146=""),"",'I. Stream &amp; Compound Data'!DR201/$J146*(1-AX$127)*(1-AX$123)*$K146)</f>
        <v/>
      </c>
      <c r="AY146" s="667" t="str">
        <f>IF(OR(AY$122="",$I146=""),"",'I. Stream &amp; Compound Data'!DU201/$J146*(1-AY$127)*(1-AY$123)*$K146)</f>
        <v/>
      </c>
      <c r="AZ146" s="336"/>
      <c r="BA146" s="632"/>
      <c r="BB146" s="632"/>
      <c r="BC146" s="632"/>
      <c r="BD146" s="632"/>
      <c r="BE146" s="632"/>
      <c r="BF146" s="632"/>
      <c r="BG146" s="632"/>
      <c r="BH146" s="632"/>
      <c r="BI146" s="632"/>
      <c r="BJ146" s="632"/>
      <c r="BK146" s="632"/>
      <c r="BL146" s="632"/>
      <c r="BM146" s="632"/>
      <c r="BN146" s="632"/>
      <c r="BO146" s="632"/>
      <c r="BP146" s="632"/>
      <c r="BQ146" s="632"/>
      <c r="BR146" s="632"/>
      <c r="BS146" s="632"/>
      <c r="BT146" s="632"/>
      <c r="BU146" s="632"/>
      <c r="BV146" s="632"/>
      <c r="BW146" s="632"/>
      <c r="BX146" s="632"/>
      <c r="BY146" s="632"/>
      <c r="BZ146" s="632"/>
      <c r="CA146" s="632"/>
      <c r="CB146" s="632"/>
      <c r="CC146" s="632"/>
      <c r="CD146" s="632"/>
      <c r="CE146" s="632"/>
      <c r="CF146" s="632"/>
      <c r="CG146" s="632"/>
      <c r="CH146" s="632"/>
      <c r="CI146" s="632"/>
      <c r="CJ146" s="632"/>
      <c r="CK146" s="632"/>
      <c r="CL146" s="632"/>
      <c r="CM146" s="632"/>
      <c r="CN146" s="631"/>
    </row>
    <row r="147" spans="2:92" ht="15.75" x14ac:dyDescent="0.2">
      <c r="B147" s="610"/>
      <c r="C147" s="336"/>
      <c r="D147" s="611"/>
      <c r="E147" s="612"/>
      <c r="F147" s="612"/>
      <c r="G147" s="612"/>
      <c r="H147" s="618">
        <f>'I. Stream &amp; Compound Data'!F278</f>
        <v>17</v>
      </c>
      <c r="I147" s="677" t="str">
        <f>IF('I. Stream &amp; Compound Data'!G278&lt;&gt;"",'I. Stream &amp; Compound Data'!G278,"")</f>
        <v/>
      </c>
      <c r="J147" s="676" t="str">
        <f>IF('I. Stream &amp; Compound Data'!BH278="","",'I. Stream &amp; Compound Data'!BH278)</f>
        <v/>
      </c>
      <c r="K147" s="652" t="str">
        <f>IF('I. Stream &amp; Compound Data'!G278="","",IF(OR('I. Stream &amp; Compound Data'!U278=1,'I. Stream &amp; Compound Data'!V278=1,'I. Stream &amp; Compound Data'!AY278&lt;25),0,1))</f>
        <v/>
      </c>
      <c r="L147" s="651" t="str">
        <f>IF(OR(I147="",L$122=""),"",'I. Stream &amp; Compound Data'!H202/$J147*(1-L$127)*(1-L$123)*$K147)</f>
        <v/>
      </c>
      <c r="M147" s="651" t="str">
        <f>IF(OR(J147="",M$122=""),"",'I. Stream &amp; Compound Data'!K202/$J147*(1-M$127)*(1-M$123)*$K147)</f>
        <v/>
      </c>
      <c r="N147" s="651" t="str">
        <f>IF(OR(K147="",N$122=""),"",'I. Stream &amp; Compound Data'!N202/$J147*(1-N$127)*(1-N$123)*$K147)</f>
        <v/>
      </c>
      <c r="O147" s="651" t="str">
        <f>IF(OR(L147="",O$122=""),"",'I. Stream &amp; Compound Data'!Q202/$J147*(1-O$127)*(1-O$123)*$K147)</f>
        <v/>
      </c>
      <c r="P147" s="651" t="str">
        <f>IF(OR(M147="",P$122=""),"",'I. Stream &amp; Compound Data'!T202/$J147*(1-P$127)*(1-P$123)*$K147)</f>
        <v/>
      </c>
      <c r="Q147" s="651" t="str">
        <f>IF(OR(N147="",Q$122=""),"",'I. Stream &amp; Compound Data'!W202/$J147*(1-Q$127)*(1-Q$123)*$K147)</f>
        <v/>
      </c>
      <c r="R147" s="651" t="str">
        <f>IF(OR(O147="",R$122=""),"",'I. Stream &amp; Compound Data'!Z202/$J147*(1-R$127)*(1-R$123)*$K147)</f>
        <v/>
      </c>
      <c r="S147" s="651" t="str">
        <f>IF(OR(P147="",S$122=""),"",'I. Stream &amp; Compound Data'!AC202/$J147*(1-S$127)*(1-S$123)*$K147)</f>
        <v/>
      </c>
      <c r="T147" s="651" t="str">
        <f>IF(OR(Q147="",T$122=""),"",'I. Stream &amp; Compound Data'!AF202/$J147*(1-T$127)*(1-T$123)*$K147)</f>
        <v/>
      </c>
      <c r="U147" s="651" t="str">
        <f>IF(OR(R147="",U$122=""),"",'I. Stream &amp; Compound Data'!AI202/$J147*(1-U$127)*(1-U$123)*$K147)</f>
        <v/>
      </c>
      <c r="V147" s="651" t="str">
        <f>IF(OR(V$122="",$I147=""),"",'I. Stream &amp; Compound Data'!AL202/$J147*(1-V$127)*(1-V$123)*$K147)</f>
        <v/>
      </c>
      <c r="W147" s="651" t="str">
        <f>IF(OR(W$122="",$I147=""),"",'I. Stream &amp; Compound Data'!AO202/$J147*(1-W$127)*(1-W$123)*$K147)</f>
        <v/>
      </c>
      <c r="X147" s="651" t="str">
        <f>IF(OR(X$122="",$I147=""),"",'I. Stream &amp; Compound Data'!AR202/$J147*(1-X$127)*(1-X$123)*$K147)</f>
        <v/>
      </c>
      <c r="Y147" s="651" t="str">
        <f>IF(OR(Y$122="",$I147=""),"",'I. Stream &amp; Compound Data'!AU202/$J147*(1-Y$127)*(1-Y$123)*$K147)</f>
        <v/>
      </c>
      <c r="Z147" s="651" t="str">
        <f>IF(OR(Z$122="",$I147=""),"",'I. Stream &amp; Compound Data'!AX202/$J147*(1-Z$127)*(1-Z$123)*$K147)</f>
        <v/>
      </c>
      <c r="AA147" s="651" t="str">
        <f>IF(OR(AA$122="",$I147=""),"",'I. Stream &amp; Compound Data'!BA202/$J147*(1-AA$127)*(1-AA$123)*$K147)</f>
        <v/>
      </c>
      <c r="AB147" s="651" t="str">
        <f>IF(OR(AB$122="",$I147=""),"",'I. Stream &amp; Compound Data'!BD202/$J147*(1-AB$127)*(1-AB$123)*$K147)</f>
        <v/>
      </c>
      <c r="AC147" s="651" t="str">
        <f>IF(OR(AC$122="",$I147=""),"",'I. Stream &amp; Compound Data'!BG202/$J147*(1-AC$127)*(1-AC$123)*$K147)</f>
        <v/>
      </c>
      <c r="AD147" s="651" t="str">
        <f>IF(OR(AD$122="",$I147=""),"",'I. Stream &amp; Compound Data'!BJ202/$J147*(1-AD$127)*(1-AD$123)*$K147)</f>
        <v/>
      </c>
      <c r="AE147" s="651" t="str">
        <f>IF(OR(AE$122="",$I147=""),"",'I. Stream &amp; Compound Data'!BM202/$J147*(1-AE$127)*(1-AE$123)*$K147)</f>
        <v/>
      </c>
      <c r="AF147" s="651" t="str">
        <f>IF(OR(AF$122="",$I147=""),"",'I. Stream &amp; Compound Data'!BP202/$J147*(1-AF$127)*(1-AF$123)*$K147)</f>
        <v/>
      </c>
      <c r="AG147" s="651" t="str">
        <f>IF(OR(AG$122="",$I147=""),"",'I. Stream &amp; Compound Data'!BS202/$J147*(1-AG$127)*(1-AG$123)*$K147)</f>
        <v/>
      </c>
      <c r="AH147" s="651" t="str">
        <f>IF(OR(AH$122="",$I147=""),"",'I. Stream &amp; Compound Data'!BV202/$J147*(1-AH$127)*(1-AH$123)*$K147)</f>
        <v/>
      </c>
      <c r="AI147" s="651" t="str">
        <f>IF(OR(AI$122="",$I147=""),"",'I. Stream &amp; Compound Data'!BY202/$J147*(1-AI$127)*(1-AI$123)*$K147)</f>
        <v/>
      </c>
      <c r="AJ147" s="651" t="str">
        <f>IF(OR(AJ$122="",$I147=""),"",'I. Stream &amp; Compound Data'!CB202/$J147*(1-AJ$127)*(1-AJ$123)*$K147)</f>
        <v/>
      </c>
      <c r="AK147" s="651" t="str">
        <f>IF(OR(AK$122="",$I147=""),"",'I. Stream &amp; Compound Data'!CE202/$J147*(1-AK$127)*(1-AK$123)*$K147)</f>
        <v/>
      </c>
      <c r="AL147" s="651" t="str">
        <f>IF(OR(AL$122="",$I147=""),"",'I. Stream &amp; Compound Data'!CH202/$J147*(1-AL$127)*(1-AL$123)*$K147)</f>
        <v/>
      </c>
      <c r="AM147" s="651" t="str">
        <f>IF(OR(AM$122="",$I147=""),"",'I. Stream &amp; Compound Data'!CK202/$J147*(1-AM$127)*(1-AM$123)*$K147)</f>
        <v/>
      </c>
      <c r="AN147" s="651" t="str">
        <f>IF(OR(AN$122="",$I147=""),"",'I. Stream &amp; Compound Data'!CN202/$J147*(1-AN$127)*(1-AN$123)*$K147)</f>
        <v/>
      </c>
      <c r="AO147" s="651" t="str">
        <f>IF(OR(AO$122="",$I147=""),"",'I. Stream &amp; Compound Data'!CQ202/$J147*(1-AO$127)*(1-AO$123)*$K147)</f>
        <v/>
      </c>
      <c r="AP147" s="651" t="str">
        <f>IF(OR(AP$122="",$I147=""),"",'I. Stream &amp; Compound Data'!CT202/$J147*(1-AP$127)*(1-AP$123)*$K147)</f>
        <v/>
      </c>
      <c r="AQ147" s="651" t="str">
        <f>IF(OR(AQ$122="",$I147=""),"",'I. Stream &amp; Compound Data'!CW202/$J147*(1-AQ$127)*(1-AQ$123)*$K147)</f>
        <v/>
      </c>
      <c r="AR147" s="651" t="str">
        <f>IF(OR(AR$122="",$I147=""),"",'I. Stream &amp; Compound Data'!CZ202/$J147*(1-AR$127)*(1-AR$123)*$K147)</f>
        <v/>
      </c>
      <c r="AS147" s="651" t="str">
        <f>IF(OR(AS$122="",$I147=""),"",'I. Stream &amp; Compound Data'!DC202/$J147*(1-AS$127)*(1-AS$123)*$K147)</f>
        <v/>
      </c>
      <c r="AT147" s="651" t="str">
        <f>IF(OR(AT$122="",$I147=""),"",'I. Stream &amp; Compound Data'!DF202/$J147*(1-AT$127)*(1-AT$123)*$K147)</f>
        <v/>
      </c>
      <c r="AU147" s="651" t="str">
        <f>IF(OR(AU$122="",$I147=""),"",'I. Stream &amp; Compound Data'!DI202/$J147*(1-AU$127)*(1-AU$123)*$K147)</f>
        <v/>
      </c>
      <c r="AV147" s="651" t="str">
        <f>IF(OR(AV$122="",$I147=""),"",'I. Stream &amp; Compound Data'!DL202/$J147*(1-AV$127)*(1-AV$123)*$K147)</f>
        <v/>
      </c>
      <c r="AW147" s="651" t="str">
        <f>IF(OR(AW$122="",$I147=""),"",'I. Stream &amp; Compound Data'!DO202/$J147*(1-AW$127)*(1-AW$123)*$K147)</f>
        <v/>
      </c>
      <c r="AX147" s="651" t="str">
        <f>IF(OR(AX$122="",$I147=""),"",'I. Stream &amp; Compound Data'!DR202/$J147*(1-AX$127)*(1-AX$123)*$K147)</f>
        <v/>
      </c>
      <c r="AY147" s="667" t="str">
        <f>IF(OR(AY$122="",$I147=""),"",'I. Stream &amp; Compound Data'!DU202/$J147*(1-AY$127)*(1-AY$123)*$K147)</f>
        <v/>
      </c>
      <c r="AZ147" s="336"/>
      <c r="BA147" s="632"/>
      <c r="BB147" s="632"/>
      <c r="BC147" s="632"/>
      <c r="BD147" s="632"/>
      <c r="BE147" s="632"/>
      <c r="BF147" s="632"/>
      <c r="BG147" s="632"/>
      <c r="BH147" s="632"/>
      <c r="BI147" s="632"/>
      <c r="BJ147" s="632"/>
      <c r="BK147" s="632"/>
      <c r="BL147" s="632"/>
      <c r="BM147" s="632"/>
      <c r="BN147" s="632"/>
      <c r="BO147" s="632"/>
      <c r="BP147" s="632"/>
      <c r="BQ147" s="632"/>
      <c r="BR147" s="632"/>
      <c r="BS147" s="632"/>
      <c r="BT147" s="632"/>
      <c r="BU147" s="632"/>
      <c r="BV147" s="632"/>
      <c r="BW147" s="632"/>
      <c r="BX147" s="632"/>
      <c r="BY147" s="632"/>
      <c r="BZ147" s="632"/>
      <c r="CA147" s="632"/>
      <c r="CB147" s="632"/>
      <c r="CC147" s="632"/>
      <c r="CD147" s="632"/>
      <c r="CE147" s="632"/>
      <c r="CF147" s="632"/>
      <c r="CG147" s="632"/>
      <c r="CH147" s="632"/>
      <c r="CI147" s="632"/>
      <c r="CJ147" s="632"/>
      <c r="CK147" s="632"/>
      <c r="CL147" s="632"/>
      <c r="CM147" s="632"/>
      <c r="CN147" s="631"/>
    </row>
    <row r="148" spans="2:92" ht="15.75" x14ac:dyDescent="0.2">
      <c r="B148" s="610"/>
      <c r="C148" s="336"/>
      <c r="D148" s="611"/>
      <c r="E148" s="612"/>
      <c r="F148" s="612"/>
      <c r="G148" s="612"/>
      <c r="H148" s="618">
        <f>'I. Stream &amp; Compound Data'!F279</f>
        <v>18</v>
      </c>
      <c r="I148" s="677" t="str">
        <f>IF('I. Stream &amp; Compound Data'!G279&lt;&gt;"",'I. Stream &amp; Compound Data'!G279,"")</f>
        <v/>
      </c>
      <c r="J148" s="676" t="str">
        <f>IF('I. Stream &amp; Compound Data'!BH279="","",'I. Stream &amp; Compound Data'!BH279)</f>
        <v/>
      </c>
      <c r="K148" s="652" t="str">
        <f>IF('I. Stream &amp; Compound Data'!G279="","",IF(OR('I. Stream &amp; Compound Data'!U279=1,'I. Stream &amp; Compound Data'!V279=1,'I. Stream &amp; Compound Data'!AY279&lt;25),0,1))</f>
        <v/>
      </c>
      <c r="L148" s="651" t="str">
        <f>IF(OR(I148="",L$122=""),"",'I. Stream &amp; Compound Data'!H203/$J148*(1-L$127)*(1-L$123)*$K148)</f>
        <v/>
      </c>
      <c r="M148" s="651" t="str">
        <f>IF(OR(J148="",M$122=""),"",'I. Stream &amp; Compound Data'!K203/$J148*(1-M$127)*(1-M$123)*$K148)</f>
        <v/>
      </c>
      <c r="N148" s="651" t="str">
        <f>IF(OR(K148="",N$122=""),"",'I. Stream &amp; Compound Data'!N203/$J148*(1-N$127)*(1-N$123)*$K148)</f>
        <v/>
      </c>
      <c r="O148" s="651" t="str">
        <f>IF(OR(L148="",O$122=""),"",'I. Stream &amp; Compound Data'!Q203/$J148*(1-O$127)*(1-O$123)*$K148)</f>
        <v/>
      </c>
      <c r="P148" s="651" t="str">
        <f>IF(OR(M148="",P$122=""),"",'I. Stream &amp; Compound Data'!T203/$J148*(1-P$127)*(1-P$123)*$K148)</f>
        <v/>
      </c>
      <c r="Q148" s="651" t="str">
        <f>IF(OR(N148="",Q$122=""),"",'I. Stream &amp; Compound Data'!W203/$J148*(1-Q$127)*(1-Q$123)*$K148)</f>
        <v/>
      </c>
      <c r="R148" s="651" t="str">
        <f>IF(OR(O148="",R$122=""),"",'I. Stream &amp; Compound Data'!Z203/$J148*(1-R$127)*(1-R$123)*$K148)</f>
        <v/>
      </c>
      <c r="S148" s="651" t="str">
        <f>IF(OR(P148="",S$122=""),"",'I. Stream &amp; Compound Data'!AC203/$J148*(1-S$127)*(1-S$123)*$K148)</f>
        <v/>
      </c>
      <c r="T148" s="651" t="str">
        <f>IF(OR(Q148="",T$122=""),"",'I. Stream &amp; Compound Data'!AF203/$J148*(1-T$127)*(1-T$123)*$K148)</f>
        <v/>
      </c>
      <c r="U148" s="651" t="str">
        <f>IF(OR(R148="",U$122=""),"",'I. Stream &amp; Compound Data'!AI203/$J148*(1-U$127)*(1-U$123)*$K148)</f>
        <v/>
      </c>
      <c r="V148" s="651" t="str">
        <f>IF(OR(V$122="",$I148=""),"",'I. Stream &amp; Compound Data'!AL203/$J148*(1-V$127)*(1-V$123)*$K148)</f>
        <v/>
      </c>
      <c r="W148" s="651" t="str">
        <f>IF(OR(W$122="",$I148=""),"",'I. Stream &amp; Compound Data'!AO203/$J148*(1-W$127)*(1-W$123)*$K148)</f>
        <v/>
      </c>
      <c r="X148" s="651" t="str">
        <f>IF(OR(X$122="",$I148=""),"",'I. Stream &amp; Compound Data'!AR203/$J148*(1-X$127)*(1-X$123)*$K148)</f>
        <v/>
      </c>
      <c r="Y148" s="651" t="str">
        <f>IF(OR(Y$122="",$I148=""),"",'I. Stream &amp; Compound Data'!AU203/$J148*(1-Y$127)*(1-Y$123)*$K148)</f>
        <v/>
      </c>
      <c r="Z148" s="651" t="str">
        <f>IF(OR(Z$122="",$I148=""),"",'I. Stream &amp; Compound Data'!AX203/$J148*(1-Z$127)*(1-Z$123)*$K148)</f>
        <v/>
      </c>
      <c r="AA148" s="651" t="str">
        <f>IF(OR(AA$122="",$I148=""),"",'I. Stream &amp; Compound Data'!BA203/$J148*(1-AA$127)*(1-AA$123)*$K148)</f>
        <v/>
      </c>
      <c r="AB148" s="651" t="str">
        <f>IF(OR(AB$122="",$I148=""),"",'I. Stream &amp; Compound Data'!BD203/$J148*(1-AB$127)*(1-AB$123)*$K148)</f>
        <v/>
      </c>
      <c r="AC148" s="651" t="str">
        <f>IF(OR(AC$122="",$I148=""),"",'I. Stream &amp; Compound Data'!BG203/$J148*(1-AC$127)*(1-AC$123)*$K148)</f>
        <v/>
      </c>
      <c r="AD148" s="651" t="str">
        <f>IF(OR(AD$122="",$I148=""),"",'I. Stream &amp; Compound Data'!BJ203/$J148*(1-AD$127)*(1-AD$123)*$K148)</f>
        <v/>
      </c>
      <c r="AE148" s="651" t="str">
        <f>IF(OR(AE$122="",$I148=""),"",'I. Stream &amp; Compound Data'!BM203/$J148*(1-AE$127)*(1-AE$123)*$K148)</f>
        <v/>
      </c>
      <c r="AF148" s="651" t="str">
        <f>IF(OR(AF$122="",$I148=""),"",'I. Stream &amp; Compound Data'!BP203/$J148*(1-AF$127)*(1-AF$123)*$K148)</f>
        <v/>
      </c>
      <c r="AG148" s="651" t="str">
        <f>IF(OR(AG$122="",$I148=""),"",'I. Stream &amp; Compound Data'!BS203/$J148*(1-AG$127)*(1-AG$123)*$K148)</f>
        <v/>
      </c>
      <c r="AH148" s="651" t="str">
        <f>IF(OR(AH$122="",$I148=""),"",'I. Stream &amp; Compound Data'!BV203/$J148*(1-AH$127)*(1-AH$123)*$K148)</f>
        <v/>
      </c>
      <c r="AI148" s="651" t="str">
        <f>IF(OR(AI$122="",$I148=""),"",'I. Stream &amp; Compound Data'!BY203/$J148*(1-AI$127)*(1-AI$123)*$K148)</f>
        <v/>
      </c>
      <c r="AJ148" s="651" t="str">
        <f>IF(OR(AJ$122="",$I148=""),"",'I. Stream &amp; Compound Data'!CB203/$J148*(1-AJ$127)*(1-AJ$123)*$K148)</f>
        <v/>
      </c>
      <c r="AK148" s="651" t="str">
        <f>IF(OR(AK$122="",$I148=""),"",'I. Stream &amp; Compound Data'!CE203/$J148*(1-AK$127)*(1-AK$123)*$K148)</f>
        <v/>
      </c>
      <c r="AL148" s="651" t="str">
        <f>IF(OR(AL$122="",$I148=""),"",'I. Stream &amp; Compound Data'!CH203/$J148*(1-AL$127)*(1-AL$123)*$K148)</f>
        <v/>
      </c>
      <c r="AM148" s="651" t="str">
        <f>IF(OR(AM$122="",$I148=""),"",'I. Stream &amp; Compound Data'!CK203/$J148*(1-AM$127)*(1-AM$123)*$K148)</f>
        <v/>
      </c>
      <c r="AN148" s="651" t="str">
        <f>IF(OR(AN$122="",$I148=""),"",'I. Stream &amp; Compound Data'!CN203/$J148*(1-AN$127)*(1-AN$123)*$K148)</f>
        <v/>
      </c>
      <c r="AO148" s="651" t="str">
        <f>IF(OR(AO$122="",$I148=""),"",'I. Stream &amp; Compound Data'!CQ203/$J148*(1-AO$127)*(1-AO$123)*$K148)</f>
        <v/>
      </c>
      <c r="AP148" s="651" t="str">
        <f>IF(OR(AP$122="",$I148=""),"",'I. Stream &amp; Compound Data'!CT203/$J148*(1-AP$127)*(1-AP$123)*$K148)</f>
        <v/>
      </c>
      <c r="AQ148" s="651" t="str">
        <f>IF(OR(AQ$122="",$I148=""),"",'I. Stream &amp; Compound Data'!CW203/$J148*(1-AQ$127)*(1-AQ$123)*$K148)</f>
        <v/>
      </c>
      <c r="AR148" s="651" t="str">
        <f>IF(OR(AR$122="",$I148=""),"",'I. Stream &amp; Compound Data'!CZ203/$J148*(1-AR$127)*(1-AR$123)*$K148)</f>
        <v/>
      </c>
      <c r="AS148" s="651" t="str">
        <f>IF(OR(AS$122="",$I148=""),"",'I. Stream &amp; Compound Data'!DC203/$J148*(1-AS$127)*(1-AS$123)*$K148)</f>
        <v/>
      </c>
      <c r="AT148" s="651" t="str">
        <f>IF(OR(AT$122="",$I148=""),"",'I. Stream &amp; Compound Data'!DF203/$J148*(1-AT$127)*(1-AT$123)*$K148)</f>
        <v/>
      </c>
      <c r="AU148" s="651" t="str">
        <f>IF(OR(AU$122="",$I148=""),"",'I. Stream &amp; Compound Data'!DI203/$J148*(1-AU$127)*(1-AU$123)*$K148)</f>
        <v/>
      </c>
      <c r="AV148" s="651" t="str">
        <f>IF(OR(AV$122="",$I148=""),"",'I. Stream &amp; Compound Data'!DL203/$J148*(1-AV$127)*(1-AV$123)*$K148)</f>
        <v/>
      </c>
      <c r="AW148" s="651" t="str">
        <f>IF(OR(AW$122="",$I148=""),"",'I. Stream &amp; Compound Data'!DO203/$J148*(1-AW$127)*(1-AW$123)*$K148)</f>
        <v/>
      </c>
      <c r="AX148" s="651" t="str">
        <f>IF(OR(AX$122="",$I148=""),"",'I. Stream &amp; Compound Data'!DR203/$J148*(1-AX$127)*(1-AX$123)*$K148)</f>
        <v/>
      </c>
      <c r="AY148" s="667" t="str">
        <f>IF(OR(AY$122="",$I148=""),"",'I. Stream &amp; Compound Data'!DU203/$J148*(1-AY$127)*(1-AY$123)*$K148)</f>
        <v/>
      </c>
      <c r="AZ148" s="336"/>
      <c r="BA148" s="632"/>
      <c r="BB148" s="632"/>
      <c r="BC148" s="632"/>
      <c r="BD148" s="632"/>
      <c r="BE148" s="632"/>
      <c r="BF148" s="632"/>
      <c r="BG148" s="632"/>
      <c r="BH148" s="632"/>
      <c r="BI148" s="632"/>
      <c r="BJ148" s="632"/>
      <c r="BK148" s="632"/>
      <c r="BL148" s="632"/>
      <c r="BM148" s="632"/>
      <c r="BN148" s="632"/>
      <c r="BO148" s="632"/>
      <c r="BP148" s="632"/>
      <c r="BQ148" s="632"/>
      <c r="BR148" s="632"/>
      <c r="BS148" s="632"/>
      <c r="BT148" s="632"/>
      <c r="BU148" s="632"/>
      <c r="BV148" s="632"/>
      <c r="BW148" s="632"/>
      <c r="BX148" s="632"/>
      <c r="BY148" s="632"/>
      <c r="BZ148" s="632"/>
      <c r="CA148" s="632"/>
      <c r="CB148" s="632"/>
      <c r="CC148" s="632"/>
      <c r="CD148" s="632"/>
      <c r="CE148" s="632"/>
      <c r="CF148" s="632"/>
      <c r="CG148" s="632"/>
      <c r="CH148" s="632"/>
      <c r="CI148" s="632"/>
      <c r="CJ148" s="632"/>
      <c r="CK148" s="632"/>
      <c r="CL148" s="632"/>
      <c r="CM148" s="632"/>
      <c r="CN148" s="631"/>
    </row>
    <row r="149" spans="2:92" ht="15.75" x14ac:dyDescent="0.2">
      <c r="B149" s="610"/>
      <c r="C149" s="336"/>
      <c r="D149" s="611"/>
      <c r="E149" s="612"/>
      <c r="F149" s="612"/>
      <c r="G149" s="612"/>
      <c r="H149" s="618">
        <f>'I. Stream &amp; Compound Data'!F280</f>
        <v>19</v>
      </c>
      <c r="I149" s="677" t="str">
        <f>IF('I. Stream &amp; Compound Data'!G280&lt;&gt;"",'I. Stream &amp; Compound Data'!G280,"")</f>
        <v/>
      </c>
      <c r="J149" s="676" t="str">
        <f>IF('I. Stream &amp; Compound Data'!BH280="","",'I. Stream &amp; Compound Data'!BH280)</f>
        <v/>
      </c>
      <c r="K149" s="652" t="str">
        <f>IF('I. Stream &amp; Compound Data'!G280="","",IF(OR('I. Stream &amp; Compound Data'!U280=1,'I. Stream &amp; Compound Data'!V280=1,'I. Stream &amp; Compound Data'!AY280&lt;25),0,1))</f>
        <v/>
      </c>
      <c r="L149" s="651" t="str">
        <f>IF(OR(I149="",L$122=""),"",'I. Stream &amp; Compound Data'!H204/$J149*(1-L$127)*(1-L$123)*$K149)</f>
        <v/>
      </c>
      <c r="M149" s="651" t="str">
        <f>IF(OR(J149="",M$122=""),"",'I. Stream &amp; Compound Data'!K204/$J149*(1-M$127)*(1-M$123)*$K149)</f>
        <v/>
      </c>
      <c r="N149" s="651" t="str">
        <f>IF(OR(K149="",N$122=""),"",'I. Stream &amp; Compound Data'!N204/$J149*(1-N$127)*(1-N$123)*$K149)</f>
        <v/>
      </c>
      <c r="O149" s="651" t="str">
        <f>IF(OR(L149="",O$122=""),"",'I. Stream &amp; Compound Data'!Q204/$J149*(1-O$127)*(1-O$123)*$K149)</f>
        <v/>
      </c>
      <c r="P149" s="651" t="str">
        <f>IF(OR(M149="",P$122=""),"",'I. Stream &amp; Compound Data'!T204/$J149*(1-P$127)*(1-P$123)*$K149)</f>
        <v/>
      </c>
      <c r="Q149" s="651" t="str">
        <f>IF(OR(N149="",Q$122=""),"",'I. Stream &amp; Compound Data'!W204/$J149*(1-Q$127)*(1-Q$123)*$K149)</f>
        <v/>
      </c>
      <c r="R149" s="651" t="str">
        <f>IF(OR(O149="",R$122=""),"",'I. Stream &amp; Compound Data'!Z204/$J149*(1-R$127)*(1-R$123)*$K149)</f>
        <v/>
      </c>
      <c r="S149" s="651" t="str">
        <f>IF(OR(P149="",S$122=""),"",'I. Stream &amp; Compound Data'!AC204/$J149*(1-S$127)*(1-S$123)*$K149)</f>
        <v/>
      </c>
      <c r="T149" s="651" t="str">
        <f>IF(OR(Q149="",T$122=""),"",'I. Stream &amp; Compound Data'!AF204/$J149*(1-T$127)*(1-T$123)*$K149)</f>
        <v/>
      </c>
      <c r="U149" s="651" t="str">
        <f>IF(OR(R149="",U$122=""),"",'I. Stream &amp; Compound Data'!AI204/$J149*(1-U$127)*(1-U$123)*$K149)</f>
        <v/>
      </c>
      <c r="V149" s="651" t="str">
        <f>IF(OR(V$122="",$I149=""),"",'I. Stream &amp; Compound Data'!AL204/$J149*(1-V$127)*(1-V$123)*$K149)</f>
        <v/>
      </c>
      <c r="W149" s="651" t="str">
        <f>IF(OR(W$122="",$I149=""),"",'I. Stream &amp; Compound Data'!AO204/$J149*(1-W$127)*(1-W$123)*$K149)</f>
        <v/>
      </c>
      <c r="X149" s="651" t="str">
        <f>IF(OR(X$122="",$I149=""),"",'I. Stream &amp; Compound Data'!AR204/$J149*(1-X$127)*(1-X$123)*$K149)</f>
        <v/>
      </c>
      <c r="Y149" s="651" t="str">
        <f>IF(OR(Y$122="",$I149=""),"",'I. Stream &amp; Compound Data'!AU204/$J149*(1-Y$127)*(1-Y$123)*$K149)</f>
        <v/>
      </c>
      <c r="Z149" s="651" t="str">
        <f>IF(OR(Z$122="",$I149=""),"",'I. Stream &amp; Compound Data'!AX204/$J149*(1-Z$127)*(1-Z$123)*$K149)</f>
        <v/>
      </c>
      <c r="AA149" s="651" t="str">
        <f>IF(OR(AA$122="",$I149=""),"",'I. Stream &amp; Compound Data'!BA204/$J149*(1-AA$127)*(1-AA$123)*$K149)</f>
        <v/>
      </c>
      <c r="AB149" s="651" t="str">
        <f>IF(OR(AB$122="",$I149=""),"",'I. Stream &amp; Compound Data'!BD204/$J149*(1-AB$127)*(1-AB$123)*$K149)</f>
        <v/>
      </c>
      <c r="AC149" s="651" t="str">
        <f>IF(OR(AC$122="",$I149=""),"",'I. Stream &amp; Compound Data'!BG204/$J149*(1-AC$127)*(1-AC$123)*$K149)</f>
        <v/>
      </c>
      <c r="AD149" s="651" t="str">
        <f>IF(OR(AD$122="",$I149=""),"",'I. Stream &amp; Compound Data'!BJ204/$J149*(1-AD$127)*(1-AD$123)*$K149)</f>
        <v/>
      </c>
      <c r="AE149" s="651" t="str">
        <f>IF(OR(AE$122="",$I149=""),"",'I. Stream &amp; Compound Data'!BM204/$J149*(1-AE$127)*(1-AE$123)*$K149)</f>
        <v/>
      </c>
      <c r="AF149" s="651" t="str">
        <f>IF(OR(AF$122="",$I149=""),"",'I. Stream &amp; Compound Data'!BP204/$J149*(1-AF$127)*(1-AF$123)*$K149)</f>
        <v/>
      </c>
      <c r="AG149" s="651" t="str">
        <f>IF(OR(AG$122="",$I149=""),"",'I. Stream &amp; Compound Data'!BS204/$J149*(1-AG$127)*(1-AG$123)*$K149)</f>
        <v/>
      </c>
      <c r="AH149" s="651" t="str">
        <f>IF(OR(AH$122="",$I149=""),"",'I. Stream &amp; Compound Data'!BV204/$J149*(1-AH$127)*(1-AH$123)*$K149)</f>
        <v/>
      </c>
      <c r="AI149" s="651" t="str">
        <f>IF(OR(AI$122="",$I149=""),"",'I. Stream &amp; Compound Data'!BY204/$J149*(1-AI$127)*(1-AI$123)*$K149)</f>
        <v/>
      </c>
      <c r="AJ149" s="651" t="str">
        <f>IF(OR(AJ$122="",$I149=""),"",'I. Stream &amp; Compound Data'!CB204/$J149*(1-AJ$127)*(1-AJ$123)*$K149)</f>
        <v/>
      </c>
      <c r="AK149" s="651" t="str">
        <f>IF(OR(AK$122="",$I149=""),"",'I. Stream &amp; Compound Data'!CE204/$J149*(1-AK$127)*(1-AK$123)*$K149)</f>
        <v/>
      </c>
      <c r="AL149" s="651" t="str">
        <f>IF(OR(AL$122="",$I149=""),"",'I. Stream &amp; Compound Data'!CH204/$J149*(1-AL$127)*(1-AL$123)*$K149)</f>
        <v/>
      </c>
      <c r="AM149" s="651" t="str">
        <f>IF(OR(AM$122="",$I149=""),"",'I. Stream &amp; Compound Data'!CK204/$J149*(1-AM$127)*(1-AM$123)*$K149)</f>
        <v/>
      </c>
      <c r="AN149" s="651" t="str">
        <f>IF(OR(AN$122="",$I149=""),"",'I. Stream &amp; Compound Data'!CN204/$J149*(1-AN$127)*(1-AN$123)*$K149)</f>
        <v/>
      </c>
      <c r="AO149" s="651" t="str">
        <f>IF(OR(AO$122="",$I149=""),"",'I. Stream &amp; Compound Data'!CQ204/$J149*(1-AO$127)*(1-AO$123)*$K149)</f>
        <v/>
      </c>
      <c r="AP149" s="651" t="str">
        <f>IF(OR(AP$122="",$I149=""),"",'I. Stream &amp; Compound Data'!CT204/$J149*(1-AP$127)*(1-AP$123)*$K149)</f>
        <v/>
      </c>
      <c r="AQ149" s="651" t="str">
        <f>IF(OR(AQ$122="",$I149=""),"",'I. Stream &amp; Compound Data'!CW204/$J149*(1-AQ$127)*(1-AQ$123)*$K149)</f>
        <v/>
      </c>
      <c r="AR149" s="651" t="str">
        <f>IF(OR(AR$122="",$I149=""),"",'I. Stream &amp; Compound Data'!CZ204/$J149*(1-AR$127)*(1-AR$123)*$K149)</f>
        <v/>
      </c>
      <c r="AS149" s="651" t="str">
        <f>IF(OR(AS$122="",$I149=""),"",'I. Stream &amp; Compound Data'!DC204/$J149*(1-AS$127)*(1-AS$123)*$K149)</f>
        <v/>
      </c>
      <c r="AT149" s="651" t="str">
        <f>IF(OR(AT$122="",$I149=""),"",'I. Stream &amp; Compound Data'!DF204/$J149*(1-AT$127)*(1-AT$123)*$K149)</f>
        <v/>
      </c>
      <c r="AU149" s="651" t="str">
        <f>IF(OR(AU$122="",$I149=""),"",'I. Stream &amp; Compound Data'!DI204/$J149*(1-AU$127)*(1-AU$123)*$K149)</f>
        <v/>
      </c>
      <c r="AV149" s="651" t="str">
        <f>IF(OR(AV$122="",$I149=""),"",'I. Stream &amp; Compound Data'!DL204/$J149*(1-AV$127)*(1-AV$123)*$K149)</f>
        <v/>
      </c>
      <c r="AW149" s="651" t="str">
        <f>IF(OR(AW$122="",$I149=""),"",'I. Stream &amp; Compound Data'!DO204/$J149*(1-AW$127)*(1-AW$123)*$K149)</f>
        <v/>
      </c>
      <c r="AX149" s="651" t="str">
        <f>IF(OR(AX$122="",$I149=""),"",'I. Stream &amp; Compound Data'!DR204/$J149*(1-AX$127)*(1-AX$123)*$K149)</f>
        <v/>
      </c>
      <c r="AY149" s="667" t="str">
        <f>IF(OR(AY$122="",$I149=""),"",'I. Stream &amp; Compound Data'!DU204/$J149*(1-AY$127)*(1-AY$123)*$K149)</f>
        <v/>
      </c>
      <c r="AZ149" s="336"/>
      <c r="BA149" s="632"/>
      <c r="BB149" s="632"/>
      <c r="BC149" s="632"/>
      <c r="BD149" s="632"/>
      <c r="BE149" s="632"/>
      <c r="BF149" s="632"/>
      <c r="BG149" s="632"/>
      <c r="BH149" s="632"/>
      <c r="BI149" s="632"/>
      <c r="BJ149" s="632"/>
      <c r="BK149" s="632"/>
      <c r="BL149" s="632"/>
      <c r="BM149" s="632"/>
      <c r="BN149" s="632"/>
      <c r="BO149" s="632"/>
      <c r="BP149" s="632"/>
      <c r="BQ149" s="632"/>
      <c r="BR149" s="632"/>
      <c r="BS149" s="632"/>
      <c r="BT149" s="632"/>
      <c r="BU149" s="632"/>
      <c r="BV149" s="632"/>
      <c r="BW149" s="632"/>
      <c r="BX149" s="632"/>
      <c r="BY149" s="632"/>
      <c r="BZ149" s="632"/>
      <c r="CA149" s="632"/>
      <c r="CB149" s="632"/>
      <c r="CC149" s="632"/>
      <c r="CD149" s="632"/>
      <c r="CE149" s="632"/>
      <c r="CF149" s="632"/>
      <c r="CG149" s="632"/>
      <c r="CH149" s="632"/>
      <c r="CI149" s="632"/>
      <c r="CJ149" s="632"/>
      <c r="CK149" s="632"/>
      <c r="CL149" s="632"/>
      <c r="CM149" s="632"/>
      <c r="CN149" s="631"/>
    </row>
    <row r="150" spans="2:92" ht="15.75" x14ac:dyDescent="0.2">
      <c r="B150" s="610"/>
      <c r="C150" s="336"/>
      <c r="D150" s="611"/>
      <c r="E150" s="612"/>
      <c r="F150" s="612"/>
      <c r="G150" s="612"/>
      <c r="H150" s="618">
        <f>'I. Stream &amp; Compound Data'!F281</f>
        <v>20</v>
      </c>
      <c r="I150" s="677" t="str">
        <f>IF('I. Stream &amp; Compound Data'!G281&lt;&gt;"",'I. Stream &amp; Compound Data'!G281,"")</f>
        <v/>
      </c>
      <c r="J150" s="676" t="str">
        <f>IF('I. Stream &amp; Compound Data'!BH281="","",'I. Stream &amp; Compound Data'!BH281)</f>
        <v/>
      </c>
      <c r="K150" s="652" t="str">
        <f>IF('I. Stream &amp; Compound Data'!G281="","",IF(OR('I. Stream &amp; Compound Data'!U281=1,'I. Stream &amp; Compound Data'!V281=1,'I. Stream &amp; Compound Data'!AY281&lt;25),0,1))</f>
        <v/>
      </c>
      <c r="L150" s="651" t="str">
        <f>IF(OR(I150="",L$122=""),"",'I. Stream &amp; Compound Data'!H205/$J150*(1-L$127)*(1-L$123)*$K150)</f>
        <v/>
      </c>
      <c r="M150" s="651" t="str">
        <f>IF(OR(J150="",M$122=""),"",'I. Stream &amp; Compound Data'!K205/$J150*(1-M$127)*(1-M$123)*$K150)</f>
        <v/>
      </c>
      <c r="N150" s="651" t="str">
        <f>IF(OR(K150="",N$122=""),"",'I. Stream &amp; Compound Data'!N205/$J150*(1-N$127)*(1-N$123)*$K150)</f>
        <v/>
      </c>
      <c r="O150" s="651" t="str">
        <f>IF(OR(L150="",O$122=""),"",'I. Stream &amp; Compound Data'!Q205/$J150*(1-O$127)*(1-O$123)*$K150)</f>
        <v/>
      </c>
      <c r="P150" s="651" t="str">
        <f>IF(OR(M150="",P$122=""),"",'I. Stream &amp; Compound Data'!T205/$J150*(1-P$127)*(1-P$123)*$K150)</f>
        <v/>
      </c>
      <c r="Q150" s="651" t="str">
        <f>IF(OR(N150="",Q$122=""),"",'I. Stream &amp; Compound Data'!W205/$J150*(1-Q$127)*(1-Q$123)*$K150)</f>
        <v/>
      </c>
      <c r="R150" s="651" t="str">
        <f>IF(OR(O150="",R$122=""),"",'I. Stream &amp; Compound Data'!Z205/$J150*(1-R$127)*(1-R$123)*$K150)</f>
        <v/>
      </c>
      <c r="S150" s="651" t="str">
        <f>IF(OR(P150="",S$122=""),"",'I. Stream &amp; Compound Data'!AC205/$J150*(1-S$127)*(1-S$123)*$K150)</f>
        <v/>
      </c>
      <c r="T150" s="651" t="str">
        <f>IF(OR(Q150="",T$122=""),"",'I. Stream &amp; Compound Data'!AF205/$J150*(1-T$127)*(1-T$123)*$K150)</f>
        <v/>
      </c>
      <c r="U150" s="651" t="str">
        <f>IF(OR(R150="",U$122=""),"",'I. Stream &amp; Compound Data'!AI205/$J150*(1-U$127)*(1-U$123)*$K150)</f>
        <v/>
      </c>
      <c r="V150" s="651" t="str">
        <f>IF(OR(V$122="",$I150=""),"",'I. Stream &amp; Compound Data'!AL205/$J150*(1-V$127)*(1-V$123)*$K150)</f>
        <v/>
      </c>
      <c r="W150" s="651" t="str">
        <f>IF(OR(W$122="",$I150=""),"",'I. Stream &amp; Compound Data'!AO205/$J150*(1-W$127)*(1-W$123)*$K150)</f>
        <v/>
      </c>
      <c r="X150" s="651" t="str">
        <f>IF(OR(X$122="",$I150=""),"",'I. Stream &amp; Compound Data'!AR205/$J150*(1-X$127)*(1-X$123)*$K150)</f>
        <v/>
      </c>
      <c r="Y150" s="651" t="str">
        <f>IF(OR(Y$122="",$I150=""),"",'I. Stream &amp; Compound Data'!AU205/$J150*(1-Y$127)*(1-Y$123)*$K150)</f>
        <v/>
      </c>
      <c r="Z150" s="651" t="str">
        <f>IF(OR(Z$122="",$I150=""),"",'I. Stream &amp; Compound Data'!AX205/$J150*(1-Z$127)*(1-Z$123)*$K150)</f>
        <v/>
      </c>
      <c r="AA150" s="651" t="str">
        <f>IF(OR(AA$122="",$I150=""),"",'I. Stream &amp; Compound Data'!BA205/$J150*(1-AA$127)*(1-AA$123)*$K150)</f>
        <v/>
      </c>
      <c r="AB150" s="651" t="str">
        <f>IF(OR(AB$122="",$I150=""),"",'I. Stream &amp; Compound Data'!BD205/$J150*(1-AB$127)*(1-AB$123)*$K150)</f>
        <v/>
      </c>
      <c r="AC150" s="651" t="str">
        <f>IF(OR(AC$122="",$I150=""),"",'I. Stream &amp; Compound Data'!BG205/$J150*(1-AC$127)*(1-AC$123)*$K150)</f>
        <v/>
      </c>
      <c r="AD150" s="651" t="str">
        <f>IF(OR(AD$122="",$I150=""),"",'I. Stream &amp; Compound Data'!BJ205/$J150*(1-AD$127)*(1-AD$123)*$K150)</f>
        <v/>
      </c>
      <c r="AE150" s="651" t="str">
        <f>IF(OR(AE$122="",$I150=""),"",'I. Stream &amp; Compound Data'!BM205/$J150*(1-AE$127)*(1-AE$123)*$K150)</f>
        <v/>
      </c>
      <c r="AF150" s="651" t="str">
        <f>IF(OR(AF$122="",$I150=""),"",'I. Stream &amp; Compound Data'!BP205/$J150*(1-AF$127)*(1-AF$123)*$K150)</f>
        <v/>
      </c>
      <c r="AG150" s="651" t="str">
        <f>IF(OR(AG$122="",$I150=""),"",'I. Stream &amp; Compound Data'!BS205/$J150*(1-AG$127)*(1-AG$123)*$K150)</f>
        <v/>
      </c>
      <c r="AH150" s="651" t="str">
        <f>IF(OR(AH$122="",$I150=""),"",'I. Stream &amp; Compound Data'!BV205/$J150*(1-AH$127)*(1-AH$123)*$K150)</f>
        <v/>
      </c>
      <c r="AI150" s="651" t="str">
        <f>IF(OR(AI$122="",$I150=""),"",'I. Stream &amp; Compound Data'!BY205/$J150*(1-AI$127)*(1-AI$123)*$K150)</f>
        <v/>
      </c>
      <c r="AJ150" s="651" t="str">
        <f>IF(OR(AJ$122="",$I150=""),"",'I. Stream &amp; Compound Data'!CB205/$J150*(1-AJ$127)*(1-AJ$123)*$K150)</f>
        <v/>
      </c>
      <c r="AK150" s="651" t="str">
        <f>IF(OR(AK$122="",$I150=""),"",'I. Stream &amp; Compound Data'!CE205/$J150*(1-AK$127)*(1-AK$123)*$K150)</f>
        <v/>
      </c>
      <c r="AL150" s="651" t="str">
        <f>IF(OR(AL$122="",$I150=""),"",'I. Stream &amp; Compound Data'!CH205/$J150*(1-AL$127)*(1-AL$123)*$K150)</f>
        <v/>
      </c>
      <c r="AM150" s="651" t="str">
        <f>IF(OR(AM$122="",$I150=""),"",'I. Stream &amp; Compound Data'!CK205/$J150*(1-AM$127)*(1-AM$123)*$K150)</f>
        <v/>
      </c>
      <c r="AN150" s="651" t="str">
        <f>IF(OR(AN$122="",$I150=""),"",'I. Stream &amp; Compound Data'!CN205/$J150*(1-AN$127)*(1-AN$123)*$K150)</f>
        <v/>
      </c>
      <c r="AO150" s="651" t="str">
        <f>IF(OR(AO$122="",$I150=""),"",'I. Stream &amp; Compound Data'!CQ205/$J150*(1-AO$127)*(1-AO$123)*$K150)</f>
        <v/>
      </c>
      <c r="AP150" s="651" t="str">
        <f>IF(OR(AP$122="",$I150=""),"",'I. Stream &amp; Compound Data'!CT205/$J150*(1-AP$127)*(1-AP$123)*$K150)</f>
        <v/>
      </c>
      <c r="AQ150" s="651" t="str">
        <f>IF(OR(AQ$122="",$I150=""),"",'I. Stream &amp; Compound Data'!CW205/$J150*(1-AQ$127)*(1-AQ$123)*$K150)</f>
        <v/>
      </c>
      <c r="AR150" s="651" t="str">
        <f>IF(OR(AR$122="",$I150=""),"",'I. Stream &amp; Compound Data'!CZ205/$J150*(1-AR$127)*(1-AR$123)*$K150)</f>
        <v/>
      </c>
      <c r="AS150" s="651" t="str">
        <f>IF(OR(AS$122="",$I150=""),"",'I. Stream &amp; Compound Data'!DC205/$J150*(1-AS$127)*(1-AS$123)*$K150)</f>
        <v/>
      </c>
      <c r="AT150" s="651" t="str">
        <f>IF(OR(AT$122="",$I150=""),"",'I. Stream &amp; Compound Data'!DF205/$J150*(1-AT$127)*(1-AT$123)*$K150)</f>
        <v/>
      </c>
      <c r="AU150" s="651" t="str">
        <f>IF(OR(AU$122="",$I150=""),"",'I. Stream &amp; Compound Data'!DI205/$J150*(1-AU$127)*(1-AU$123)*$K150)</f>
        <v/>
      </c>
      <c r="AV150" s="651" t="str">
        <f>IF(OR(AV$122="",$I150=""),"",'I. Stream &amp; Compound Data'!DL205/$J150*(1-AV$127)*(1-AV$123)*$K150)</f>
        <v/>
      </c>
      <c r="AW150" s="651" t="str">
        <f>IF(OR(AW$122="",$I150=""),"",'I. Stream &amp; Compound Data'!DO205/$J150*(1-AW$127)*(1-AW$123)*$K150)</f>
        <v/>
      </c>
      <c r="AX150" s="651" t="str">
        <f>IF(OR(AX$122="",$I150=""),"",'I. Stream &amp; Compound Data'!DR205/$J150*(1-AX$127)*(1-AX$123)*$K150)</f>
        <v/>
      </c>
      <c r="AY150" s="667" t="str">
        <f>IF(OR(AY$122="",$I150=""),"",'I. Stream &amp; Compound Data'!DU205/$J150*(1-AY$127)*(1-AY$123)*$K150)</f>
        <v/>
      </c>
      <c r="AZ150" s="336"/>
      <c r="BA150" s="632"/>
      <c r="BB150" s="632"/>
      <c r="BC150" s="632"/>
      <c r="BD150" s="632"/>
      <c r="BE150" s="632"/>
      <c r="BF150" s="632"/>
      <c r="BG150" s="632"/>
      <c r="BH150" s="632"/>
      <c r="BI150" s="632"/>
      <c r="BJ150" s="632"/>
      <c r="BK150" s="632"/>
      <c r="BL150" s="632"/>
      <c r="BM150" s="632"/>
      <c r="BN150" s="632"/>
      <c r="BO150" s="632"/>
      <c r="BP150" s="632"/>
      <c r="BQ150" s="632"/>
      <c r="BR150" s="632"/>
      <c r="BS150" s="632"/>
      <c r="BT150" s="632"/>
      <c r="BU150" s="632"/>
      <c r="BV150" s="632"/>
      <c r="BW150" s="632"/>
      <c r="BX150" s="632"/>
      <c r="BY150" s="632"/>
      <c r="BZ150" s="632"/>
      <c r="CA150" s="632"/>
      <c r="CB150" s="632"/>
      <c r="CC150" s="632"/>
      <c r="CD150" s="632"/>
      <c r="CE150" s="632"/>
      <c r="CF150" s="632"/>
      <c r="CG150" s="632"/>
      <c r="CH150" s="632"/>
      <c r="CI150" s="632"/>
      <c r="CJ150" s="632"/>
      <c r="CK150" s="632"/>
      <c r="CL150" s="632"/>
      <c r="CM150" s="632"/>
      <c r="CN150" s="631"/>
    </row>
    <row r="151" spans="2:92" ht="15.75" x14ac:dyDescent="0.2">
      <c r="B151" s="610"/>
      <c r="C151" s="336"/>
      <c r="D151" s="611"/>
      <c r="E151" s="612"/>
      <c r="F151" s="612"/>
      <c r="G151" s="612"/>
      <c r="H151" s="618">
        <f>'I. Stream &amp; Compound Data'!F282</f>
        <v>21</v>
      </c>
      <c r="I151" s="677" t="str">
        <f>IF('I. Stream &amp; Compound Data'!G282&lt;&gt;"",'I. Stream &amp; Compound Data'!G282,"")</f>
        <v/>
      </c>
      <c r="J151" s="676" t="str">
        <f>IF('I. Stream &amp; Compound Data'!BH282="","",'I. Stream &amp; Compound Data'!BH282)</f>
        <v/>
      </c>
      <c r="K151" s="652" t="str">
        <f>IF('I. Stream &amp; Compound Data'!G282="","",IF(OR('I. Stream &amp; Compound Data'!U282=1,'I. Stream &amp; Compound Data'!V282=1,'I. Stream &amp; Compound Data'!AY282&lt;25),0,1))</f>
        <v/>
      </c>
      <c r="L151" s="651" t="str">
        <f>IF(OR(I151="",L$122=""),"",'I. Stream &amp; Compound Data'!H206/$J151*(1-L$127)*(1-L$123)*$K151)</f>
        <v/>
      </c>
      <c r="M151" s="651" t="str">
        <f>IF(OR(J151="",M$122=""),"",'I. Stream &amp; Compound Data'!K206/$J151*(1-M$127)*(1-M$123)*$K151)</f>
        <v/>
      </c>
      <c r="N151" s="651" t="str">
        <f>IF(OR(K151="",N$122=""),"",'I. Stream &amp; Compound Data'!N206/$J151*(1-N$127)*(1-N$123)*$K151)</f>
        <v/>
      </c>
      <c r="O151" s="651" t="str">
        <f>IF(OR(L151="",O$122=""),"",'I. Stream &amp; Compound Data'!Q206/$J151*(1-O$127)*(1-O$123)*$K151)</f>
        <v/>
      </c>
      <c r="P151" s="651" t="str">
        <f>IF(OR(M151="",P$122=""),"",'I. Stream &amp; Compound Data'!T206/$J151*(1-P$127)*(1-P$123)*$K151)</f>
        <v/>
      </c>
      <c r="Q151" s="651" t="str">
        <f>IF(OR(N151="",Q$122=""),"",'I. Stream &amp; Compound Data'!W206/$J151*(1-Q$127)*(1-Q$123)*$K151)</f>
        <v/>
      </c>
      <c r="R151" s="651" t="str">
        <f>IF(OR(O151="",R$122=""),"",'I. Stream &amp; Compound Data'!Z206/$J151*(1-R$127)*(1-R$123)*$K151)</f>
        <v/>
      </c>
      <c r="S151" s="651" t="str">
        <f>IF(OR(P151="",S$122=""),"",'I. Stream &amp; Compound Data'!AC206/$J151*(1-S$127)*(1-S$123)*$K151)</f>
        <v/>
      </c>
      <c r="T151" s="651" t="str">
        <f>IF(OR(Q151="",T$122=""),"",'I. Stream &amp; Compound Data'!AF206/$J151*(1-T$127)*(1-T$123)*$K151)</f>
        <v/>
      </c>
      <c r="U151" s="651" t="str">
        <f>IF(OR(R151="",U$122=""),"",'I. Stream &amp; Compound Data'!AI206/$J151*(1-U$127)*(1-U$123)*$K151)</f>
        <v/>
      </c>
      <c r="V151" s="651" t="str">
        <f>IF(OR(V$122="",$I151=""),"",'I. Stream &amp; Compound Data'!AL206/$J151*(1-V$127)*(1-V$123)*$K151)</f>
        <v/>
      </c>
      <c r="W151" s="651" t="str">
        <f>IF(OR(W$122="",$I151=""),"",'I. Stream &amp; Compound Data'!AO206/$J151*(1-W$127)*(1-W$123)*$K151)</f>
        <v/>
      </c>
      <c r="X151" s="651" t="str">
        <f>IF(OR(X$122="",$I151=""),"",'I. Stream &amp; Compound Data'!AR206/$J151*(1-X$127)*(1-X$123)*$K151)</f>
        <v/>
      </c>
      <c r="Y151" s="651" t="str">
        <f>IF(OR(Y$122="",$I151=""),"",'I. Stream &amp; Compound Data'!AU206/$J151*(1-Y$127)*(1-Y$123)*$K151)</f>
        <v/>
      </c>
      <c r="Z151" s="651" t="str">
        <f>IF(OR(Z$122="",$I151=""),"",'I. Stream &amp; Compound Data'!AX206/$J151*(1-Z$127)*(1-Z$123)*$K151)</f>
        <v/>
      </c>
      <c r="AA151" s="651" t="str">
        <f>IF(OR(AA$122="",$I151=""),"",'I. Stream &amp; Compound Data'!BA206/$J151*(1-AA$127)*(1-AA$123)*$K151)</f>
        <v/>
      </c>
      <c r="AB151" s="651" t="str">
        <f>IF(OR(AB$122="",$I151=""),"",'I. Stream &amp; Compound Data'!BD206/$J151*(1-AB$127)*(1-AB$123)*$K151)</f>
        <v/>
      </c>
      <c r="AC151" s="651" t="str">
        <f>IF(OR(AC$122="",$I151=""),"",'I. Stream &amp; Compound Data'!BG206/$J151*(1-AC$127)*(1-AC$123)*$K151)</f>
        <v/>
      </c>
      <c r="AD151" s="651" t="str">
        <f>IF(OR(AD$122="",$I151=""),"",'I. Stream &amp; Compound Data'!BJ206/$J151*(1-AD$127)*(1-AD$123)*$K151)</f>
        <v/>
      </c>
      <c r="AE151" s="651" t="str">
        <f>IF(OR(AE$122="",$I151=""),"",'I. Stream &amp; Compound Data'!BM206/$J151*(1-AE$127)*(1-AE$123)*$K151)</f>
        <v/>
      </c>
      <c r="AF151" s="651" t="str">
        <f>IF(OR(AF$122="",$I151=""),"",'I. Stream &amp; Compound Data'!BP206/$J151*(1-AF$127)*(1-AF$123)*$K151)</f>
        <v/>
      </c>
      <c r="AG151" s="651" t="str">
        <f>IF(OR(AG$122="",$I151=""),"",'I. Stream &amp; Compound Data'!BS206/$J151*(1-AG$127)*(1-AG$123)*$K151)</f>
        <v/>
      </c>
      <c r="AH151" s="651" t="str">
        <f>IF(OR(AH$122="",$I151=""),"",'I. Stream &amp; Compound Data'!BV206/$J151*(1-AH$127)*(1-AH$123)*$K151)</f>
        <v/>
      </c>
      <c r="AI151" s="651" t="str">
        <f>IF(OR(AI$122="",$I151=""),"",'I. Stream &amp; Compound Data'!BY206/$J151*(1-AI$127)*(1-AI$123)*$K151)</f>
        <v/>
      </c>
      <c r="AJ151" s="651" t="str">
        <f>IF(OR(AJ$122="",$I151=""),"",'I. Stream &amp; Compound Data'!CB206/$J151*(1-AJ$127)*(1-AJ$123)*$K151)</f>
        <v/>
      </c>
      <c r="AK151" s="651" t="str">
        <f>IF(OR(AK$122="",$I151=""),"",'I. Stream &amp; Compound Data'!CE206/$J151*(1-AK$127)*(1-AK$123)*$K151)</f>
        <v/>
      </c>
      <c r="AL151" s="651" t="str">
        <f>IF(OR(AL$122="",$I151=""),"",'I. Stream &amp; Compound Data'!CH206/$J151*(1-AL$127)*(1-AL$123)*$K151)</f>
        <v/>
      </c>
      <c r="AM151" s="651" t="str">
        <f>IF(OR(AM$122="",$I151=""),"",'I. Stream &amp; Compound Data'!CK206/$J151*(1-AM$127)*(1-AM$123)*$K151)</f>
        <v/>
      </c>
      <c r="AN151" s="651" t="str">
        <f>IF(OR(AN$122="",$I151=""),"",'I. Stream &amp; Compound Data'!CN206/$J151*(1-AN$127)*(1-AN$123)*$K151)</f>
        <v/>
      </c>
      <c r="AO151" s="651" t="str">
        <f>IF(OR(AO$122="",$I151=""),"",'I. Stream &amp; Compound Data'!CQ206/$J151*(1-AO$127)*(1-AO$123)*$K151)</f>
        <v/>
      </c>
      <c r="AP151" s="651" t="str">
        <f>IF(OR(AP$122="",$I151=""),"",'I. Stream &amp; Compound Data'!CT206/$J151*(1-AP$127)*(1-AP$123)*$K151)</f>
        <v/>
      </c>
      <c r="AQ151" s="651" t="str">
        <f>IF(OR(AQ$122="",$I151=""),"",'I. Stream &amp; Compound Data'!CW206/$J151*(1-AQ$127)*(1-AQ$123)*$K151)</f>
        <v/>
      </c>
      <c r="AR151" s="651" t="str">
        <f>IF(OR(AR$122="",$I151=""),"",'I. Stream &amp; Compound Data'!CZ206/$J151*(1-AR$127)*(1-AR$123)*$K151)</f>
        <v/>
      </c>
      <c r="AS151" s="651" t="str">
        <f>IF(OR(AS$122="",$I151=""),"",'I. Stream &amp; Compound Data'!DC206/$J151*(1-AS$127)*(1-AS$123)*$K151)</f>
        <v/>
      </c>
      <c r="AT151" s="651" t="str">
        <f>IF(OR(AT$122="",$I151=""),"",'I. Stream &amp; Compound Data'!DF206/$J151*(1-AT$127)*(1-AT$123)*$K151)</f>
        <v/>
      </c>
      <c r="AU151" s="651" t="str">
        <f>IF(OR(AU$122="",$I151=""),"",'I. Stream &amp; Compound Data'!DI206/$J151*(1-AU$127)*(1-AU$123)*$K151)</f>
        <v/>
      </c>
      <c r="AV151" s="651" t="str">
        <f>IF(OR(AV$122="",$I151=""),"",'I. Stream &amp; Compound Data'!DL206/$J151*(1-AV$127)*(1-AV$123)*$K151)</f>
        <v/>
      </c>
      <c r="AW151" s="651" t="str">
        <f>IF(OR(AW$122="",$I151=""),"",'I. Stream &amp; Compound Data'!DO206/$J151*(1-AW$127)*(1-AW$123)*$K151)</f>
        <v/>
      </c>
      <c r="AX151" s="651" t="str">
        <f>IF(OR(AX$122="",$I151=""),"",'I. Stream &amp; Compound Data'!DR206/$J151*(1-AX$127)*(1-AX$123)*$K151)</f>
        <v/>
      </c>
      <c r="AY151" s="667" t="str">
        <f>IF(OR(AY$122="",$I151=""),"",'I. Stream &amp; Compound Data'!DU206/$J151*(1-AY$127)*(1-AY$123)*$K151)</f>
        <v/>
      </c>
      <c r="AZ151" s="336"/>
      <c r="BA151" s="632"/>
      <c r="BB151" s="632"/>
      <c r="BC151" s="632"/>
      <c r="BD151" s="632"/>
      <c r="BE151" s="632"/>
      <c r="BF151" s="632"/>
      <c r="BG151" s="632"/>
      <c r="BH151" s="632"/>
      <c r="BI151" s="632"/>
      <c r="BJ151" s="632"/>
      <c r="BK151" s="632"/>
      <c r="BL151" s="632"/>
      <c r="BM151" s="632"/>
      <c r="BN151" s="632"/>
      <c r="BO151" s="632"/>
      <c r="BP151" s="632"/>
      <c r="BQ151" s="632"/>
      <c r="BR151" s="632"/>
      <c r="BS151" s="632"/>
      <c r="BT151" s="632"/>
      <c r="BU151" s="632"/>
      <c r="BV151" s="632"/>
      <c r="BW151" s="632"/>
      <c r="BX151" s="632"/>
      <c r="BY151" s="632"/>
      <c r="BZ151" s="632"/>
      <c r="CA151" s="632"/>
      <c r="CB151" s="632"/>
      <c r="CC151" s="632"/>
      <c r="CD151" s="632"/>
      <c r="CE151" s="632"/>
      <c r="CF151" s="632"/>
      <c r="CG151" s="632"/>
      <c r="CH151" s="632"/>
      <c r="CI151" s="632"/>
      <c r="CJ151" s="632"/>
      <c r="CK151" s="632"/>
      <c r="CL151" s="632"/>
      <c r="CM151" s="632"/>
      <c r="CN151" s="631"/>
    </row>
    <row r="152" spans="2:92" ht="15.75" x14ac:dyDescent="0.2">
      <c r="B152" s="610"/>
      <c r="C152" s="336"/>
      <c r="D152" s="611"/>
      <c r="E152" s="612"/>
      <c r="F152" s="612"/>
      <c r="G152" s="612"/>
      <c r="H152" s="618">
        <f>'I. Stream &amp; Compound Data'!F283</f>
        <v>22</v>
      </c>
      <c r="I152" s="677" t="str">
        <f>IF('I. Stream &amp; Compound Data'!G283&lt;&gt;"",'I. Stream &amp; Compound Data'!G283,"")</f>
        <v/>
      </c>
      <c r="J152" s="676" t="str">
        <f>IF('I. Stream &amp; Compound Data'!BH283="","",'I. Stream &amp; Compound Data'!BH283)</f>
        <v/>
      </c>
      <c r="K152" s="652" t="str">
        <f>IF('I. Stream &amp; Compound Data'!G283="","",IF(OR('I. Stream &amp; Compound Data'!U283=1,'I. Stream &amp; Compound Data'!V283=1,'I. Stream &amp; Compound Data'!AY283&lt;25),0,1))</f>
        <v/>
      </c>
      <c r="L152" s="651" t="str">
        <f>IF(OR(I152="",L$122=""),"",'I. Stream &amp; Compound Data'!H207/$J152*(1-L$127)*(1-L$123)*$K152)</f>
        <v/>
      </c>
      <c r="M152" s="651" t="str">
        <f>IF(OR(J152="",M$122=""),"",'I. Stream &amp; Compound Data'!K207/$J152*(1-M$127)*(1-M$123)*$K152)</f>
        <v/>
      </c>
      <c r="N152" s="651" t="str">
        <f>IF(OR(K152="",N$122=""),"",'I. Stream &amp; Compound Data'!N207/$J152*(1-N$127)*(1-N$123)*$K152)</f>
        <v/>
      </c>
      <c r="O152" s="651" t="str">
        <f>IF(OR(L152="",O$122=""),"",'I. Stream &amp; Compound Data'!Q207/$J152*(1-O$127)*(1-O$123)*$K152)</f>
        <v/>
      </c>
      <c r="P152" s="651" t="str">
        <f>IF(OR(M152="",P$122=""),"",'I. Stream &amp; Compound Data'!T207/$J152*(1-P$127)*(1-P$123)*$K152)</f>
        <v/>
      </c>
      <c r="Q152" s="651" t="str">
        <f>IF(OR(N152="",Q$122=""),"",'I. Stream &amp; Compound Data'!W207/$J152*(1-Q$127)*(1-Q$123)*$K152)</f>
        <v/>
      </c>
      <c r="R152" s="651" t="str">
        <f>IF(OR(O152="",R$122=""),"",'I. Stream &amp; Compound Data'!Z207/$J152*(1-R$127)*(1-R$123)*$K152)</f>
        <v/>
      </c>
      <c r="S152" s="651" t="str">
        <f>IF(OR(P152="",S$122=""),"",'I. Stream &amp; Compound Data'!AC207/$J152*(1-S$127)*(1-S$123)*$K152)</f>
        <v/>
      </c>
      <c r="T152" s="651" t="str">
        <f>IF(OR(Q152="",T$122=""),"",'I. Stream &amp; Compound Data'!AF207/$J152*(1-T$127)*(1-T$123)*$K152)</f>
        <v/>
      </c>
      <c r="U152" s="651" t="str">
        <f>IF(OR(R152="",U$122=""),"",'I. Stream &amp; Compound Data'!AI207/$J152*(1-U$127)*(1-U$123)*$K152)</f>
        <v/>
      </c>
      <c r="V152" s="651" t="str">
        <f>IF(OR(V$122="",$I152=""),"",'I. Stream &amp; Compound Data'!AL207/$J152*(1-V$127)*(1-V$123)*$K152)</f>
        <v/>
      </c>
      <c r="W152" s="651" t="str">
        <f>IF(OR(W$122="",$I152=""),"",'I. Stream &amp; Compound Data'!AO207/$J152*(1-W$127)*(1-W$123)*$K152)</f>
        <v/>
      </c>
      <c r="X152" s="651" t="str">
        <f>IF(OR(X$122="",$I152=""),"",'I. Stream &amp; Compound Data'!AR207/$J152*(1-X$127)*(1-X$123)*$K152)</f>
        <v/>
      </c>
      <c r="Y152" s="651" t="str">
        <f>IF(OR(Y$122="",$I152=""),"",'I. Stream &amp; Compound Data'!AU207/$J152*(1-Y$127)*(1-Y$123)*$K152)</f>
        <v/>
      </c>
      <c r="Z152" s="651" t="str">
        <f>IF(OR(Z$122="",$I152=""),"",'I. Stream &amp; Compound Data'!AX207/$J152*(1-Z$127)*(1-Z$123)*$K152)</f>
        <v/>
      </c>
      <c r="AA152" s="651" t="str">
        <f>IF(OR(AA$122="",$I152=""),"",'I. Stream &amp; Compound Data'!BA207/$J152*(1-AA$127)*(1-AA$123)*$K152)</f>
        <v/>
      </c>
      <c r="AB152" s="651" t="str">
        <f>IF(OR(AB$122="",$I152=""),"",'I. Stream &amp; Compound Data'!BD207/$J152*(1-AB$127)*(1-AB$123)*$K152)</f>
        <v/>
      </c>
      <c r="AC152" s="651" t="str">
        <f>IF(OR(AC$122="",$I152=""),"",'I. Stream &amp; Compound Data'!BG207/$J152*(1-AC$127)*(1-AC$123)*$K152)</f>
        <v/>
      </c>
      <c r="AD152" s="651" t="str">
        <f>IF(OR(AD$122="",$I152=""),"",'I. Stream &amp; Compound Data'!BJ207/$J152*(1-AD$127)*(1-AD$123)*$K152)</f>
        <v/>
      </c>
      <c r="AE152" s="651" t="str">
        <f>IF(OR(AE$122="",$I152=""),"",'I. Stream &amp; Compound Data'!BM207/$J152*(1-AE$127)*(1-AE$123)*$K152)</f>
        <v/>
      </c>
      <c r="AF152" s="651" t="str">
        <f>IF(OR(AF$122="",$I152=""),"",'I. Stream &amp; Compound Data'!BP207/$J152*(1-AF$127)*(1-AF$123)*$K152)</f>
        <v/>
      </c>
      <c r="AG152" s="651" t="str">
        <f>IF(OR(AG$122="",$I152=""),"",'I. Stream &amp; Compound Data'!BS207/$J152*(1-AG$127)*(1-AG$123)*$K152)</f>
        <v/>
      </c>
      <c r="AH152" s="651" t="str">
        <f>IF(OR(AH$122="",$I152=""),"",'I. Stream &amp; Compound Data'!BV207/$J152*(1-AH$127)*(1-AH$123)*$K152)</f>
        <v/>
      </c>
      <c r="AI152" s="651" t="str">
        <f>IF(OR(AI$122="",$I152=""),"",'I. Stream &amp; Compound Data'!BY207/$J152*(1-AI$127)*(1-AI$123)*$K152)</f>
        <v/>
      </c>
      <c r="AJ152" s="651" t="str">
        <f>IF(OR(AJ$122="",$I152=""),"",'I. Stream &amp; Compound Data'!CB207/$J152*(1-AJ$127)*(1-AJ$123)*$K152)</f>
        <v/>
      </c>
      <c r="AK152" s="651" t="str">
        <f>IF(OR(AK$122="",$I152=""),"",'I. Stream &amp; Compound Data'!CE207/$J152*(1-AK$127)*(1-AK$123)*$K152)</f>
        <v/>
      </c>
      <c r="AL152" s="651" t="str">
        <f>IF(OR(AL$122="",$I152=""),"",'I. Stream &amp; Compound Data'!CH207/$J152*(1-AL$127)*(1-AL$123)*$K152)</f>
        <v/>
      </c>
      <c r="AM152" s="651" t="str">
        <f>IF(OR(AM$122="",$I152=""),"",'I. Stream &amp; Compound Data'!CK207/$J152*(1-AM$127)*(1-AM$123)*$K152)</f>
        <v/>
      </c>
      <c r="AN152" s="651" t="str">
        <f>IF(OR(AN$122="",$I152=""),"",'I. Stream &amp; Compound Data'!CN207/$J152*(1-AN$127)*(1-AN$123)*$K152)</f>
        <v/>
      </c>
      <c r="AO152" s="651" t="str">
        <f>IF(OR(AO$122="",$I152=""),"",'I. Stream &amp; Compound Data'!CQ207/$J152*(1-AO$127)*(1-AO$123)*$K152)</f>
        <v/>
      </c>
      <c r="AP152" s="651" t="str">
        <f>IF(OR(AP$122="",$I152=""),"",'I. Stream &amp; Compound Data'!CT207/$J152*(1-AP$127)*(1-AP$123)*$K152)</f>
        <v/>
      </c>
      <c r="AQ152" s="651" t="str">
        <f>IF(OR(AQ$122="",$I152=""),"",'I. Stream &amp; Compound Data'!CW207/$J152*(1-AQ$127)*(1-AQ$123)*$K152)</f>
        <v/>
      </c>
      <c r="AR152" s="651" t="str">
        <f>IF(OR(AR$122="",$I152=""),"",'I. Stream &amp; Compound Data'!CZ207/$J152*(1-AR$127)*(1-AR$123)*$K152)</f>
        <v/>
      </c>
      <c r="AS152" s="651" t="str">
        <f>IF(OR(AS$122="",$I152=""),"",'I. Stream &amp; Compound Data'!DC207/$J152*(1-AS$127)*(1-AS$123)*$K152)</f>
        <v/>
      </c>
      <c r="AT152" s="651" t="str">
        <f>IF(OR(AT$122="",$I152=""),"",'I. Stream &amp; Compound Data'!DF207/$J152*(1-AT$127)*(1-AT$123)*$K152)</f>
        <v/>
      </c>
      <c r="AU152" s="651" t="str">
        <f>IF(OR(AU$122="",$I152=""),"",'I. Stream &amp; Compound Data'!DI207/$J152*(1-AU$127)*(1-AU$123)*$K152)</f>
        <v/>
      </c>
      <c r="AV152" s="651" t="str">
        <f>IF(OR(AV$122="",$I152=""),"",'I. Stream &amp; Compound Data'!DL207/$J152*(1-AV$127)*(1-AV$123)*$K152)</f>
        <v/>
      </c>
      <c r="AW152" s="651" t="str">
        <f>IF(OR(AW$122="",$I152=""),"",'I. Stream &amp; Compound Data'!DO207/$J152*(1-AW$127)*(1-AW$123)*$K152)</f>
        <v/>
      </c>
      <c r="AX152" s="651" t="str">
        <f>IF(OR(AX$122="",$I152=""),"",'I. Stream &amp; Compound Data'!DR207/$J152*(1-AX$127)*(1-AX$123)*$K152)</f>
        <v/>
      </c>
      <c r="AY152" s="667" t="str">
        <f>IF(OR(AY$122="",$I152=""),"",'I. Stream &amp; Compound Data'!DU207/$J152*(1-AY$127)*(1-AY$123)*$K152)</f>
        <v/>
      </c>
      <c r="AZ152" s="336"/>
      <c r="BA152" s="632"/>
      <c r="BB152" s="632"/>
      <c r="BC152" s="632"/>
      <c r="BD152" s="632"/>
      <c r="BE152" s="632"/>
      <c r="BF152" s="632"/>
      <c r="BG152" s="632"/>
      <c r="BH152" s="632"/>
      <c r="BI152" s="632"/>
      <c r="BJ152" s="632"/>
      <c r="BK152" s="632"/>
      <c r="BL152" s="632"/>
      <c r="BM152" s="632"/>
      <c r="BN152" s="632"/>
      <c r="BO152" s="632"/>
      <c r="BP152" s="632"/>
      <c r="BQ152" s="632"/>
      <c r="BR152" s="632"/>
      <c r="BS152" s="632"/>
      <c r="BT152" s="632"/>
      <c r="BU152" s="632"/>
      <c r="BV152" s="632"/>
      <c r="BW152" s="632"/>
      <c r="BX152" s="632"/>
      <c r="BY152" s="632"/>
      <c r="BZ152" s="632"/>
      <c r="CA152" s="632"/>
      <c r="CB152" s="632"/>
      <c r="CC152" s="632"/>
      <c r="CD152" s="632"/>
      <c r="CE152" s="632"/>
      <c r="CF152" s="632"/>
      <c r="CG152" s="632"/>
      <c r="CH152" s="632"/>
      <c r="CI152" s="632"/>
      <c r="CJ152" s="632"/>
      <c r="CK152" s="632"/>
      <c r="CL152" s="632"/>
      <c r="CM152" s="632"/>
      <c r="CN152" s="631"/>
    </row>
    <row r="153" spans="2:92" ht="15.75" x14ac:dyDescent="0.2">
      <c r="B153" s="610"/>
      <c r="C153" s="336"/>
      <c r="D153" s="611"/>
      <c r="E153" s="612"/>
      <c r="F153" s="612"/>
      <c r="G153" s="612"/>
      <c r="H153" s="618">
        <f>'I. Stream &amp; Compound Data'!F284</f>
        <v>23</v>
      </c>
      <c r="I153" s="677" t="str">
        <f>IF('I. Stream &amp; Compound Data'!G284&lt;&gt;"",'I. Stream &amp; Compound Data'!G284,"")</f>
        <v/>
      </c>
      <c r="J153" s="676" t="str">
        <f>IF('I. Stream &amp; Compound Data'!BH284="","",'I. Stream &amp; Compound Data'!BH284)</f>
        <v/>
      </c>
      <c r="K153" s="652" t="str">
        <f>IF('I. Stream &amp; Compound Data'!G284="","",IF(OR('I. Stream &amp; Compound Data'!U284=1,'I. Stream &amp; Compound Data'!V284=1,'I. Stream &amp; Compound Data'!AY284&lt;25),0,1))</f>
        <v/>
      </c>
      <c r="L153" s="651" t="str">
        <f>IF(OR(I153="",L$122=""),"",'I. Stream &amp; Compound Data'!H208/$J153*(1-L$127)*(1-L$123)*$K153)</f>
        <v/>
      </c>
      <c r="M153" s="651" t="str">
        <f>IF(OR(J153="",M$122=""),"",'I. Stream &amp; Compound Data'!K208/$J153*(1-M$127)*(1-M$123)*$K153)</f>
        <v/>
      </c>
      <c r="N153" s="651" t="str">
        <f>IF(OR(K153="",N$122=""),"",'I. Stream &amp; Compound Data'!N208/$J153*(1-N$127)*(1-N$123)*$K153)</f>
        <v/>
      </c>
      <c r="O153" s="651" t="str">
        <f>IF(OR(L153="",O$122=""),"",'I. Stream &amp; Compound Data'!Q208/$J153*(1-O$127)*(1-O$123)*$K153)</f>
        <v/>
      </c>
      <c r="P153" s="651" t="str">
        <f>IF(OR(M153="",P$122=""),"",'I. Stream &amp; Compound Data'!T208/$J153*(1-P$127)*(1-P$123)*$K153)</f>
        <v/>
      </c>
      <c r="Q153" s="651" t="str">
        <f>IF(OR(N153="",Q$122=""),"",'I. Stream &amp; Compound Data'!W208/$J153*(1-Q$127)*(1-Q$123)*$K153)</f>
        <v/>
      </c>
      <c r="R153" s="651" t="str">
        <f>IF(OR(O153="",R$122=""),"",'I. Stream &amp; Compound Data'!Z208/$J153*(1-R$127)*(1-R$123)*$K153)</f>
        <v/>
      </c>
      <c r="S153" s="651" t="str">
        <f>IF(OR(P153="",S$122=""),"",'I. Stream &amp; Compound Data'!AC208/$J153*(1-S$127)*(1-S$123)*$K153)</f>
        <v/>
      </c>
      <c r="T153" s="651" t="str">
        <f>IF(OR(Q153="",T$122=""),"",'I. Stream &amp; Compound Data'!AF208/$J153*(1-T$127)*(1-T$123)*$K153)</f>
        <v/>
      </c>
      <c r="U153" s="651" t="str">
        <f>IF(OR(R153="",U$122=""),"",'I. Stream &amp; Compound Data'!AI208/$J153*(1-U$127)*(1-U$123)*$K153)</f>
        <v/>
      </c>
      <c r="V153" s="651" t="str">
        <f>IF(OR(V$122="",$I153=""),"",'I. Stream &amp; Compound Data'!AL208/$J153*(1-V$127)*(1-V$123)*$K153)</f>
        <v/>
      </c>
      <c r="W153" s="651" t="str">
        <f>IF(OR(W$122="",$I153=""),"",'I. Stream &amp; Compound Data'!AO208/$J153*(1-W$127)*(1-W$123)*$K153)</f>
        <v/>
      </c>
      <c r="X153" s="651" t="str">
        <f>IF(OR(X$122="",$I153=""),"",'I. Stream &amp; Compound Data'!AR208/$J153*(1-X$127)*(1-X$123)*$K153)</f>
        <v/>
      </c>
      <c r="Y153" s="651" t="str">
        <f>IF(OR(Y$122="",$I153=""),"",'I. Stream &amp; Compound Data'!AU208/$J153*(1-Y$127)*(1-Y$123)*$K153)</f>
        <v/>
      </c>
      <c r="Z153" s="651" t="str">
        <f>IF(OR(Z$122="",$I153=""),"",'I. Stream &amp; Compound Data'!AX208/$J153*(1-Z$127)*(1-Z$123)*$K153)</f>
        <v/>
      </c>
      <c r="AA153" s="651" t="str">
        <f>IF(OR(AA$122="",$I153=""),"",'I. Stream &amp; Compound Data'!BA208/$J153*(1-AA$127)*(1-AA$123)*$K153)</f>
        <v/>
      </c>
      <c r="AB153" s="651" t="str">
        <f>IF(OR(AB$122="",$I153=""),"",'I. Stream &amp; Compound Data'!BD208/$J153*(1-AB$127)*(1-AB$123)*$K153)</f>
        <v/>
      </c>
      <c r="AC153" s="651" t="str">
        <f>IF(OR(AC$122="",$I153=""),"",'I. Stream &amp; Compound Data'!BG208/$J153*(1-AC$127)*(1-AC$123)*$K153)</f>
        <v/>
      </c>
      <c r="AD153" s="651" t="str">
        <f>IF(OR(AD$122="",$I153=""),"",'I. Stream &amp; Compound Data'!BJ208/$J153*(1-AD$127)*(1-AD$123)*$K153)</f>
        <v/>
      </c>
      <c r="AE153" s="651" t="str">
        <f>IF(OR(AE$122="",$I153=""),"",'I. Stream &amp; Compound Data'!BM208/$J153*(1-AE$127)*(1-AE$123)*$K153)</f>
        <v/>
      </c>
      <c r="AF153" s="651" t="str">
        <f>IF(OR(AF$122="",$I153=""),"",'I. Stream &amp; Compound Data'!BP208/$J153*(1-AF$127)*(1-AF$123)*$K153)</f>
        <v/>
      </c>
      <c r="AG153" s="651" t="str">
        <f>IF(OR(AG$122="",$I153=""),"",'I. Stream &amp; Compound Data'!BS208/$J153*(1-AG$127)*(1-AG$123)*$K153)</f>
        <v/>
      </c>
      <c r="AH153" s="651" t="str">
        <f>IF(OR(AH$122="",$I153=""),"",'I. Stream &amp; Compound Data'!BV208/$J153*(1-AH$127)*(1-AH$123)*$K153)</f>
        <v/>
      </c>
      <c r="AI153" s="651" t="str">
        <f>IF(OR(AI$122="",$I153=""),"",'I. Stream &amp; Compound Data'!BY208/$J153*(1-AI$127)*(1-AI$123)*$K153)</f>
        <v/>
      </c>
      <c r="AJ153" s="651" t="str">
        <f>IF(OR(AJ$122="",$I153=""),"",'I. Stream &amp; Compound Data'!CB208/$J153*(1-AJ$127)*(1-AJ$123)*$K153)</f>
        <v/>
      </c>
      <c r="AK153" s="651" t="str">
        <f>IF(OR(AK$122="",$I153=""),"",'I. Stream &amp; Compound Data'!CE208/$J153*(1-AK$127)*(1-AK$123)*$K153)</f>
        <v/>
      </c>
      <c r="AL153" s="651" t="str">
        <f>IF(OR(AL$122="",$I153=""),"",'I. Stream &amp; Compound Data'!CH208/$J153*(1-AL$127)*(1-AL$123)*$K153)</f>
        <v/>
      </c>
      <c r="AM153" s="651" t="str">
        <f>IF(OR(AM$122="",$I153=""),"",'I. Stream &amp; Compound Data'!CK208/$J153*(1-AM$127)*(1-AM$123)*$K153)</f>
        <v/>
      </c>
      <c r="AN153" s="651" t="str">
        <f>IF(OR(AN$122="",$I153=""),"",'I. Stream &amp; Compound Data'!CN208/$J153*(1-AN$127)*(1-AN$123)*$K153)</f>
        <v/>
      </c>
      <c r="AO153" s="651" t="str">
        <f>IF(OR(AO$122="",$I153=""),"",'I. Stream &amp; Compound Data'!CQ208/$J153*(1-AO$127)*(1-AO$123)*$K153)</f>
        <v/>
      </c>
      <c r="AP153" s="651" t="str">
        <f>IF(OR(AP$122="",$I153=""),"",'I. Stream &amp; Compound Data'!CT208/$J153*(1-AP$127)*(1-AP$123)*$K153)</f>
        <v/>
      </c>
      <c r="AQ153" s="651" t="str">
        <f>IF(OR(AQ$122="",$I153=""),"",'I. Stream &amp; Compound Data'!CW208/$J153*(1-AQ$127)*(1-AQ$123)*$K153)</f>
        <v/>
      </c>
      <c r="AR153" s="651" t="str">
        <f>IF(OR(AR$122="",$I153=""),"",'I. Stream &amp; Compound Data'!CZ208/$J153*(1-AR$127)*(1-AR$123)*$K153)</f>
        <v/>
      </c>
      <c r="AS153" s="651" t="str">
        <f>IF(OR(AS$122="",$I153=""),"",'I. Stream &amp; Compound Data'!DC208/$J153*(1-AS$127)*(1-AS$123)*$K153)</f>
        <v/>
      </c>
      <c r="AT153" s="651" t="str">
        <f>IF(OR(AT$122="",$I153=""),"",'I. Stream &amp; Compound Data'!DF208/$J153*(1-AT$127)*(1-AT$123)*$K153)</f>
        <v/>
      </c>
      <c r="AU153" s="651" t="str">
        <f>IF(OR(AU$122="",$I153=""),"",'I. Stream &amp; Compound Data'!DI208/$J153*(1-AU$127)*(1-AU$123)*$K153)</f>
        <v/>
      </c>
      <c r="AV153" s="651" t="str">
        <f>IF(OR(AV$122="",$I153=""),"",'I. Stream &amp; Compound Data'!DL208/$J153*(1-AV$127)*(1-AV$123)*$K153)</f>
        <v/>
      </c>
      <c r="AW153" s="651" t="str">
        <f>IF(OR(AW$122="",$I153=""),"",'I. Stream &amp; Compound Data'!DO208/$J153*(1-AW$127)*(1-AW$123)*$K153)</f>
        <v/>
      </c>
      <c r="AX153" s="651" t="str">
        <f>IF(OR(AX$122="",$I153=""),"",'I. Stream &amp; Compound Data'!DR208/$J153*(1-AX$127)*(1-AX$123)*$K153)</f>
        <v/>
      </c>
      <c r="AY153" s="667" t="str">
        <f>IF(OR(AY$122="",$I153=""),"",'I. Stream &amp; Compound Data'!DU208/$J153*(1-AY$127)*(1-AY$123)*$K153)</f>
        <v/>
      </c>
      <c r="AZ153" s="336"/>
      <c r="BA153" s="632"/>
      <c r="BB153" s="632"/>
      <c r="BC153" s="632"/>
      <c r="BD153" s="632"/>
      <c r="BE153" s="632"/>
      <c r="BF153" s="632"/>
      <c r="BG153" s="632"/>
      <c r="BH153" s="632"/>
      <c r="BI153" s="632"/>
      <c r="BJ153" s="632"/>
      <c r="BK153" s="632"/>
      <c r="BL153" s="632"/>
      <c r="BM153" s="632"/>
      <c r="BN153" s="632"/>
      <c r="BO153" s="632"/>
      <c r="BP153" s="632"/>
      <c r="BQ153" s="632"/>
      <c r="BR153" s="632"/>
      <c r="BS153" s="632"/>
      <c r="BT153" s="632"/>
      <c r="BU153" s="632"/>
      <c r="BV153" s="632"/>
      <c r="BW153" s="632"/>
      <c r="BX153" s="632"/>
      <c r="BY153" s="632"/>
      <c r="BZ153" s="632"/>
      <c r="CA153" s="632"/>
      <c r="CB153" s="632"/>
      <c r="CC153" s="632"/>
      <c r="CD153" s="632"/>
      <c r="CE153" s="632"/>
      <c r="CF153" s="632"/>
      <c r="CG153" s="632"/>
      <c r="CH153" s="632"/>
      <c r="CI153" s="632"/>
      <c r="CJ153" s="632"/>
      <c r="CK153" s="632"/>
      <c r="CL153" s="632"/>
      <c r="CM153" s="632"/>
      <c r="CN153" s="631"/>
    </row>
    <row r="154" spans="2:92" ht="15.75" x14ac:dyDescent="0.2">
      <c r="B154" s="610"/>
      <c r="C154" s="336"/>
      <c r="D154" s="611"/>
      <c r="E154" s="612"/>
      <c r="F154" s="612"/>
      <c r="G154" s="612"/>
      <c r="H154" s="618">
        <f>'I. Stream &amp; Compound Data'!F285</f>
        <v>24</v>
      </c>
      <c r="I154" s="677" t="str">
        <f>IF('I. Stream &amp; Compound Data'!G285&lt;&gt;"",'I. Stream &amp; Compound Data'!G285,"")</f>
        <v/>
      </c>
      <c r="J154" s="676" t="str">
        <f>IF('I. Stream &amp; Compound Data'!BH285="","",'I. Stream &amp; Compound Data'!BH285)</f>
        <v/>
      </c>
      <c r="K154" s="652" t="str">
        <f>IF('I. Stream &amp; Compound Data'!G285="","",IF(OR('I. Stream &amp; Compound Data'!U285=1,'I. Stream &amp; Compound Data'!V285=1,'I. Stream &amp; Compound Data'!AY285&lt;25),0,1))</f>
        <v/>
      </c>
      <c r="L154" s="651" t="str">
        <f>IF(OR(I154="",L$122=""),"",'I. Stream &amp; Compound Data'!H209/$J154*(1-L$127)*(1-L$123)*$K154)</f>
        <v/>
      </c>
      <c r="M154" s="651" t="str">
        <f>IF(OR(J154="",M$122=""),"",'I. Stream &amp; Compound Data'!K209/$J154*(1-M$127)*(1-M$123)*$K154)</f>
        <v/>
      </c>
      <c r="N154" s="651" t="str">
        <f>IF(OR(K154="",N$122=""),"",'I. Stream &amp; Compound Data'!N209/$J154*(1-N$127)*(1-N$123)*$K154)</f>
        <v/>
      </c>
      <c r="O154" s="651" t="str">
        <f>IF(OR(L154="",O$122=""),"",'I. Stream &amp; Compound Data'!Q209/$J154*(1-O$127)*(1-O$123)*$K154)</f>
        <v/>
      </c>
      <c r="P154" s="651" t="str">
        <f>IF(OR(M154="",P$122=""),"",'I. Stream &amp; Compound Data'!T209/$J154*(1-P$127)*(1-P$123)*$K154)</f>
        <v/>
      </c>
      <c r="Q154" s="651" t="str">
        <f>IF(OR(N154="",Q$122=""),"",'I. Stream &amp; Compound Data'!W209/$J154*(1-Q$127)*(1-Q$123)*$K154)</f>
        <v/>
      </c>
      <c r="R154" s="651" t="str">
        <f>IF(OR(O154="",R$122=""),"",'I. Stream &amp; Compound Data'!Z209/$J154*(1-R$127)*(1-R$123)*$K154)</f>
        <v/>
      </c>
      <c r="S154" s="651" t="str">
        <f>IF(OR(P154="",S$122=""),"",'I. Stream &amp; Compound Data'!AC209/$J154*(1-S$127)*(1-S$123)*$K154)</f>
        <v/>
      </c>
      <c r="T154" s="651" t="str">
        <f>IF(OR(Q154="",T$122=""),"",'I. Stream &amp; Compound Data'!AF209/$J154*(1-T$127)*(1-T$123)*$K154)</f>
        <v/>
      </c>
      <c r="U154" s="651" t="str">
        <f>IF(OR(R154="",U$122=""),"",'I. Stream &amp; Compound Data'!AI209/$J154*(1-U$127)*(1-U$123)*$K154)</f>
        <v/>
      </c>
      <c r="V154" s="651" t="str">
        <f>IF(OR(V$122="",$I154=""),"",'I. Stream &amp; Compound Data'!AL209/$J154*(1-V$127)*(1-V$123)*$K154)</f>
        <v/>
      </c>
      <c r="W154" s="651" t="str">
        <f>IF(OR(W$122="",$I154=""),"",'I. Stream &amp; Compound Data'!AO209/$J154*(1-W$127)*(1-W$123)*$K154)</f>
        <v/>
      </c>
      <c r="X154" s="651" t="str">
        <f>IF(OR(X$122="",$I154=""),"",'I. Stream &amp; Compound Data'!AR209/$J154*(1-X$127)*(1-X$123)*$K154)</f>
        <v/>
      </c>
      <c r="Y154" s="651" t="str">
        <f>IF(OR(Y$122="",$I154=""),"",'I. Stream &amp; Compound Data'!AU209/$J154*(1-Y$127)*(1-Y$123)*$K154)</f>
        <v/>
      </c>
      <c r="Z154" s="651" t="str">
        <f>IF(OR(Z$122="",$I154=""),"",'I. Stream &amp; Compound Data'!AX209/$J154*(1-Z$127)*(1-Z$123)*$K154)</f>
        <v/>
      </c>
      <c r="AA154" s="651" t="str">
        <f>IF(OR(AA$122="",$I154=""),"",'I. Stream &amp; Compound Data'!BA209/$J154*(1-AA$127)*(1-AA$123)*$K154)</f>
        <v/>
      </c>
      <c r="AB154" s="651" t="str">
        <f>IF(OR(AB$122="",$I154=""),"",'I. Stream &amp; Compound Data'!BD209/$J154*(1-AB$127)*(1-AB$123)*$K154)</f>
        <v/>
      </c>
      <c r="AC154" s="651" t="str">
        <f>IF(OR(AC$122="",$I154=""),"",'I. Stream &amp; Compound Data'!BG209/$J154*(1-AC$127)*(1-AC$123)*$K154)</f>
        <v/>
      </c>
      <c r="AD154" s="651" t="str">
        <f>IF(OR(AD$122="",$I154=""),"",'I. Stream &amp; Compound Data'!BJ209/$J154*(1-AD$127)*(1-AD$123)*$K154)</f>
        <v/>
      </c>
      <c r="AE154" s="651" t="str">
        <f>IF(OR(AE$122="",$I154=""),"",'I. Stream &amp; Compound Data'!BM209/$J154*(1-AE$127)*(1-AE$123)*$K154)</f>
        <v/>
      </c>
      <c r="AF154" s="651" t="str">
        <f>IF(OR(AF$122="",$I154=""),"",'I. Stream &amp; Compound Data'!BP209/$J154*(1-AF$127)*(1-AF$123)*$K154)</f>
        <v/>
      </c>
      <c r="AG154" s="651" t="str">
        <f>IF(OR(AG$122="",$I154=""),"",'I. Stream &amp; Compound Data'!BS209/$J154*(1-AG$127)*(1-AG$123)*$K154)</f>
        <v/>
      </c>
      <c r="AH154" s="651" t="str">
        <f>IF(OR(AH$122="",$I154=""),"",'I. Stream &amp; Compound Data'!BV209/$J154*(1-AH$127)*(1-AH$123)*$K154)</f>
        <v/>
      </c>
      <c r="AI154" s="651" t="str">
        <f>IF(OR(AI$122="",$I154=""),"",'I. Stream &amp; Compound Data'!BY209/$J154*(1-AI$127)*(1-AI$123)*$K154)</f>
        <v/>
      </c>
      <c r="AJ154" s="651" t="str">
        <f>IF(OR(AJ$122="",$I154=""),"",'I. Stream &amp; Compound Data'!CB209/$J154*(1-AJ$127)*(1-AJ$123)*$K154)</f>
        <v/>
      </c>
      <c r="AK154" s="651" t="str">
        <f>IF(OR(AK$122="",$I154=""),"",'I. Stream &amp; Compound Data'!CE209/$J154*(1-AK$127)*(1-AK$123)*$K154)</f>
        <v/>
      </c>
      <c r="AL154" s="651" t="str">
        <f>IF(OR(AL$122="",$I154=""),"",'I. Stream &amp; Compound Data'!CH209/$J154*(1-AL$127)*(1-AL$123)*$K154)</f>
        <v/>
      </c>
      <c r="AM154" s="651" t="str">
        <f>IF(OR(AM$122="",$I154=""),"",'I. Stream &amp; Compound Data'!CK209/$J154*(1-AM$127)*(1-AM$123)*$K154)</f>
        <v/>
      </c>
      <c r="AN154" s="651" t="str">
        <f>IF(OR(AN$122="",$I154=""),"",'I. Stream &amp; Compound Data'!CN209/$J154*(1-AN$127)*(1-AN$123)*$K154)</f>
        <v/>
      </c>
      <c r="AO154" s="651" t="str">
        <f>IF(OR(AO$122="",$I154=""),"",'I. Stream &amp; Compound Data'!CQ209/$J154*(1-AO$127)*(1-AO$123)*$K154)</f>
        <v/>
      </c>
      <c r="AP154" s="651" t="str">
        <f>IF(OR(AP$122="",$I154=""),"",'I. Stream &amp; Compound Data'!CT209/$J154*(1-AP$127)*(1-AP$123)*$K154)</f>
        <v/>
      </c>
      <c r="AQ154" s="651" t="str">
        <f>IF(OR(AQ$122="",$I154=""),"",'I. Stream &amp; Compound Data'!CW209/$J154*(1-AQ$127)*(1-AQ$123)*$K154)</f>
        <v/>
      </c>
      <c r="AR154" s="651" t="str">
        <f>IF(OR(AR$122="",$I154=""),"",'I. Stream &amp; Compound Data'!CZ209/$J154*(1-AR$127)*(1-AR$123)*$K154)</f>
        <v/>
      </c>
      <c r="AS154" s="651" t="str">
        <f>IF(OR(AS$122="",$I154=""),"",'I. Stream &amp; Compound Data'!DC209/$J154*(1-AS$127)*(1-AS$123)*$K154)</f>
        <v/>
      </c>
      <c r="AT154" s="651" t="str">
        <f>IF(OR(AT$122="",$I154=""),"",'I. Stream &amp; Compound Data'!DF209/$J154*(1-AT$127)*(1-AT$123)*$K154)</f>
        <v/>
      </c>
      <c r="AU154" s="651" t="str">
        <f>IF(OR(AU$122="",$I154=""),"",'I. Stream &amp; Compound Data'!DI209/$J154*(1-AU$127)*(1-AU$123)*$K154)</f>
        <v/>
      </c>
      <c r="AV154" s="651" t="str">
        <f>IF(OR(AV$122="",$I154=""),"",'I. Stream &amp; Compound Data'!DL209/$J154*(1-AV$127)*(1-AV$123)*$K154)</f>
        <v/>
      </c>
      <c r="AW154" s="651" t="str">
        <f>IF(OR(AW$122="",$I154=""),"",'I. Stream &amp; Compound Data'!DO209/$J154*(1-AW$127)*(1-AW$123)*$K154)</f>
        <v/>
      </c>
      <c r="AX154" s="651" t="str">
        <f>IF(OR(AX$122="",$I154=""),"",'I. Stream &amp; Compound Data'!DR209/$J154*(1-AX$127)*(1-AX$123)*$K154)</f>
        <v/>
      </c>
      <c r="AY154" s="667" t="str">
        <f>IF(OR(AY$122="",$I154=""),"",'I. Stream &amp; Compound Data'!DU209/$J154*(1-AY$127)*(1-AY$123)*$K154)</f>
        <v/>
      </c>
      <c r="AZ154" s="336"/>
      <c r="BA154" s="632"/>
      <c r="BB154" s="632"/>
      <c r="BC154" s="632"/>
      <c r="BD154" s="632"/>
      <c r="BE154" s="632"/>
      <c r="BF154" s="632"/>
      <c r="BG154" s="632"/>
      <c r="BH154" s="632"/>
      <c r="BI154" s="632"/>
      <c r="BJ154" s="632"/>
      <c r="BK154" s="632"/>
      <c r="BL154" s="632"/>
      <c r="BM154" s="632"/>
      <c r="BN154" s="632"/>
      <c r="BO154" s="632"/>
      <c r="BP154" s="632"/>
      <c r="BQ154" s="632"/>
      <c r="BR154" s="632"/>
      <c r="BS154" s="632"/>
      <c r="BT154" s="632"/>
      <c r="BU154" s="632"/>
      <c r="BV154" s="632"/>
      <c r="BW154" s="632"/>
      <c r="BX154" s="632"/>
      <c r="BY154" s="632"/>
      <c r="BZ154" s="632"/>
      <c r="CA154" s="632"/>
      <c r="CB154" s="632"/>
      <c r="CC154" s="632"/>
      <c r="CD154" s="632"/>
      <c r="CE154" s="632"/>
      <c r="CF154" s="632"/>
      <c r="CG154" s="632"/>
      <c r="CH154" s="632"/>
      <c r="CI154" s="632"/>
      <c r="CJ154" s="632"/>
      <c r="CK154" s="632"/>
      <c r="CL154" s="632"/>
      <c r="CM154" s="632"/>
      <c r="CN154" s="631"/>
    </row>
    <row r="155" spans="2:92" ht="15.75" x14ac:dyDescent="0.2">
      <c r="B155" s="610"/>
      <c r="C155" s="336"/>
      <c r="D155" s="611"/>
      <c r="E155" s="612"/>
      <c r="F155" s="612"/>
      <c r="G155" s="612"/>
      <c r="H155" s="618">
        <f>'I. Stream &amp; Compound Data'!F286</f>
        <v>25</v>
      </c>
      <c r="I155" s="677" t="str">
        <f>IF('I. Stream &amp; Compound Data'!G286&lt;&gt;"",'I. Stream &amp; Compound Data'!G286,"")</f>
        <v/>
      </c>
      <c r="J155" s="676" t="str">
        <f>IF('I. Stream &amp; Compound Data'!BH286="","",'I. Stream &amp; Compound Data'!BH286)</f>
        <v/>
      </c>
      <c r="K155" s="652" t="str">
        <f>IF('I. Stream &amp; Compound Data'!G286="","",IF(OR('I. Stream &amp; Compound Data'!U286=1,'I. Stream &amp; Compound Data'!V286=1,'I. Stream &amp; Compound Data'!AY286&lt;25),0,1))</f>
        <v/>
      </c>
      <c r="L155" s="651" t="str">
        <f>IF(OR(I155="",L$122=""),"",'I. Stream &amp; Compound Data'!H210/$J155*(1-L$127)*(1-L$123)*$K155)</f>
        <v/>
      </c>
      <c r="M155" s="651" t="str">
        <f>IF(OR(J155="",M$122=""),"",'I. Stream &amp; Compound Data'!K210/$J155*(1-M$127)*(1-M$123)*$K155)</f>
        <v/>
      </c>
      <c r="N155" s="651" t="str">
        <f>IF(OR(K155="",N$122=""),"",'I. Stream &amp; Compound Data'!N210/$J155*(1-N$127)*(1-N$123)*$K155)</f>
        <v/>
      </c>
      <c r="O155" s="651" t="str">
        <f>IF(OR(L155="",O$122=""),"",'I. Stream &amp; Compound Data'!Q210/$J155*(1-O$127)*(1-O$123)*$K155)</f>
        <v/>
      </c>
      <c r="P155" s="651" t="str">
        <f>IF(OR(M155="",P$122=""),"",'I. Stream &amp; Compound Data'!T210/$J155*(1-P$127)*(1-P$123)*$K155)</f>
        <v/>
      </c>
      <c r="Q155" s="651" t="str">
        <f>IF(OR(N155="",Q$122=""),"",'I. Stream &amp; Compound Data'!W210/$J155*(1-Q$127)*(1-Q$123)*$K155)</f>
        <v/>
      </c>
      <c r="R155" s="651" t="str">
        <f>IF(OR(O155="",R$122=""),"",'I. Stream &amp; Compound Data'!Z210/$J155*(1-R$127)*(1-R$123)*$K155)</f>
        <v/>
      </c>
      <c r="S155" s="651" t="str">
        <f>IF(OR(P155="",S$122=""),"",'I. Stream &amp; Compound Data'!AC210/$J155*(1-S$127)*(1-S$123)*$K155)</f>
        <v/>
      </c>
      <c r="T155" s="651" t="str">
        <f>IF(OR(Q155="",T$122=""),"",'I. Stream &amp; Compound Data'!AF210/$J155*(1-T$127)*(1-T$123)*$K155)</f>
        <v/>
      </c>
      <c r="U155" s="651" t="str">
        <f>IF(OR(R155="",U$122=""),"",'I. Stream &amp; Compound Data'!AI210/$J155*(1-U$127)*(1-U$123)*$K155)</f>
        <v/>
      </c>
      <c r="V155" s="651" t="str">
        <f>IF(OR(V$122="",$I155=""),"",'I. Stream &amp; Compound Data'!AL210/$J155*(1-V$127)*(1-V$123)*$K155)</f>
        <v/>
      </c>
      <c r="W155" s="651" t="str">
        <f>IF(OR(W$122="",$I155=""),"",'I. Stream &amp; Compound Data'!AO210/$J155*(1-W$127)*(1-W$123)*$K155)</f>
        <v/>
      </c>
      <c r="X155" s="651" t="str">
        <f>IF(OR(X$122="",$I155=""),"",'I. Stream &amp; Compound Data'!AR210/$J155*(1-X$127)*(1-X$123)*$K155)</f>
        <v/>
      </c>
      <c r="Y155" s="651" t="str">
        <f>IF(OR(Y$122="",$I155=""),"",'I. Stream &amp; Compound Data'!AU210/$J155*(1-Y$127)*(1-Y$123)*$K155)</f>
        <v/>
      </c>
      <c r="Z155" s="651" t="str">
        <f>IF(OR(Z$122="",$I155=""),"",'I. Stream &amp; Compound Data'!AX210/$J155*(1-Z$127)*(1-Z$123)*$K155)</f>
        <v/>
      </c>
      <c r="AA155" s="651" t="str">
        <f>IF(OR(AA$122="",$I155=""),"",'I. Stream &amp; Compound Data'!BA210/$J155*(1-AA$127)*(1-AA$123)*$K155)</f>
        <v/>
      </c>
      <c r="AB155" s="651" t="str">
        <f>IF(OR(AB$122="",$I155=""),"",'I. Stream &amp; Compound Data'!BD210/$J155*(1-AB$127)*(1-AB$123)*$K155)</f>
        <v/>
      </c>
      <c r="AC155" s="651" t="str">
        <f>IF(OR(AC$122="",$I155=""),"",'I. Stream &amp; Compound Data'!BG210/$J155*(1-AC$127)*(1-AC$123)*$K155)</f>
        <v/>
      </c>
      <c r="AD155" s="651" t="str">
        <f>IF(OR(AD$122="",$I155=""),"",'I. Stream &amp; Compound Data'!BJ210/$J155*(1-AD$127)*(1-AD$123)*$K155)</f>
        <v/>
      </c>
      <c r="AE155" s="651" t="str">
        <f>IF(OR(AE$122="",$I155=""),"",'I. Stream &amp; Compound Data'!BM210/$J155*(1-AE$127)*(1-AE$123)*$K155)</f>
        <v/>
      </c>
      <c r="AF155" s="651" t="str">
        <f>IF(OR(AF$122="",$I155=""),"",'I. Stream &amp; Compound Data'!BP210/$J155*(1-AF$127)*(1-AF$123)*$K155)</f>
        <v/>
      </c>
      <c r="AG155" s="651" t="str">
        <f>IF(OR(AG$122="",$I155=""),"",'I. Stream &amp; Compound Data'!BS210/$J155*(1-AG$127)*(1-AG$123)*$K155)</f>
        <v/>
      </c>
      <c r="AH155" s="651" t="str">
        <f>IF(OR(AH$122="",$I155=""),"",'I. Stream &amp; Compound Data'!BV210/$J155*(1-AH$127)*(1-AH$123)*$K155)</f>
        <v/>
      </c>
      <c r="AI155" s="651" t="str">
        <f>IF(OR(AI$122="",$I155=""),"",'I. Stream &amp; Compound Data'!BY210/$J155*(1-AI$127)*(1-AI$123)*$K155)</f>
        <v/>
      </c>
      <c r="AJ155" s="651" t="str">
        <f>IF(OR(AJ$122="",$I155=""),"",'I. Stream &amp; Compound Data'!CB210/$J155*(1-AJ$127)*(1-AJ$123)*$K155)</f>
        <v/>
      </c>
      <c r="AK155" s="651" t="str">
        <f>IF(OR(AK$122="",$I155=""),"",'I. Stream &amp; Compound Data'!CE210/$J155*(1-AK$127)*(1-AK$123)*$K155)</f>
        <v/>
      </c>
      <c r="AL155" s="651" t="str">
        <f>IF(OR(AL$122="",$I155=""),"",'I. Stream &amp; Compound Data'!CH210/$J155*(1-AL$127)*(1-AL$123)*$K155)</f>
        <v/>
      </c>
      <c r="AM155" s="651" t="str">
        <f>IF(OR(AM$122="",$I155=""),"",'I. Stream &amp; Compound Data'!CK210/$J155*(1-AM$127)*(1-AM$123)*$K155)</f>
        <v/>
      </c>
      <c r="AN155" s="651" t="str">
        <f>IF(OR(AN$122="",$I155=""),"",'I. Stream &amp; Compound Data'!CN210/$J155*(1-AN$127)*(1-AN$123)*$K155)</f>
        <v/>
      </c>
      <c r="AO155" s="651" t="str">
        <f>IF(OR(AO$122="",$I155=""),"",'I. Stream &amp; Compound Data'!CQ210/$J155*(1-AO$127)*(1-AO$123)*$K155)</f>
        <v/>
      </c>
      <c r="AP155" s="651" t="str">
        <f>IF(OR(AP$122="",$I155=""),"",'I. Stream &amp; Compound Data'!CT210/$J155*(1-AP$127)*(1-AP$123)*$K155)</f>
        <v/>
      </c>
      <c r="AQ155" s="651" t="str">
        <f>IF(OR(AQ$122="",$I155=""),"",'I. Stream &amp; Compound Data'!CW210/$J155*(1-AQ$127)*(1-AQ$123)*$K155)</f>
        <v/>
      </c>
      <c r="AR155" s="651" t="str">
        <f>IF(OR(AR$122="",$I155=""),"",'I. Stream &amp; Compound Data'!CZ210/$J155*(1-AR$127)*(1-AR$123)*$K155)</f>
        <v/>
      </c>
      <c r="AS155" s="651" t="str">
        <f>IF(OR(AS$122="",$I155=""),"",'I. Stream &amp; Compound Data'!DC210/$J155*(1-AS$127)*(1-AS$123)*$K155)</f>
        <v/>
      </c>
      <c r="AT155" s="651" t="str">
        <f>IF(OR(AT$122="",$I155=""),"",'I. Stream &amp; Compound Data'!DF210/$J155*(1-AT$127)*(1-AT$123)*$K155)</f>
        <v/>
      </c>
      <c r="AU155" s="651" t="str">
        <f>IF(OR(AU$122="",$I155=""),"",'I. Stream &amp; Compound Data'!DI210/$J155*(1-AU$127)*(1-AU$123)*$K155)</f>
        <v/>
      </c>
      <c r="AV155" s="651" t="str">
        <f>IF(OR(AV$122="",$I155=""),"",'I. Stream &amp; Compound Data'!DL210/$J155*(1-AV$127)*(1-AV$123)*$K155)</f>
        <v/>
      </c>
      <c r="AW155" s="651" t="str">
        <f>IF(OR(AW$122="",$I155=""),"",'I. Stream &amp; Compound Data'!DO210/$J155*(1-AW$127)*(1-AW$123)*$K155)</f>
        <v/>
      </c>
      <c r="AX155" s="651" t="str">
        <f>IF(OR(AX$122="",$I155=""),"",'I. Stream &amp; Compound Data'!DR210/$J155*(1-AX$127)*(1-AX$123)*$K155)</f>
        <v/>
      </c>
      <c r="AY155" s="667" t="str">
        <f>IF(OR(AY$122="",$I155=""),"",'I. Stream &amp; Compound Data'!DU210/$J155*(1-AY$127)*(1-AY$123)*$K155)</f>
        <v/>
      </c>
      <c r="AZ155" s="336"/>
      <c r="BA155" s="632"/>
      <c r="BB155" s="632"/>
      <c r="BC155" s="632"/>
      <c r="BD155" s="632"/>
      <c r="BE155" s="632"/>
      <c r="BF155" s="632"/>
      <c r="BG155" s="632"/>
      <c r="BH155" s="632"/>
      <c r="BI155" s="632"/>
      <c r="BJ155" s="632"/>
      <c r="BK155" s="632"/>
      <c r="BL155" s="632"/>
      <c r="BM155" s="632"/>
      <c r="BN155" s="632"/>
      <c r="BO155" s="632"/>
      <c r="BP155" s="632"/>
      <c r="BQ155" s="632"/>
      <c r="BR155" s="632"/>
      <c r="BS155" s="632"/>
      <c r="BT155" s="632"/>
      <c r="BU155" s="632"/>
      <c r="BV155" s="632"/>
      <c r="BW155" s="632"/>
      <c r="BX155" s="632"/>
      <c r="BY155" s="632"/>
      <c r="BZ155" s="632"/>
      <c r="CA155" s="632"/>
      <c r="CB155" s="632"/>
      <c r="CC155" s="632"/>
      <c r="CD155" s="632"/>
      <c r="CE155" s="632"/>
      <c r="CF155" s="632"/>
      <c r="CG155" s="632"/>
      <c r="CH155" s="632"/>
      <c r="CI155" s="632"/>
      <c r="CJ155" s="632"/>
      <c r="CK155" s="632"/>
      <c r="CL155" s="632"/>
      <c r="CM155" s="632"/>
      <c r="CN155" s="631"/>
    </row>
    <row r="156" spans="2:92" ht="15.75" x14ac:dyDescent="0.2">
      <c r="B156" s="610"/>
      <c r="C156" s="336"/>
      <c r="D156" s="611"/>
      <c r="E156" s="612"/>
      <c r="F156" s="612"/>
      <c r="G156" s="612"/>
      <c r="H156" s="618">
        <f>'I. Stream &amp; Compound Data'!F287</f>
        <v>26</v>
      </c>
      <c r="I156" s="677" t="str">
        <f>IF('I. Stream &amp; Compound Data'!G287&lt;&gt;"",'I. Stream &amp; Compound Data'!G287,"")</f>
        <v/>
      </c>
      <c r="J156" s="676" t="str">
        <f>IF('I. Stream &amp; Compound Data'!BH287="","",'I. Stream &amp; Compound Data'!BH287)</f>
        <v/>
      </c>
      <c r="K156" s="652" t="str">
        <f>IF('I. Stream &amp; Compound Data'!G287="","",IF(OR('I. Stream &amp; Compound Data'!U287=1,'I. Stream &amp; Compound Data'!V287=1,'I. Stream &amp; Compound Data'!AY287&lt;25),0,1))</f>
        <v/>
      </c>
      <c r="L156" s="651" t="str">
        <f>IF(OR(I156="",L$122=""),"",'I. Stream &amp; Compound Data'!H211/$J156*(1-L$127)*(1-L$123)*$K156)</f>
        <v/>
      </c>
      <c r="M156" s="651" t="str">
        <f>IF(OR(J156="",M$122=""),"",'I. Stream &amp; Compound Data'!K211/$J156*(1-M$127)*(1-M$123)*$K156)</f>
        <v/>
      </c>
      <c r="N156" s="651" t="str">
        <f>IF(OR(K156="",N$122=""),"",'I. Stream &amp; Compound Data'!N211/$J156*(1-N$127)*(1-N$123)*$K156)</f>
        <v/>
      </c>
      <c r="O156" s="651" t="str">
        <f>IF(OR(L156="",O$122=""),"",'I. Stream &amp; Compound Data'!Q211/$J156*(1-O$127)*(1-O$123)*$K156)</f>
        <v/>
      </c>
      <c r="P156" s="651" t="str">
        <f>IF(OR(M156="",P$122=""),"",'I. Stream &amp; Compound Data'!T211/$J156*(1-P$127)*(1-P$123)*$K156)</f>
        <v/>
      </c>
      <c r="Q156" s="651" t="str">
        <f>IF(OR(N156="",Q$122=""),"",'I. Stream &amp; Compound Data'!W211/$J156*(1-Q$127)*(1-Q$123)*$K156)</f>
        <v/>
      </c>
      <c r="R156" s="651" t="str">
        <f>IF(OR(O156="",R$122=""),"",'I. Stream &amp; Compound Data'!Z211/$J156*(1-R$127)*(1-R$123)*$K156)</f>
        <v/>
      </c>
      <c r="S156" s="651" t="str">
        <f>IF(OR(P156="",S$122=""),"",'I. Stream &amp; Compound Data'!AC211/$J156*(1-S$127)*(1-S$123)*$K156)</f>
        <v/>
      </c>
      <c r="T156" s="651" t="str">
        <f>IF(OR(Q156="",T$122=""),"",'I. Stream &amp; Compound Data'!AF211/$J156*(1-T$127)*(1-T$123)*$K156)</f>
        <v/>
      </c>
      <c r="U156" s="651" t="str">
        <f>IF(OR(R156="",U$122=""),"",'I. Stream &amp; Compound Data'!AI211/$J156*(1-U$127)*(1-U$123)*$K156)</f>
        <v/>
      </c>
      <c r="V156" s="651" t="str">
        <f>IF(OR(V$122="",$I156=""),"",'I. Stream &amp; Compound Data'!AL211/$J156*(1-V$127)*(1-V$123)*$K156)</f>
        <v/>
      </c>
      <c r="W156" s="651" t="str">
        <f>IF(OR(W$122="",$I156=""),"",'I. Stream &amp; Compound Data'!AO211/$J156*(1-W$127)*(1-W$123)*$K156)</f>
        <v/>
      </c>
      <c r="X156" s="651" t="str">
        <f>IF(OR(X$122="",$I156=""),"",'I. Stream &amp; Compound Data'!AR211/$J156*(1-X$127)*(1-X$123)*$K156)</f>
        <v/>
      </c>
      <c r="Y156" s="651" t="str">
        <f>IF(OR(Y$122="",$I156=""),"",'I. Stream &amp; Compound Data'!AU211/$J156*(1-Y$127)*(1-Y$123)*$K156)</f>
        <v/>
      </c>
      <c r="Z156" s="651" t="str">
        <f>IF(OR(Z$122="",$I156=""),"",'I. Stream &amp; Compound Data'!AX211/$J156*(1-Z$127)*(1-Z$123)*$K156)</f>
        <v/>
      </c>
      <c r="AA156" s="651" t="str">
        <f>IF(OR(AA$122="",$I156=""),"",'I. Stream &amp; Compound Data'!BA211/$J156*(1-AA$127)*(1-AA$123)*$K156)</f>
        <v/>
      </c>
      <c r="AB156" s="651" t="str">
        <f>IF(OR(AB$122="",$I156=""),"",'I. Stream &amp; Compound Data'!BD211/$J156*(1-AB$127)*(1-AB$123)*$K156)</f>
        <v/>
      </c>
      <c r="AC156" s="651" t="str">
        <f>IF(OR(AC$122="",$I156=""),"",'I. Stream &amp; Compound Data'!BG211/$J156*(1-AC$127)*(1-AC$123)*$K156)</f>
        <v/>
      </c>
      <c r="AD156" s="651" t="str">
        <f>IF(OR(AD$122="",$I156=""),"",'I. Stream &amp; Compound Data'!BJ211/$J156*(1-AD$127)*(1-AD$123)*$K156)</f>
        <v/>
      </c>
      <c r="AE156" s="651" t="str">
        <f>IF(OR(AE$122="",$I156=""),"",'I. Stream &amp; Compound Data'!BM211/$J156*(1-AE$127)*(1-AE$123)*$K156)</f>
        <v/>
      </c>
      <c r="AF156" s="651" t="str">
        <f>IF(OR(AF$122="",$I156=""),"",'I. Stream &amp; Compound Data'!BP211/$J156*(1-AF$127)*(1-AF$123)*$K156)</f>
        <v/>
      </c>
      <c r="AG156" s="651" t="str">
        <f>IF(OR(AG$122="",$I156=""),"",'I. Stream &amp; Compound Data'!BS211/$J156*(1-AG$127)*(1-AG$123)*$K156)</f>
        <v/>
      </c>
      <c r="AH156" s="651" t="str">
        <f>IF(OR(AH$122="",$I156=""),"",'I. Stream &amp; Compound Data'!BV211/$J156*(1-AH$127)*(1-AH$123)*$K156)</f>
        <v/>
      </c>
      <c r="AI156" s="651" t="str">
        <f>IF(OR(AI$122="",$I156=""),"",'I. Stream &amp; Compound Data'!BY211/$J156*(1-AI$127)*(1-AI$123)*$K156)</f>
        <v/>
      </c>
      <c r="AJ156" s="651" t="str">
        <f>IF(OR(AJ$122="",$I156=""),"",'I. Stream &amp; Compound Data'!CB211/$J156*(1-AJ$127)*(1-AJ$123)*$K156)</f>
        <v/>
      </c>
      <c r="AK156" s="651" t="str">
        <f>IF(OR(AK$122="",$I156=""),"",'I. Stream &amp; Compound Data'!CE211/$J156*(1-AK$127)*(1-AK$123)*$K156)</f>
        <v/>
      </c>
      <c r="AL156" s="651" t="str">
        <f>IF(OR(AL$122="",$I156=""),"",'I. Stream &amp; Compound Data'!CH211/$J156*(1-AL$127)*(1-AL$123)*$K156)</f>
        <v/>
      </c>
      <c r="AM156" s="651" t="str">
        <f>IF(OR(AM$122="",$I156=""),"",'I. Stream &amp; Compound Data'!CK211/$J156*(1-AM$127)*(1-AM$123)*$K156)</f>
        <v/>
      </c>
      <c r="AN156" s="651" t="str">
        <f>IF(OR(AN$122="",$I156=""),"",'I. Stream &amp; Compound Data'!CN211/$J156*(1-AN$127)*(1-AN$123)*$K156)</f>
        <v/>
      </c>
      <c r="AO156" s="651" t="str">
        <f>IF(OR(AO$122="",$I156=""),"",'I. Stream &amp; Compound Data'!CQ211/$J156*(1-AO$127)*(1-AO$123)*$K156)</f>
        <v/>
      </c>
      <c r="AP156" s="651" t="str">
        <f>IF(OR(AP$122="",$I156=""),"",'I. Stream &amp; Compound Data'!CT211/$J156*(1-AP$127)*(1-AP$123)*$K156)</f>
        <v/>
      </c>
      <c r="AQ156" s="651" t="str">
        <f>IF(OR(AQ$122="",$I156=""),"",'I. Stream &amp; Compound Data'!CW211/$J156*(1-AQ$127)*(1-AQ$123)*$K156)</f>
        <v/>
      </c>
      <c r="AR156" s="651" t="str">
        <f>IF(OR(AR$122="",$I156=""),"",'I. Stream &amp; Compound Data'!CZ211/$J156*(1-AR$127)*(1-AR$123)*$K156)</f>
        <v/>
      </c>
      <c r="AS156" s="651" t="str">
        <f>IF(OR(AS$122="",$I156=""),"",'I. Stream &amp; Compound Data'!DC211/$J156*(1-AS$127)*(1-AS$123)*$K156)</f>
        <v/>
      </c>
      <c r="AT156" s="651" t="str">
        <f>IF(OR(AT$122="",$I156=""),"",'I. Stream &amp; Compound Data'!DF211/$J156*(1-AT$127)*(1-AT$123)*$K156)</f>
        <v/>
      </c>
      <c r="AU156" s="651" t="str">
        <f>IF(OR(AU$122="",$I156=""),"",'I. Stream &amp; Compound Data'!DI211/$J156*(1-AU$127)*(1-AU$123)*$K156)</f>
        <v/>
      </c>
      <c r="AV156" s="651" t="str">
        <f>IF(OR(AV$122="",$I156=""),"",'I. Stream &amp; Compound Data'!DL211/$J156*(1-AV$127)*(1-AV$123)*$K156)</f>
        <v/>
      </c>
      <c r="AW156" s="651" t="str">
        <f>IF(OR(AW$122="",$I156=""),"",'I. Stream &amp; Compound Data'!DO211/$J156*(1-AW$127)*(1-AW$123)*$K156)</f>
        <v/>
      </c>
      <c r="AX156" s="651" t="str">
        <f>IF(OR(AX$122="",$I156=""),"",'I. Stream &amp; Compound Data'!DR211/$J156*(1-AX$127)*(1-AX$123)*$K156)</f>
        <v/>
      </c>
      <c r="AY156" s="667" t="str">
        <f>IF(OR(AY$122="",$I156=""),"",'I. Stream &amp; Compound Data'!DU211/$J156*(1-AY$127)*(1-AY$123)*$K156)</f>
        <v/>
      </c>
      <c r="AZ156" s="336"/>
      <c r="BA156" s="632"/>
      <c r="BB156" s="632"/>
      <c r="BC156" s="632"/>
      <c r="BD156" s="632"/>
      <c r="BE156" s="632"/>
      <c r="BF156" s="632"/>
      <c r="BG156" s="632"/>
      <c r="BH156" s="632"/>
      <c r="BI156" s="632"/>
      <c r="BJ156" s="632"/>
      <c r="BK156" s="632"/>
      <c r="BL156" s="632"/>
      <c r="BM156" s="632"/>
      <c r="BN156" s="632"/>
      <c r="BO156" s="632"/>
      <c r="BP156" s="632"/>
      <c r="BQ156" s="632"/>
      <c r="BR156" s="632"/>
      <c r="BS156" s="632"/>
      <c r="BT156" s="632"/>
      <c r="BU156" s="632"/>
      <c r="BV156" s="632"/>
      <c r="BW156" s="632"/>
      <c r="BX156" s="632"/>
      <c r="BY156" s="632"/>
      <c r="BZ156" s="632"/>
      <c r="CA156" s="632"/>
      <c r="CB156" s="632"/>
      <c r="CC156" s="632"/>
      <c r="CD156" s="632"/>
      <c r="CE156" s="632"/>
      <c r="CF156" s="632"/>
      <c r="CG156" s="632"/>
      <c r="CH156" s="632"/>
      <c r="CI156" s="632"/>
      <c r="CJ156" s="632"/>
      <c r="CK156" s="632"/>
      <c r="CL156" s="632"/>
      <c r="CM156" s="632"/>
      <c r="CN156" s="631"/>
    </row>
    <row r="157" spans="2:92" ht="15.75" x14ac:dyDescent="0.2">
      <c r="B157" s="610"/>
      <c r="C157" s="336"/>
      <c r="D157" s="611"/>
      <c r="E157" s="612"/>
      <c r="F157" s="612"/>
      <c r="G157" s="612"/>
      <c r="H157" s="618">
        <f>'I. Stream &amp; Compound Data'!F288</f>
        <v>27</v>
      </c>
      <c r="I157" s="677" t="str">
        <f>IF('I. Stream &amp; Compound Data'!G288&lt;&gt;"",'I. Stream &amp; Compound Data'!G288,"")</f>
        <v/>
      </c>
      <c r="J157" s="676" t="str">
        <f>IF('I. Stream &amp; Compound Data'!BH288="","",'I. Stream &amp; Compound Data'!BH288)</f>
        <v/>
      </c>
      <c r="K157" s="652" t="str">
        <f>IF('I. Stream &amp; Compound Data'!G288="","",IF(OR('I. Stream &amp; Compound Data'!U288=1,'I. Stream &amp; Compound Data'!V288=1,'I. Stream &amp; Compound Data'!AY288&lt;25),0,1))</f>
        <v/>
      </c>
      <c r="L157" s="651" t="str">
        <f>IF(OR(I157="",L$122=""),"",'I. Stream &amp; Compound Data'!H212/$J157*(1-L$127)*(1-L$123)*$K157)</f>
        <v/>
      </c>
      <c r="M157" s="651" t="str">
        <f>IF(OR(J157="",M$122=""),"",'I. Stream &amp; Compound Data'!K212/$J157*(1-M$127)*(1-M$123)*$K157)</f>
        <v/>
      </c>
      <c r="N157" s="651" t="str">
        <f>IF(OR(K157="",N$122=""),"",'I. Stream &amp; Compound Data'!N212/$J157*(1-N$127)*(1-N$123)*$K157)</f>
        <v/>
      </c>
      <c r="O157" s="651" t="str">
        <f>IF(OR(L157="",O$122=""),"",'I. Stream &amp; Compound Data'!Q212/$J157*(1-O$127)*(1-O$123)*$K157)</f>
        <v/>
      </c>
      <c r="P157" s="651" t="str">
        <f>IF(OR(M157="",P$122=""),"",'I. Stream &amp; Compound Data'!T212/$J157*(1-P$127)*(1-P$123)*$K157)</f>
        <v/>
      </c>
      <c r="Q157" s="651" t="str">
        <f>IF(OR(N157="",Q$122=""),"",'I. Stream &amp; Compound Data'!W212/$J157*(1-Q$127)*(1-Q$123)*$K157)</f>
        <v/>
      </c>
      <c r="R157" s="651" t="str">
        <f>IF(OR(O157="",R$122=""),"",'I. Stream &amp; Compound Data'!Z212/$J157*(1-R$127)*(1-R$123)*$K157)</f>
        <v/>
      </c>
      <c r="S157" s="651" t="str">
        <f>IF(OR(P157="",S$122=""),"",'I. Stream &amp; Compound Data'!AC212/$J157*(1-S$127)*(1-S$123)*$K157)</f>
        <v/>
      </c>
      <c r="T157" s="651" t="str">
        <f>IF(OR(Q157="",T$122=""),"",'I. Stream &amp; Compound Data'!AF212/$J157*(1-T$127)*(1-T$123)*$K157)</f>
        <v/>
      </c>
      <c r="U157" s="651" t="str">
        <f>IF(OR(R157="",U$122=""),"",'I. Stream &amp; Compound Data'!AI212/$J157*(1-U$127)*(1-U$123)*$K157)</f>
        <v/>
      </c>
      <c r="V157" s="651" t="str">
        <f>IF(OR(V$122="",$I157=""),"",'I. Stream &amp; Compound Data'!AL212/$J157*(1-V$127)*(1-V$123)*$K157)</f>
        <v/>
      </c>
      <c r="W157" s="651" t="str">
        <f>IF(OR(W$122="",$I157=""),"",'I. Stream &amp; Compound Data'!AO212/$J157*(1-W$127)*(1-W$123)*$K157)</f>
        <v/>
      </c>
      <c r="X157" s="651" t="str">
        <f>IF(OR(X$122="",$I157=""),"",'I. Stream &amp; Compound Data'!AR212/$J157*(1-X$127)*(1-X$123)*$K157)</f>
        <v/>
      </c>
      <c r="Y157" s="651" t="str">
        <f>IF(OR(Y$122="",$I157=""),"",'I. Stream &amp; Compound Data'!AU212/$J157*(1-Y$127)*(1-Y$123)*$K157)</f>
        <v/>
      </c>
      <c r="Z157" s="651" t="str">
        <f>IF(OR(Z$122="",$I157=""),"",'I. Stream &amp; Compound Data'!AX212/$J157*(1-Z$127)*(1-Z$123)*$K157)</f>
        <v/>
      </c>
      <c r="AA157" s="651" t="str">
        <f>IF(OR(AA$122="",$I157=""),"",'I. Stream &amp; Compound Data'!BA212/$J157*(1-AA$127)*(1-AA$123)*$K157)</f>
        <v/>
      </c>
      <c r="AB157" s="651" t="str">
        <f>IF(OR(AB$122="",$I157=""),"",'I. Stream &amp; Compound Data'!BD212/$J157*(1-AB$127)*(1-AB$123)*$K157)</f>
        <v/>
      </c>
      <c r="AC157" s="651" t="str">
        <f>IF(OR(AC$122="",$I157=""),"",'I. Stream &amp; Compound Data'!BG212/$J157*(1-AC$127)*(1-AC$123)*$K157)</f>
        <v/>
      </c>
      <c r="AD157" s="651" t="str">
        <f>IF(OR(AD$122="",$I157=""),"",'I. Stream &amp; Compound Data'!BJ212/$J157*(1-AD$127)*(1-AD$123)*$K157)</f>
        <v/>
      </c>
      <c r="AE157" s="651" t="str">
        <f>IF(OR(AE$122="",$I157=""),"",'I. Stream &amp; Compound Data'!BM212/$J157*(1-AE$127)*(1-AE$123)*$K157)</f>
        <v/>
      </c>
      <c r="AF157" s="651" t="str">
        <f>IF(OR(AF$122="",$I157=""),"",'I. Stream &amp; Compound Data'!BP212/$J157*(1-AF$127)*(1-AF$123)*$K157)</f>
        <v/>
      </c>
      <c r="AG157" s="651" t="str">
        <f>IF(OR(AG$122="",$I157=""),"",'I. Stream &amp; Compound Data'!BS212/$J157*(1-AG$127)*(1-AG$123)*$K157)</f>
        <v/>
      </c>
      <c r="AH157" s="651" t="str">
        <f>IF(OR(AH$122="",$I157=""),"",'I. Stream &amp; Compound Data'!BV212/$J157*(1-AH$127)*(1-AH$123)*$K157)</f>
        <v/>
      </c>
      <c r="AI157" s="651" t="str">
        <f>IF(OR(AI$122="",$I157=""),"",'I. Stream &amp; Compound Data'!BY212/$J157*(1-AI$127)*(1-AI$123)*$K157)</f>
        <v/>
      </c>
      <c r="AJ157" s="651" t="str">
        <f>IF(OR(AJ$122="",$I157=""),"",'I. Stream &amp; Compound Data'!CB212/$J157*(1-AJ$127)*(1-AJ$123)*$K157)</f>
        <v/>
      </c>
      <c r="AK157" s="651" t="str">
        <f>IF(OR(AK$122="",$I157=""),"",'I. Stream &amp; Compound Data'!CE212/$J157*(1-AK$127)*(1-AK$123)*$K157)</f>
        <v/>
      </c>
      <c r="AL157" s="651" t="str">
        <f>IF(OR(AL$122="",$I157=""),"",'I. Stream &amp; Compound Data'!CH212/$J157*(1-AL$127)*(1-AL$123)*$K157)</f>
        <v/>
      </c>
      <c r="AM157" s="651" t="str">
        <f>IF(OR(AM$122="",$I157=""),"",'I. Stream &amp; Compound Data'!CK212/$J157*(1-AM$127)*(1-AM$123)*$K157)</f>
        <v/>
      </c>
      <c r="AN157" s="651" t="str">
        <f>IF(OR(AN$122="",$I157=""),"",'I. Stream &amp; Compound Data'!CN212/$J157*(1-AN$127)*(1-AN$123)*$K157)</f>
        <v/>
      </c>
      <c r="AO157" s="651" t="str">
        <f>IF(OR(AO$122="",$I157=""),"",'I. Stream &amp; Compound Data'!CQ212/$J157*(1-AO$127)*(1-AO$123)*$K157)</f>
        <v/>
      </c>
      <c r="AP157" s="651" t="str">
        <f>IF(OR(AP$122="",$I157=""),"",'I. Stream &amp; Compound Data'!CT212/$J157*(1-AP$127)*(1-AP$123)*$K157)</f>
        <v/>
      </c>
      <c r="AQ157" s="651" t="str">
        <f>IF(OR(AQ$122="",$I157=""),"",'I. Stream &amp; Compound Data'!CW212/$J157*(1-AQ$127)*(1-AQ$123)*$K157)</f>
        <v/>
      </c>
      <c r="AR157" s="651" t="str">
        <f>IF(OR(AR$122="",$I157=""),"",'I. Stream &amp; Compound Data'!CZ212/$J157*(1-AR$127)*(1-AR$123)*$K157)</f>
        <v/>
      </c>
      <c r="AS157" s="651" t="str">
        <f>IF(OR(AS$122="",$I157=""),"",'I. Stream &amp; Compound Data'!DC212/$J157*(1-AS$127)*(1-AS$123)*$K157)</f>
        <v/>
      </c>
      <c r="AT157" s="651" t="str">
        <f>IF(OR(AT$122="",$I157=""),"",'I. Stream &amp; Compound Data'!DF212/$J157*(1-AT$127)*(1-AT$123)*$K157)</f>
        <v/>
      </c>
      <c r="AU157" s="651" t="str">
        <f>IF(OR(AU$122="",$I157=""),"",'I. Stream &amp; Compound Data'!DI212/$J157*(1-AU$127)*(1-AU$123)*$K157)</f>
        <v/>
      </c>
      <c r="AV157" s="651" t="str">
        <f>IF(OR(AV$122="",$I157=""),"",'I. Stream &amp; Compound Data'!DL212/$J157*(1-AV$127)*(1-AV$123)*$K157)</f>
        <v/>
      </c>
      <c r="AW157" s="651" t="str">
        <f>IF(OR(AW$122="",$I157=""),"",'I. Stream &amp; Compound Data'!DO212/$J157*(1-AW$127)*(1-AW$123)*$K157)</f>
        <v/>
      </c>
      <c r="AX157" s="651" t="str">
        <f>IF(OR(AX$122="",$I157=""),"",'I. Stream &amp; Compound Data'!DR212/$J157*(1-AX$127)*(1-AX$123)*$K157)</f>
        <v/>
      </c>
      <c r="AY157" s="667" t="str">
        <f>IF(OR(AY$122="",$I157=""),"",'I. Stream &amp; Compound Data'!DU212/$J157*(1-AY$127)*(1-AY$123)*$K157)</f>
        <v/>
      </c>
      <c r="AZ157" s="336"/>
      <c r="BA157" s="632"/>
      <c r="BB157" s="632"/>
      <c r="BC157" s="632"/>
      <c r="BD157" s="632"/>
      <c r="BE157" s="632"/>
      <c r="BF157" s="632"/>
      <c r="BG157" s="632"/>
      <c r="BH157" s="632"/>
      <c r="BI157" s="632"/>
      <c r="BJ157" s="632"/>
      <c r="BK157" s="632"/>
      <c r="BL157" s="632"/>
      <c r="BM157" s="632"/>
      <c r="BN157" s="632"/>
      <c r="BO157" s="632"/>
      <c r="BP157" s="632"/>
      <c r="BQ157" s="632"/>
      <c r="BR157" s="632"/>
      <c r="BS157" s="632"/>
      <c r="BT157" s="632"/>
      <c r="BU157" s="632"/>
      <c r="BV157" s="632"/>
      <c r="BW157" s="632"/>
      <c r="BX157" s="632"/>
      <c r="BY157" s="632"/>
      <c r="BZ157" s="632"/>
      <c r="CA157" s="632"/>
      <c r="CB157" s="632"/>
      <c r="CC157" s="632"/>
      <c r="CD157" s="632"/>
      <c r="CE157" s="632"/>
      <c r="CF157" s="632"/>
      <c r="CG157" s="632"/>
      <c r="CH157" s="632"/>
      <c r="CI157" s="632"/>
      <c r="CJ157" s="632"/>
      <c r="CK157" s="632"/>
      <c r="CL157" s="632"/>
      <c r="CM157" s="632"/>
      <c r="CN157" s="631"/>
    </row>
    <row r="158" spans="2:92" ht="15.75" x14ac:dyDescent="0.2">
      <c r="B158" s="610"/>
      <c r="C158" s="336"/>
      <c r="D158" s="611"/>
      <c r="E158" s="612"/>
      <c r="F158" s="612"/>
      <c r="G158" s="612"/>
      <c r="H158" s="618">
        <f>'I. Stream &amp; Compound Data'!F289</f>
        <v>28</v>
      </c>
      <c r="I158" s="677" t="str">
        <f>IF('I. Stream &amp; Compound Data'!G289&lt;&gt;"",'I. Stream &amp; Compound Data'!G289,"")</f>
        <v/>
      </c>
      <c r="J158" s="676" t="str">
        <f>IF('I. Stream &amp; Compound Data'!BH289="","",'I. Stream &amp; Compound Data'!BH289)</f>
        <v/>
      </c>
      <c r="K158" s="652" t="str">
        <f>IF('I. Stream &amp; Compound Data'!G289="","",IF(OR('I. Stream &amp; Compound Data'!U289=1,'I. Stream &amp; Compound Data'!V289=1,'I. Stream &amp; Compound Data'!AY289&lt;25),0,1))</f>
        <v/>
      </c>
      <c r="L158" s="651" t="str">
        <f>IF(OR(I158="",L$122=""),"",'I. Stream &amp; Compound Data'!H213/$J158*(1-L$127)*(1-L$123)*$K158)</f>
        <v/>
      </c>
      <c r="M158" s="651" t="str">
        <f>IF(OR(J158="",M$122=""),"",'I. Stream &amp; Compound Data'!K213/$J158*(1-M$127)*(1-M$123)*$K158)</f>
        <v/>
      </c>
      <c r="N158" s="651" t="str">
        <f>IF(OR(K158="",N$122=""),"",'I. Stream &amp; Compound Data'!N213/$J158*(1-N$127)*(1-N$123)*$K158)</f>
        <v/>
      </c>
      <c r="O158" s="651" t="str">
        <f>IF(OR(L158="",O$122=""),"",'I. Stream &amp; Compound Data'!Q213/$J158*(1-O$127)*(1-O$123)*$K158)</f>
        <v/>
      </c>
      <c r="P158" s="651" t="str">
        <f>IF(OR(M158="",P$122=""),"",'I. Stream &amp; Compound Data'!T213/$J158*(1-P$127)*(1-P$123)*$K158)</f>
        <v/>
      </c>
      <c r="Q158" s="651" t="str">
        <f>IF(OR(N158="",Q$122=""),"",'I. Stream &amp; Compound Data'!W213/$J158*(1-Q$127)*(1-Q$123)*$K158)</f>
        <v/>
      </c>
      <c r="R158" s="651" t="str">
        <f>IF(OR(O158="",R$122=""),"",'I. Stream &amp; Compound Data'!Z213/$J158*(1-R$127)*(1-R$123)*$K158)</f>
        <v/>
      </c>
      <c r="S158" s="651" t="str">
        <f>IF(OR(P158="",S$122=""),"",'I. Stream &amp; Compound Data'!AC213/$J158*(1-S$127)*(1-S$123)*$K158)</f>
        <v/>
      </c>
      <c r="T158" s="651" t="str">
        <f>IF(OR(Q158="",T$122=""),"",'I. Stream &amp; Compound Data'!AF213/$J158*(1-T$127)*(1-T$123)*$K158)</f>
        <v/>
      </c>
      <c r="U158" s="651" t="str">
        <f>IF(OR(R158="",U$122=""),"",'I. Stream &amp; Compound Data'!AI213/$J158*(1-U$127)*(1-U$123)*$K158)</f>
        <v/>
      </c>
      <c r="V158" s="651" t="str">
        <f>IF(OR(V$122="",$I158=""),"",'I. Stream &amp; Compound Data'!AL213/$J158*(1-V$127)*(1-V$123)*$K158)</f>
        <v/>
      </c>
      <c r="W158" s="651" t="str">
        <f>IF(OR(W$122="",$I158=""),"",'I. Stream &amp; Compound Data'!AO213/$J158*(1-W$127)*(1-W$123)*$K158)</f>
        <v/>
      </c>
      <c r="X158" s="651" t="str">
        <f>IF(OR(X$122="",$I158=""),"",'I. Stream &amp; Compound Data'!AR213/$J158*(1-X$127)*(1-X$123)*$K158)</f>
        <v/>
      </c>
      <c r="Y158" s="651" t="str">
        <f>IF(OR(Y$122="",$I158=""),"",'I. Stream &amp; Compound Data'!AU213/$J158*(1-Y$127)*(1-Y$123)*$K158)</f>
        <v/>
      </c>
      <c r="Z158" s="651" t="str">
        <f>IF(OR(Z$122="",$I158=""),"",'I. Stream &amp; Compound Data'!AX213/$J158*(1-Z$127)*(1-Z$123)*$K158)</f>
        <v/>
      </c>
      <c r="AA158" s="651" t="str">
        <f>IF(OR(AA$122="",$I158=""),"",'I. Stream &amp; Compound Data'!BA213/$J158*(1-AA$127)*(1-AA$123)*$K158)</f>
        <v/>
      </c>
      <c r="AB158" s="651" t="str">
        <f>IF(OR(AB$122="",$I158=""),"",'I. Stream &amp; Compound Data'!BD213/$J158*(1-AB$127)*(1-AB$123)*$K158)</f>
        <v/>
      </c>
      <c r="AC158" s="651" t="str">
        <f>IF(OR(AC$122="",$I158=""),"",'I. Stream &amp; Compound Data'!BG213/$J158*(1-AC$127)*(1-AC$123)*$K158)</f>
        <v/>
      </c>
      <c r="AD158" s="651" t="str">
        <f>IF(OR(AD$122="",$I158=""),"",'I. Stream &amp; Compound Data'!BJ213/$J158*(1-AD$127)*(1-AD$123)*$K158)</f>
        <v/>
      </c>
      <c r="AE158" s="651" t="str">
        <f>IF(OR(AE$122="",$I158=""),"",'I. Stream &amp; Compound Data'!BM213/$J158*(1-AE$127)*(1-AE$123)*$K158)</f>
        <v/>
      </c>
      <c r="AF158" s="651" t="str">
        <f>IF(OR(AF$122="",$I158=""),"",'I. Stream &amp; Compound Data'!BP213/$J158*(1-AF$127)*(1-AF$123)*$K158)</f>
        <v/>
      </c>
      <c r="AG158" s="651" t="str">
        <f>IF(OR(AG$122="",$I158=""),"",'I. Stream &amp; Compound Data'!BS213/$J158*(1-AG$127)*(1-AG$123)*$K158)</f>
        <v/>
      </c>
      <c r="AH158" s="651" t="str">
        <f>IF(OR(AH$122="",$I158=""),"",'I. Stream &amp; Compound Data'!BV213/$J158*(1-AH$127)*(1-AH$123)*$K158)</f>
        <v/>
      </c>
      <c r="AI158" s="651" t="str">
        <f>IF(OR(AI$122="",$I158=""),"",'I. Stream &amp; Compound Data'!BY213/$J158*(1-AI$127)*(1-AI$123)*$K158)</f>
        <v/>
      </c>
      <c r="AJ158" s="651" t="str">
        <f>IF(OR(AJ$122="",$I158=""),"",'I. Stream &amp; Compound Data'!CB213/$J158*(1-AJ$127)*(1-AJ$123)*$K158)</f>
        <v/>
      </c>
      <c r="AK158" s="651" t="str">
        <f>IF(OR(AK$122="",$I158=""),"",'I. Stream &amp; Compound Data'!CE213/$J158*(1-AK$127)*(1-AK$123)*$K158)</f>
        <v/>
      </c>
      <c r="AL158" s="651" t="str">
        <f>IF(OR(AL$122="",$I158=""),"",'I. Stream &amp; Compound Data'!CH213/$J158*(1-AL$127)*(1-AL$123)*$K158)</f>
        <v/>
      </c>
      <c r="AM158" s="651" t="str">
        <f>IF(OR(AM$122="",$I158=""),"",'I. Stream &amp; Compound Data'!CK213/$J158*(1-AM$127)*(1-AM$123)*$K158)</f>
        <v/>
      </c>
      <c r="AN158" s="651" t="str">
        <f>IF(OR(AN$122="",$I158=""),"",'I. Stream &amp; Compound Data'!CN213/$J158*(1-AN$127)*(1-AN$123)*$K158)</f>
        <v/>
      </c>
      <c r="AO158" s="651" t="str">
        <f>IF(OR(AO$122="",$I158=""),"",'I. Stream &amp; Compound Data'!CQ213/$J158*(1-AO$127)*(1-AO$123)*$K158)</f>
        <v/>
      </c>
      <c r="AP158" s="651" t="str">
        <f>IF(OR(AP$122="",$I158=""),"",'I. Stream &amp; Compound Data'!CT213/$J158*(1-AP$127)*(1-AP$123)*$K158)</f>
        <v/>
      </c>
      <c r="AQ158" s="651" t="str">
        <f>IF(OR(AQ$122="",$I158=""),"",'I. Stream &amp; Compound Data'!CW213/$J158*(1-AQ$127)*(1-AQ$123)*$K158)</f>
        <v/>
      </c>
      <c r="AR158" s="651" t="str">
        <f>IF(OR(AR$122="",$I158=""),"",'I. Stream &amp; Compound Data'!CZ213/$J158*(1-AR$127)*(1-AR$123)*$K158)</f>
        <v/>
      </c>
      <c r="AS158" s="651" t="str">
        <f>IF(OR(AS$122="",$I158=""),"",'I. Stream &amp; Compound Data'!DC213/$J158*(1-AS$127)*(1-AS$123)*$K158)</f>
        <v/>
      </c>
      <c r="AT158" s="651" t="str">
        <f>IF(OR(AT$122="",$I158=""),"",'I. Stream &amp; Compound Data'!DF213/$J158*(1-AT$127)*(1-AT$123)*$K158)</f>
        <v/>
      </c>
      <c r="AU158" s="651" t="str">
        <f>IF(OR(AU$122="",$I158=""),"",'I. Stream &amp; Compound Data'!DI213/$J158*(1-AU$127)*(1-AU$123)*$K158)</f>
        <v/>
      </c>
      <c r="AV158" s="651" t="str">
        <f>IF(OR(AV$122="",$I158=""),"",'I. Stream &amp; Compound Data'!DL213/$J158*(1-AV$127)*(1-AV$123)*$K158)</f>
        <v/>
      </c>
      <c r="AW158" s="651" t="str">
        <f>IF(OR(AW$122="",$I158=""),"",'I. Stream &amp; Compound Data'!DO213/$J158*(1-AW$127)*(1-AW$123)*$K158)</f>
        <v/>
      </c>
      <c r="AX158" s="651" t="str">
        <f>IF(OR(AX$122="",$I158=""),"",'I. Stream &amp; Compound Data'!DR213/$J158*(1-AX$127)*(1-AX$123)*$K158)</f>
        <v/>
      </c>
      <c r="AY158" s="667" t="str">
        <f>IF(OR(AY$122="",$I158=""),"",'I. Stream &amp; Compound Data'!DU213/$J158*(1-AY$127)*(1-AY$123)*$K158)</f>
        <v/>
      </c>
      <c r="AZ158" s="336"/>
      <c r="BA158" s="632"/>
      <c r="BB158" s="632"/>
      <c r="BC158" s="632"/>
      <c r="BD158" s="632"/>
      <c r="BE158" s="632"/>
      <c r="BF158" s="632"/>
      <c r="BG158" s="632"/>
      <c r="BH158" s="632"/>
      <c r="BI158" s="632"/>
      <c r="BJ158" s="632"/>
      <c r="BK158" s="632"/>
      <c r="BL158" s="632"/>
      <c r="BM158" s="632"/>
      <c r="BN158" s="632"/>
      <c r="BO158" s="632"/>
      <c r="BP158" s="632"/>
      <c r="BQ158" s="632"/>
      <c r="BR158" s="632"/>
      <c r="BS158" s="632"/>
      <c r="BT158" s="632"/>
      <c r="BU158" s="632"/>
      <c r="BV158" s="632"/>
      <c r="BW158" s="632"/>
      <c r="BX158" s="632"/>
      <c r="BY158" s="632"/>
      <c r="BZ158" s="632"/>
      <c r="CA158" s="632"/>
      <c r="CB158" s="632"/>
      <c r="CC158" s="632"/>
      <c r="CD158" s="632"/>
      <c r="CE158" s="632"/>
      <c r="CF158" s="632"/>
      <c r="CG158" s="632"/>
      <c r="CH158" s="632"/>
      <c r="CI158" s="632"/>
      <c r="CJ158" s="632"/>
      <c r="CK158" s="632"/>
      <c r="CL158" s="632"/>
      <c r="CM158" s="632"/>
      <c r="CN158" s="631"/>
    </row>
    <row r="159" spans="2:92" ht="15.75" x14ac:dyDescent="0.2">
      <c r="B159" s="610"/>
      <c r="C159" s="336"/>
      <c r="D159" s="611"/>
      <c r="E159" s="612"/>
      <c r="F159" s="612"/>
      <c r="G159" s="612"/>
      <c r="H159" s="618">
        <f>'I. Stream &amp; Compound Data'!F290</f>
        <v>29</v>
      </c>
      <c r="I159" s="677" t="str">
        <f>IF('I. Stream &amp; Compound Data'!G290&lt;&gt;"",'I. Stream &amp; Compound Data'!G290,"")</f>
        <v/>
      </c>
      <c r="J159" s="676" t="str">
        <f>IF('I. Stream &amp; Compound Data'!BH290="","",'I. Stream &amp; Compound Data'!BH290)</f>
        <v/>
      </c>
      <c r="K159" s="652" t="str">
        <f>IF('I. Stream &amp; Compound Data'!G290="","",IF(OR('I. Stream &amp; Compound Data'!U290=1,'I. Stream &amp; Compound Data'!V290=1,'I. Stream &amp; Compound Data'!AY290&lt;25),0,1))</f>
        <v/>
      </c>
      <c r="L159" s="651" t="str">
        <f>IF(OR(I159="",L$122=""),"",'I. Stream &amp; Compound Data'!H214/$J159*(1-L$127)*(1-L$123)*$K159)</f>
        <v/>
      </c>
      <c r="M159" s="651" t="str">
        <f>IF(OR(J159="",M$122=""),"",'I. Stream &amp; Compound Data'!K214/$J159*(1-M$127)*(1-M$123)*$K159)</f>
        <v/>
      </c>
      <c r="N159" s="651" t="str">
        <f>IF(OR(K159="",N$122=""),"",'I. Stream &amp; Compound Data'!N214/$J159*(1-N$127)*(1-N$123)*$K159)</f>
        <v/>
      </c>
      <c r="O159" s="651" t="str">
        <f>IF(OR(L159="",O$122=""),"",'I. Stream &amp; Compound Data'!Q214/$J159*(1-O$127)*(1-O$123)*$K159)</f>
        <v/>
      </c>
      <c r="P159" s="651" t="str">
        <f>IF(OR(M159="",P$122=""),"",'I. Stream &amp; Compound Data'!T214/$J159*(1-P$127)*(1-P$123)*$K159)</f>
        <v/>
      </c>
      <c r="Q159" s="651" t="str">
        <f>IF(OR(N159="",Q$122=""),"",'I. Stream &amp; Compound Data'!W214/$J159*(1-Q$127)*(1-Q$123)*$K159)</f>
        <v/>
      </c>
      <c r="R159" s="651" t="str">
        <f>IF(OR(O159="",R$122=""),"",'I. Stream &amp; Compound Data'!Z214/$J159*(1-R$127)*(1-R$123)*$K159)</f>
        <v/>
      </c>
      <c r="S159" s="651" t="str">
        <f>IF(OR(P159="",S$122=""),"",'I. Stream &amp; Compound Data'!AC214/$J159*(1-S$127)*(1-S$123)*$K159)</f>
        <v/>
      </c>
      <c r="T159" s="651" t="str">
        <f>IF(OR(Q159="",T$122=""),"",'I. Stream &amp; Compound Data'!AF214/$J159*(1-T$127)*(1-T$123)*$K159)</f>
        <v/>
      </c>
      <c r="U159" s="651" t="str">
        <f>IF(OR(R159="",U$122=""),"",'I. Stream &amp; Compound Data'!AI214/$J159*(1-U$127)*(1-U$123)*$K159)</f>
        <v/>
      </c>
      <c r="V159" s="651" t="str">
        <f>IF(OR(V$122="",$I159=""),"",'I. Stream &amp; Compound Data'!AL214/$J159*(1-V$127)*(1-V$123)*$K159)</f>
        <v/>
      </c>
      <c r="W159" s="651" t="str">
        <f>IF(OR(W$122="",$I159=""),"",'I. Stream &amp; Compound Data'!AO214/$J159*(1-W$127)*(1-W$123)*$K159)</f>
        <v/>
      </c>
      <c r="X159" s="651" t="str">
        <f>IF(OR(X$122="",$I159=""),"",'I. Stream &amp; Compound Data'!AR214/$J159*(1-X$127)*(1-X$123)*$K159)</f>
        <v/>
      </c>
      <c r="Y159" s="651" t="str">
        <f>IF(OR(Y$122="",$I159=""),"",'I. Stream &amp; Compound Data'!AU214/$J159*(1-Y$127)*(1-Y$123)*$K159)</f>
        <v/>
      </c>
      <c r="Z159" s="651" t="str">
        <f>IF(OR(Z$122="",$I159=""),"",'I. Stream &amp; Compound Data'!AX214/$J159*(1-Z$127)*(1-Z$123)*$K159)</f>
        <v/>
      </c>
      <c r="AA159" s="651" t="str">
        <f>IF(OR(AA$122="",$I159=""),"",'I. Stream &amp; Compound Data'!BA214/$J159*(1-AA$127)*(1-AA$123)*$K159)</f>
        <v/>
      </c>
      <c r="AB159" s="651" t="str">
        <f>IF(OR(AB$122="",$I159=""),"",'I. Stream &amp; Compound Data'!BD214/$J159*(1-AB$127)*(1-AB$123)*$K159)</f>
        <v/>
      </c>
      <c r="AC159" s="651" t="str">
        <f>IF(OR(AC$122="",$I159=""),"",'I. Stream &amp; Compound Data'!BG214/$J159*(1-AC$127)*(1-AC$123)*$K159)</f>
        <v/>
      </c>
      <c r="AD159" s="651" t="str">
        <f>IF(OR(AD$122="",$I159=""),"",'I. Stream &amp; Compound Data'!BJ214/$J159*(1-AD$127)*(1-AD$123)*$K159)</f>
        <v/>
      </c>
      <c r="AE159" s="651" t="str">
        <f>IF(OR(AE$122="",$I159=""),"",'I. Stream &amp; Compound Data'!BM214/$J159*(1-AE$127)*(1-AE$123)*$K159)</f>
        <v/>
      </c>
      <c r="AF159" s="651" t="str">
        <f>IF(OR(AF$122="",$I159=""),"",'I. Stream &amp; Compound Data'!BP214/$J159*(1-AF$127)*(1-AF$123)*$K159)</f>
        <v/>
      </c>
      <c r="AG159" s="651" t="str">
        <f>IF(OR(AG$122="",$I159=""),"",'I. Stream &amp; Compound Data'!BS214/$J159*(1-AG$127)*(1-AG$123)*$K159)</f>
        <v/>
      </c>
      <c r="AH159" s="651" t="str">
        <f>IF(OR(AH$122="",$I159=""),"",'I. Stream &amp; Compound Data'!BV214/$J159*(1-AH$127)*(1-AH$123)*$K159)</f>
        <v/>
      </c>
      <c r="AI159" s="651" t="str">
        <f>IF(OR(AI$122="",$I159=""),"",'I. Stream &amp; Compound Data'!BY214/$J159*(1-AI$127)*(1-AI$123)*$K159)</f>
        <v/>
      </c>
      <c r="AJ159" s="651" t="str">
        <f>IF(OR(AJ$122="",$I159=""),"",'I. Stream &amp; Compound Data'!CB214/$J159*(1-AJ$127)*(1-AJ$123)*$K159)</f>
        <v/>
      </c>
      <c r="AK159" s="651" t="str">
        <f>IF(OR(AK$122="",$I159=""),"",'I. Stream &amp; Compound Data'!CE214/$J159*(1-AK$127)*(1-AK$123)*$K159)</f>
        <v/>
      </c>
      <c r="AL159" s="651" t="str">
        <f>IF(OR(AL$122="",$I159=""),"",'I. Stream &amp; Compound Data'!CH214/$J159*(1-AL$127)*(1-AL$123)*$K159)</f>
        <v/>
      </c>
      <c r="AM159" s="651" t="str">
        <f>IF(OR(AM$122="",$I159=""),"",'I. Stream &amp; Compound Data'!CK214/$J159*(1-AM$127)*(1-AM$123)*$K159)</f>
        <v/>
      </c>
      <c r="AN159" s="651" t="str">
        <f>IF(OR(AN$122="",$I159=""),"",'I. Stream &amp; Compound Data'!CN214/$J159*(1-AN$127)*(1-AN$123)*$K159)</f>
        <v/>
      </c>
      <c r="AO159" s="651" t="str">
        <f>IF(OR(AO$122="",$I159=""),"",'I. Stream &amp; Compound Data'!CQ214/$J159*(1-AO$127)*(1-AO$123)*$K159)</f>
        <v/>
      </c>
      <c r="AP159" s="651" t="str">
        <f>IF(OR(AP$122="",$I159=""),"",'I. Stream &amp; Compound Data'!CT214/$J159*(1-AP$127)*(1-AP$123)*$K159)</f>
        <v/>
      </c>
      <c r="AQ159" s="651" t="str">
        <f>IF(OR(AQ$122="",$I159=""),"",'I. Stream &amp; Compound Data'!CW214/$J159*(1-AQ$127)*(1-AQ$123)*$K159)</f>
        <v/>
      </c>
      <c r="AR159" s="651" t="str">
        <f>IF(OR(AR$122="",$I159=""),"",'I. Stream &amp; Compound Data'!CZ214/$J159*(1-AR$127)*(1-AR$123)*$K159)</f>
        <v/>
      </c>
      <c r="AS159" s="651" t="str">
        <f>IF(OR(AS$122="",$I159=""),"",'I. Stream &amp; Compound Data'!DC214/$J159*(1-AS$127)*(1-AS$123)*$K159)</f>
        <v/>
      </c>
      <c r="AT159" s="651" t="str">
        <f>IF(OR(AT$122="",$I159=""),"",'I. Stream &amp; Compound Data'!DF214/$J159*(1-AT$127)*(1-AT$123)*$K159)</f>
        <v/>
      </c>
      <c r="AU159" s="651" t="str">
        <f>IF(OR(AU$122="",$I159=""),"",'I. Stream &amp; Compound Data'!DI214/$J159*(1-AU$127)*(1-AU$123)*$K159)</f>
        <v/>
      </c>
      <c r="AV159" s="651" t="str">
        <f>IF(OR(AV$122="",$I159=""),"",'I. Stream &amp; Compound Data'!DL214/$J159*(1-AV$127)*(1-AV$123)*$K159)</f>
        <v/>
      </c>
      <c r="AW159" s="651" t="str">
        <f>IF(OR(AW$122="",$I159=""),"",'I. Stream &amp; Compound Data'!DO214/$J159*(1-AW$127)*(1-AW$123)*$K159)</f>
        <v/>
      </c>
      <c r="AX159" s="651" t="str">
        <f>IF(OR(AX$122="",$I159=""),"",'I. Stream &amp; Compound Data'!DR214/$J159*(1-AX$127)*(1-AX$123)*$K159)</f>
        <v/>
      </c>
      <c r="AY159" s="667" t="str">
        <f>IF(OR(AY$122="",$I159=""),"",'I. Stream &amp; Compound Data'!DU214/$J159*(1-AY$127)*(1-AY$123)*$K159)</f>
        <v/>
      </c>
      <c r="AZ159" s="336"/>
      <c r="BA159" s="632"/>
      <c r="BB159" s="632"/>
      <c r="BC159" s="632"/>
      <c r="BD159" s="632"/>
      <c r="BE159" s="632"/>
      <c r="BF159" s="632"/>
      <c r="BG159" s="632"/>
      <c r="BH159" s="632"/>
      <c r="BI159" s="632"/>
      <c r="BJ159" s="632"/>
      <c r="BK159" s="632"/>
      <c r="BL159" s="632"/>
      <c r="BM159" s="632"/>
      <c r="BN159" s="632"/>
      <c r="BO159" s="632"/>
      <c r="BP159" s="632"/>
      <c r="BQ159" s="632"/>
      <c r="BR159" s="632"/>
      <c r="BS159" s="632"/>
      <c r="BT159" s="632"/>
      <c r="BU159" s="632"/>
      <c r="BV159" s="632"/>
      <c r="BW159" s="632"/>
      <c r="BX159" s="632"/>
      <c r="BY159" s="632"/>
      <c r="BZ159" s="632"/>
      <c r="CA159" s="632"/>
      <c r="CB159" s="632"/>
      <c r="CC159" s="632"/>
      <c r="CD159" s="632"/>
      <c r="CE159" s="632"/>
      <c r="CF159" s="632"/>
      <c r="CG159" s="632"/>
      <c r="CH159" s="632"/>
      <c r="CI159" s="632"/>
      <c r="CJ159" s="632"/>
      <c r="CK159" s="632"/>
      <c r="CL159" s="632"/>
      <c r="CM159" s="632"/>
      <c r="CN159" s="631"/>
    </row>
    <row r="160" spans="2:92" ht="15.75" x14ac:dyDescent="0.2">
      <c r="B160" s="610"/>
      <c r="C160" s="336"/>
      <c r="D160" s="611"/>
      <c r="E160" s="612"/>
      <c r="F160" s="612"/>
      <c r="G160" s="612"/>
      <c r="H160" s="618">
        <f>'I. Stream &amp; Compound Data'!F291</f>
        <v>30</v>
      </c>
      <c r="I160" s="677" t="str">
        <f>IF('I. Stream &amp; Compound Data'!G291&lt;&gt;"",'I. Stream &amp; Compound Data'!G291,"")</f>
        <v/>
      </c>
      <c r="J160" s="676" t="str">
        <f>IF('I. Stream &amp; Compound Data'!BH291="","",'I. Stream &amp; Compound Data'!BH291)</f>
        <v/>
      </c>
      <c r="K160" s="652" t="str">
        <f>IF('I. Stream &amp; Compound Data'!G291="","",IF(OR('I. Stream &amp; Compound Data'!U291=1,'I. Stream &amp; Compound Data'!V291=1,'I. Stream &amp; Compound Data'!AY291&lt;25),0,1))</f>
        <v/>
      </c>
      <c r="L160" s="651" t="str">
        <f>IF(OR(I160="",L$122=""),"",'I. Stream &amp; Compound Data'!H215/$J160*(1-L$127)*(1-L$123)*$K160)</f>
        <v/>
      </c>
      <c r="M160" s="651" t="str">
        <f>IF(OR(J160="",M$122=""),"",'I. Stream &amp; Compound Data'!K215/$J160*(1-M$127)*(1-M$123)*$K160)</f>
        <v/>
      </c>
      <c r="N160" s="651" t="str">
        <f>IF(OR(K160="",N$122=""),"",'I. Stream &amp; Compound Data'!N215/$J160*(1-N$127)*(1-N$123)*$K160)</f>
        <v/>
      </c>
      <c r="O160" s="651" t="str">
        <f>IF(OR(L160="",O$122=""),"",'I. Stream &amp; Compound Data'!Q215/$J160*(1-O$127)*(1-O$123)*$K160)</f>
        <v/>
      </c>
      <c r="P160" s="651" t="str">
        <f>IF(OR(M160="",P$122=""),"",'I. Stream &amp; Compound Data'!T215/$J160*(1-P$127)*(1-P$123)*$K160)</f>
        <v/>
      </c>
      <c r="Q160" s="651" t="str">
        <f>IF(OR(N160="",Q$122=""),"",'I. Stream &amp; Compound Data'!W215/$J160*(1-Q$127)*(1-Q$123)*$K160)</f>
        <v/>
      </c>
      <c r="R160" s="651" t="str">
        <f>IF(OR(O160="",R$122=""),"",'I. Stream &amp; Compound Data'!Z215/$J160*(1-R$127)*(1-R$123)*$K160)</f>
        <v/>
      </c>
      <c r="S160" s="651" t="str">
        <f>IF(OR(P160="",S$122=""),"",'I. Stream &amp; Compound Data'!AC215/$J160*(1-S$127)*(1-S$123)*$K160)</f>
        <v/>
      </c>
      <c r="T160" s="651" t="str">
        <f>IF(OR(Q160="",T$122=""),"",'I. Stream &amp; Compound Data'!AF215/$J160*(1-T$127)*(1-T$123)*$K160)</f>
        <v/>
      </c>
      <c r="U160" s="651" t="str">
        <f>IF(OR(R160="",U$122=""),"",'I. Stream &amp; Compound Data'!AI215/$J160*(1-U$127)*(1-U$123)*$K160)</f>
        <v/>
      </c>
      <c r="V160" s="651" t="str">
        <f>IF(OR(V$122="",$I160=""),"",'I. Stream &amp; Compound Data'!AL215/$J160*(1-V$127)*(1-V$123)*$K160)</f>
        <v/>
      </c>
      <c r="W160" s="651" t="str">
        <f>IF(OR(W$122="",$I160=""),"",'I. Stream &amp; Compound Data'!AO215/$J160*(1-W$127)*(1-W$123)*$K160)</f>
        <v/>
      </c>
      <c r="X160" s="651" t="str">
        <f>IF(OR(X$122="",$I160=""),"",'I. Stream &amp; Compound Data'!AR215/$J160*(1-X$127)*(1-X$123)*$K160)</f>
        <v/>
      </c>
      <c r="Y160" s="651" t="str">
        <f>IF(OR(Y$122="",$I160=""),"",'I. Stream &amp; Compound Data'!AU215/$J160*(1-Y$127)*(1-Y$123)*$K160)</f>
        <v/>
      </c>
      <c r="Z160" s="651" t="str">
        <f>IF(OR(Z$122="",$I160=""),"",'I. Stream &amp; Compound Data'!AX215/$J160*(1-Z$127)*(1-Z$123)*$K160)</f>
        <v/>
      </c>
      <c r="AA160" s="651" t="str">
        <f>IF(OR(AA$122="",$I160=""),"",'I. Stream &amp; Compound Data'!BA215/$J160*(1-AA$127)*(1-AA$123)*$K160)</f>
        <v/>
      </c>
      <c r="AB160" s="651" t="str">
        <f>IF(OR(AB$122="",$I160=""),"",'I. Stream &amp; Compound Data'!BD215/$J160*(1-AB$127)*(1-AB$123)*$K160)</f>
        <v/>
      </c>
      <c r="AC160" s="651" t="str">
        <f>IF(OR(AC$122="",$I160=""),"",'I. Stream &amp; Compound Data'!BG215/$J160*(1-AC$127)*(1-AC$123)*$K160)</f>
        <v/>
      </c>
      <c r="AD160" s="651" t="str">
        <f>IF(OR(AD$122="",$I160=""),"",'I. Stream &amp; Compound Data'!BJ215/$J160*(1-AD$127)*(1-AD$123)*$K160)</f>
        <v/>
      </c>
      <c r="AE160" s="651" t="str">
        <f>IF(OR(AE$122="",$I160=""),"",'I. Stream &amp; Compound Data'!BM215/$J160*(1-AE$127)*(1-AE$123)*$K160)</f>
        <v/>
      </c>
      <c r="AF160" s="651" t="str">
        <f>IF(OR(AF$122="",$I160=""),"",'I. Stream &amp; Compound Data'!BP215/$J160*(1-AF$127)*(1-AF$123)*$K160)</f>
        <v/>
      </c>
      <c r="AG160" s="651" t="str">
        <f>IF(OR(AG$122="",$I160=""),"",'I. Stream &amp; Compound Data'!BS215/$J160*(1-AG$127)*(1-AG$123)*$K160)</f>
        <v/>
      </c>
      <c r="AH160" s="651" t="str">
        <f>IF(OR(AH$122="",$I160=""),"",'I. Stream &amp; Compound Data'!BV215/$J160*(1-AH$127)*(1-AH$123)*$K160)</f>
        <v/>
      </c>
      <c r="AI160" s="651" t="str">
        <f>IF(OR(AI$122="",$I160=""),"",'I. Stream &amp; Compound Data'!BY215/$J160*(1-AI$127)*(1-AI$123)*$K160)</f>
        <v/>
      </c>
      <c r="AJ160" s="651" t="str">
        <f>IF(OR(AJ$122="",$I160=""),"",'I. Stream &amp; Compound Data'!CB215/$J160*(1-AJ$127)*(1-AJ$123)*$K160)</f>
        <v/>
      </c>
      <c r="AK160" s="651" t="str">
        <f>IF(OR(AK$122="",$I160=""),"",'I. Stream &amp; Compound Data'!CE215/$J160*(1-AK$127)*(1-AK$123)*$K160)</f>
        <v/>
      </c>
      <c r="AL160" s="651" t="str">
        <f>IF(OR(AL$122="",$I160=""),"",'I. Stream &amp; Compound Data'!CH215/$J160*(1-AL$127)*(1-AL$123)*$K160)</f>
        <v/>
      </c>
      <c r="AM160" s="651" t="str">
        <f>IF(OR(AM$122="",$I160=""),"",'I. Stream &amp; Compound Data'!CK215/$J160*(1-AM$127)*(1-AM$123)*$K160)</f>
        <v/>
      </c>
      <c r="AN160" s="651" t="str">
        <f>IF(OR(AN$122="",$I160=""),"",'I. Stream &amp; Compound Data'!CN215/$J160*(1-AN$127)*(1-AN$123)*$K160)</f>
        <v/>
      </c>
      <c r="AO160" s="651" t="str">
        <f>IF(OR(AO$122="",$I160=""),"",'I. Stream &amp; Compound Data'!CQ215/$J160*(1-AO$127)*(1-AO$123)*$K160)</f>
        <v/>
      </c>
      <c r="AP160" s="651" t="str">
        <f>IF(OR(AP$122="",$I160=""),"",'I. Stream &amp; Compound Data'!CT215/$J160*(1-AP$127)*(1-AP$123)*$K160)</f>
        <v/>
      </c>
      <c r="AQ160" s="651" t="str">
        <f>IF(OR(AQ$122="",$I160=""),"",'I. Stream &amp; Compound Data'!CW215/$J160*(1-AQ$127)*(1-AQ$123)*$K160)</f>
        <v/>
      </c>
      <c r="AR160" s="651" t="str">
        <f>IF(OR(AR$122="",$I160=""),"",'I. Stream &amp; Compound Data'!CZ215/$J160*(1-AR$127)*(1-AR$123)*$K160)</f>
        <v/>
      </c>
      <c r="AS160" s="651" t="str">
        <f>IF(OR(AS$122="",$I160=""),"",'I. Stream &amp; Compound Data'!DC215/$J160*(1-AS$127)*(1-AS$123)*$K160)</f>
        <v/>
      </c>
      <c r="AT160" s="651" t="str">
        <f>IF(OR(AT$122="",$I160=""),"",'I. Stream &amp; Compound Data'!DF215/$J160*(1-AT$127)*(1-AT$123)*$K160)</f>
        <v/>
      </c>
      <c r="AU160" s="651" t="str">
        <f>IF(OR(AU$122="",$I160=""),"",'I. Stream &amp; Compound Data'!DI215/$J160*(1-AU$127)*(1-AU$123)*$K160)</f>
        <v/>
      </c>
      <c r="AV160" s="651" t="str">
        <f>IF(OR(AV$122="",$I160=""),"",'I. Stream &amp; Compound Data'!DL215/$J160*(1-AV$127)*(1-AV$123)*$K160)</f>
        <v/>
      </c>
      <c r="AW160" s="651" t="str">
        <f>IF(OR(AW$122="",$I160=""),"",'I. Stream &amp; Compound Data'!DO215/$J160*(1-AW$127)*(1-AW$123)*$K160)</f>
        <v/>
      </c>
      <c r="AX160" s="651" t="str">
        <f>IF(OR(AX$122="",$I160=""),"",'I. Stream &amp; Compound Data'!DR215/$J160*(1-AX$127)*(1-AX$123)*$K160)</f>
        <v/>
      </c>
      <c r="AY160" s="667" t="str">
        <f>IF(OR(AY$122="",$I160=""),"",'I. Stream &amp; Compound Data'!DU215/$J160*(1-AY$127)*(1-AY$123)*$K160)</f>
        <v/>
      </c>
      <c r="AZ160" s="336"/>
      <c r="BA160" s="632"/>
      <c r="BB160" s="632"/>
      <c r="BC160" s="632"/>
      <c r="BD160" s="632"/>
      <c r="BE160" s="632"/>
      <c r="BF160" s="632"/>
      <c r="BG160" s="632"/>
      <c r="BH160" s="632"/>
      <c r="BI160" s="632"/>
      <c r="BJ160" s="632"/>
      <c r="BK160" s="632"/>
      <c r="BL160" s="632"/>
      <c r="BM160" s="632"/>
      <c r="BN160" s="632"/>
      <c r="BO160" s="632"/>
      <c r="BP160" s="632"/>
      <c r="BQ160" s="632"/>
      <c r="BR160" s="632"/>
      <c r="BS160" s="632"/>
      <c r="BT160" s="632"/>
      <c r="BU160" s="632"/>
      <c r="BV160" s="632"/>
      <c r="BW160" s="632"/>
      <c r="BX160" s="632"/>
      <c r="BY160" s="632"/>
      <c r="BZ160" s="632"/>
      <c r="CA160" s="632"/>
      <c r="CB160" s="632"/>
      <c r="CC160" s="632"/>
      <c r="CD160" s="632"/>
      <c r="CE160" s="632"/>
      <c r="CF160" s="632"/>
      <c r="CG160" s="632"/>
      <c r="CH160" s="632"/>
      <c r="CI160" s="632"/>
      <c r="CJ160" s="632"/>
      <c r="CK160" s="632"/>
      <c r="CL160" s="632"/>
      <c r="CM160" s="632"/>
      <c r="CN160" s="631"/>
    </row>
    <row r="161" spans="2:92" ht="15.75" x14ac:dyDescent="0.2">
      <c r="B161" s="610"/>
      <c r="C161" s="336"/>
      <c r="D161" s="611"/>
      <c r="E161" s="612"/>
      <c r="F161" s="612"/>
      <c r="G161" s="612"/>
      <c r="H161" s="618">
        <f>'I. Stream &amp; Compound Data'!F292</f>
        <v>31</v>
      </c>
      <c r="I161" s="677" t="str">
        <f>IF('I. Stream &amp; Compound Data'!G292&lt;&gt;"",'I. Stream &amp; Compound Data'!G292,"")</f>
        <v/>
      </c>
      <c r="J161" s="676" t="str">
        <f>IF('I. Stream &amp; Compound Data'!BH292="","",'I. Stream &amp; Compound Data'!BH292)</f>
        <v/>
      </c>
      <c r="K161" s="652" t="str">
        <f>IF('I. Stream &amp; Compound Data'!G292="","",IF(OR('I. Stream &amp; Compound Data'!U292=1,'I. Stream &amp; Compound Data'!V292=1,'I. Stream &amp; Compound Data'!AY292&lt;25),0,1))</f>
        <v/>
      </c>
      <c r="L161" s="651" t="str">
        <f>IF(OR(I161="",L$122=""),"",'I. Stream &amp; Compound Data'!H216/$J161*(1-L$127)*(1-L$123)*$K161)</f>
        <v/>
      </c>
      <c r="M161" s="651" t="str">
        <f>IF(OR(J161="",M$122=""),"",'I. Stream &amp; Compound Data'!K216/$J161*(1-M$127)*(1-M$123)*$K161)</f>
        <v/>
      </c>
      <c r="N161" s="651" t="str">
        <f>IF(OR(K161="",N$122=""),"",'I. Stream &amp; Compound Data'!N216/$J161*(1-N$127)*(1-N$123)*$K161)</f>
        <v/>
      </c>
      <c r="O161" s="651" t="str">
        <f>IF(OR(L161="",O$122=""),"",'I. Stream &amp; Compound Data'!Q216/$J161*(1-O$127)*(1-O$123)*$K161)</f>
        <v/>
      </c>
      <c r="P161" s="651" t="str">
        <f>IF(OR(M161="",P$122=""),"",'I. Stream &amp; Compound Data'!T216/$J161*(1-P$127)*(1-P$123)*$K161)</f>
        <v/>
      </c>
      <c r="Q161" s="651" t="str">
        <f>IF(OR(N161="",Q$122=""),"",'I. Stream &amp; Compound Data'!W216/$J161*(1-Q$127)*(1-Q$123)*$K161)</f>
        <v/>
      </c>
      <c r="R161" s="651" t="str">
        <f>IF(OR(O161="",R$122=""),"",'I. Stream &amp; Compound Data'!Z216/$J161*(1-R$127)*(1-R$123)*$K161)</f>
        <v/>
      </c>
      <c r="S161" s="651" t="str">
        <f>IF(OR(P161="",S$122=""),"",'I. Stream &amp; Compound Data'!AC216/$J161*(1-S$127)*(1-S$123)*$K161)</f>
        <v/>
      </c>
      <c r="T161" s="651" t="str">
        <f>IF(OR(Q161="",T$122=""),"",'I. Stream &amp; Compound Data'!AF216/$J161*(1-T$127)*(1-T$123)*$K161)</f>
        <v/>
      </c>
      <c r="U161" s="651" t="str">
        <f>IF(OR(R161="",U$122=""),"",'I. Stream &amp; Compound Data'!AI216/$J161*(1-U$127)*(1-U$123)*$K161)</f>
        <v/>
      </c>
      <c r="V161" s="651" t="str">
        <f>IF(OR(V$122="",$I161=""),"",'I. Stream &amp; Compound Data'!AL216/$J161*(1-V$127)*(1-V$123)*$K161)</f>
        <v/>
      </c>
      <c r="W161" s="651" t="str">
        <f>IF(OR(W$122="",$I161=""),"",'I. Stream &amp; Compound Data'!AO216/$J161*(1-W$127)*(1-W$123)*$K161)</f>
        <v/>
      </c>
      <c r="X161" s="651" t="str">
        <f>IF(OR(X$122="",$I161=""),"",'I. Stream &amp; Compound Data'!AR216/$J161*(1-X$127)*(1-X$123)*$K161)</f>
        <v/>
      </c>
      <c r="Y161" s="651" t="str">
        <f>IF(OR(Y$122="",$I161=""),"",'I. Stream &amp; Compound Data'!AU216/$J161*(1-Y$127)*(1-Y$123)*$K161)</f>
        <v/>
      </c>
      <c r="Z161" s="651" t="str">
        <f>IF(OR(Z$122="",$I161=""),"",'I. Stream &amp; Compound Data'!AX216/$J161*(1-Z$127)*(1-Z$123)*$K161)</f>
        <v/>
      </c>
      <c r="AA161" s="651" t="str">
        <f>IF(OR(AA$122="",$I161=""),"",'I. Stream &amp; Compound Data'!BA216/$J161*(1-AA$127)*(1-AA$123)*$K161)</f>
        <v/>
      </c>
      <c r="AB161" s="651" t="str">
        <f>IF(OR(AB$122="",$I161=""),"",'I. Stream &amp; Compound Data'!BD216/$J161*(1-AB$127)*(1-AB$123)*$K161)</f>
        <v/>
      </c>
      <c r="AC161" s="651" t="str">
        <f>IF(OR(AC$122="",$I161=""),"",'I. Stream &amp; Compound Data'!BG216/$J161*(1-AC$127)*(1-AC$123)*$K161)</f>
        <v/>
      </c>
      <c r="AD161" s="651" t="str">
        <f>IF(OR(AD$122="",$I161=""),"",'I. Stream &amp; Compound Data'!BJ216/$J161*(1-AD$127)*(1-AD$123)*$K161)</f>
        <v/>
      </c>
      <c r="AE161" s="651" t="str">
        <f>IF(OR(AE$122="",$I161=""),"",'I. Stream &amp; Compound Data'!BM216/$J161*(1-AE$127)*(1-AE$123)*$K161)</f>
        <v/>
      </c>
      <c r="AF161" s="651" t="str">
        <f>IF(OR(AF$122="",$I161=""),"",'I. Stream &amp; Compound Data'!BP216/$J161*(1-AF$127)*(1-AF$123)*$K161)</f>
        <v/>
      </c>
      <c r="AG161" s="651" t="str">
        <f>IF(OR(AG$122="",$I161=""),"",'I. Stream &amp; Compound Data'!BS216/$J161*(1-AG$127)*(1-AG$123)*$K161)</f>
        <v/>
      </c>
      <c r="AH161" s="651" t="str">
        <f>IF(OR(AH$122="",$I161=""),"",'I. Stream &amp; Compound Data'!BV216/$J161*(1-AH$127)*(1-AH$123)*$K161)</f>
        <v/>
      </c>
      <c r="AI161" s="651" t="str">
        <f>IF(OR(AI$122="",$I161=""),"",'I. Stream &amp; Compound Data'!BY216/$J161*(1-AI$127)*(1-AI$123)*$K161)</f>
        <v/>
      </c>
      <c r="AJ161" s="651" t="str">
        <f>IF(OR(AJ$122="",$I161=""),"",'I. Stream &amp; Compound Data'!CB216/$J161*(1-AJ$127)*(1-AJ$123)*$K161)</f>
        <v/>
      </c>
      <c r="AK161" s="651" t="str">
        <f>IF(OR(AK$122="",$I161=""),"",'I. Stream &amp; Compound Data'!CE216/$J161*(1-AK$127)*(1-AK$123)*$K161)</f>
        <v/>
      </c>
      <c r="AL161" s="651" t="str">
        <f>IF(OR(AL$122="",$I161=""),"",'I. Stream &amp; Compound Data'!CH216/$J161*(1-AL$127)*(1-AL$123)*$K161)</f>
        <v/>
      </c>
      <c r="AM161" s="651" t="str">
        <f>IF(OR(AM$122="",$I161=""),"",'I. Stream &amp; Compound Data'!CK216/$J161*(1-AM$127)*(1-AM$123)*$K161)</f>
        <v/>
      </c>
      <c r="AN161" s="651" t="str">
        <f>IF(OR(AN$122="",$I161=""),"",'I. Stream &amp; Compound Data'!CN216/$J161*(1-AN$127)*(1-AN$123)*$K161)</f>
        <v/>
      </c>
      <c r="AO161" s="651" t="str">
        <f>IF(OR(AO$122="",$I161=""),"",'I. Stream &amp; Compound Data'!CQ216/$J161*(1-AO$127)*(1-AO$123)*$K161)</f>
        <v/>
      </c>
      <c r="AP161" s="651" t="str">
        <f>IF(OR(AP$122="",$I161=""),"",'I. Stream &amp; Compound Data'!CT216/$J161*(1-AP$127)*(1-AP$123)*$K161)</f>
        <v/>
      </c>
      <c r="AQ161" s="651" t="str">
        <f>IF(OR(AQ$122="",$I161=""),"",'I. Stream &amp; Compound Data'!CW216/$J161*(1-AQ$127)*(1-AQ$123)*$K161)</f>
        <v/>
      </c>
      <c r="AR161" s="651" t="str">
        <f>IF(OR(AR$122="",$I161=""),"",'I. Stream &amp; Compound Data'!CZ216/$J161*(1-AR$127)*(1-AR$123)*$K161)</f>
        <v/>
      </c>
      <c r="AS161" s="651" t="str">
        <f>IF(OR(AS$122="",$I161=""),"",'I. Stream &amp; Compound Data'!DC216/$J161*(1-AS$127)*(1-AS$123)*$K161)</f>
        <v/>
      </c>
      <c r="AT161" s="651" t="str">
        <f>IF(OR(AT$122="",$I161=""),"",'I. Stream &amp; Compound Data'!DF216/$J161*(1-AT$127)*(1-AT$123)*$K161)</f>
        <v/>
      </c>
      <c r="AU161" s="651" t="str">
        <f>IF(OR(AU$122="",$I161=""),"",'I. Stream &amp; Compound Data'!DI216/$J161*(1-AU$127)*(1-AU$123)*$K161)</f>
        <v/>
      </c>
      <c r="AV161" s="651" t="str">
        <f>IF(OR(AV$122="",$I161=""),"",'I. Stream &amp; Compound Data'!DL216/$J161*(1-AV$127)*(1-AV$123)*$K161)</f>
        <v/>
      </c>
      <c r="AW161" s="651" t="str">
        <f>IF(OR(AW$122="",$I161=""),"",'I. Stream &amp; Compound Data'!DO216/$J161*(1-AW$127)*(1-AW$123)*$K161)</f>
        <v/>
      </c>
      <c r="AX161" s="651" t="str">
        <f>IF(OR(AX$122="",$I161=""),"",'I. Stream &amp; Compound Data'!DR216/$J161*(1-AX$127)*(1-AX$123)*$K161)</f>
        <v/>
      </c>
      <c r="AY161" s="667" t="str">
        <f>IF(OR(AY$122="",$I161=""),"",'I. Stream &amp; Compound Data'!DU216/$J161*(1-AY$127)*(1-AY$123)*$K161)</f>
        <v/>
      </c>
      <c r="AZ161" s="336"/>
      <c r="BA161" s="632"/>
      <c r="BB161" s="632"/>
      <c r="BC161" s="632"/>
      <c r="BD161" s="632"/>
      <c r="BE161" s="632"/>
      <c r="BF161" s="632"/>
      <c r="BG161" s="632"/>
      <c r="BH161" s="632"/>
      <c r="BI161" s="632"/>
      <c r="BJ161" s="632"/>
      <c r="BK161" s="632"/>
      <c r="BL161" s="632"/>
      <c r="BM161" s="632"/>
      <c r="BN161" s="632"/>
      <c r="BO161" s="632"/>
      <c r="BP161" s="632"/>
      <c r="BQ161" s="632"/>
      <c r="BR161" s="632"/>
      <c r="BS161" s="632"/>
      <c r="BT161" s="632"/>
      <c r="BU161" s="632"/>
      <c r="BV161" s="632"/>
      <c r="BW161" s="632"/>
      <c r="BX161" s="632"/>
      <c r="BY161" s="632"/>
      <c r="BZ161" s="632"/>
      <c r="CA161" s="632"/>
      <c r="CB161" s="632"/>
      <c r="CC161" s="632"/>
      <c r="CD161" s="632"/>
      <c r="CE161" s="632"/>
      <c r="CF161" s="632"/>
      <c r="CG161" s="632"/>
      <c r="CH161" s="632"/>
      <c r="CI161" s="632"/>
      <c r="CJ161" s="632"/>
      <c r="CK161" s="632"/>
      <c r="CL161" s="632"/>
      <c r="CM161" s="632"/>
      <c r="CN161" s="631"/>
    </row>
    <row r="162" spans="2:92" ht="15.75" x14ac:dyDescent="0.2">
      <c r="B162" s="610"/>
      <c r="C162" s="336"/>
      <c r="D162" s="611"/>
      <c r="E162" s="612"/>
      <c r="F162" s="612"/>
      <c r="G162" s="612"/>
      <c r="H162" s="618">
        <f>'I. Stream &amp; Compound Data'!F293</f>
        <v>32</v>
      </c>
      <c r="I162" s="677" t="str">
        <f>IF('I. Stream &amp; Compound Data'!G293&lt;&gt;"",'I. Stream &amp; Compound Data'!G293,"")</f>
        <v/>
      </c>
      <c r="J162" s="676" t="str">
        <f>IF('I. Stream &amp; Compound Data'!BH293="","",'I. Stream &amp; Compound Data'!BH293)</f>
        <v/>
      </c>
      <c r="K162" s="652" t="str">
        <f>IF('I. Stream &amp; Compound Data'!G293="","",IF(OR('I. Stream &amp; Compound Data'!U293=1,'I. Stream &amp; Compound Data'!V293=1,'I. Stream &amp; Compound Data'!AY293&lt;25),0,1))</f>
        <v/>
      </c>
      <c r="L162" s="651" t="str">
        <f>IF(OR(I162="",L$122=""),"",'I. Stream &amp; Compound Data'!H217/$J162*(1-L$127)*(1-L$123)*$K162)</f>
        <v/>
      </c>
      <c r="M162" s="651" t="str">
        <f>IF(OR(J162="",M$122=""),"",'I. Stream &amp; Compound Data'!K217/$J162*(1-M$127)*(1-M$123)*$K162)</f>
        <v/>
      </c>
      <c r="N162" s="651" t="str">
        <f>IF(OR(K162="",N$122=""),"",'I. Stream &amp; Compound Data'!N217/$J162*(1-N$127)*(1-N$123)*$K162)</f>
        <v/>
      </c>
      <c r="O162" s="651" t="str">
        <f>IF(OR(L162="",O$122=""),"",'I. Stream &amp; Compound Data'!Q217/$J162*(1-O$127)*(1-O$123)*$K162)</f>
        <v/>
      </c>
      <c r="P162" s="651" t="str">
        <f>IF(OR(M162="",P$122=""),"",'I. Stream &amp; Compound Data'!T217/$J162*(1-P$127)*(1-P$123)*$K162)</f>
        <v/>
      </c>
      <c r="Q162" s="651" t="str">
        <f>IF(OR(N162="",Q$122=""),"",'I. Stream &amp; Compound Data'!W217/$J162*(1-Q$127)*(1-Q$123)*$K162)</f>
        <v/>
      </c>
      <c r="R162" s="651" t="str">
        <f>IF(OR(O162="",R$122=""),"",'I. Stream &amp; Compound Data'!Z217/$J162*(1-R$127)*(1-R$123)*$K162)</f>
        <v/>
      </c>
      <c r="S162" s="651" t="str">
        <f>IF(OR(P162="",S$122=""),"",'I. Stream &amp; Compound Data'!AC217/$J162*(1-S$127)*(1-S$123)*$K162)</f>
        <v/>
      </c>
      <c r="T162" s="651" t="str">
        <f>IF(OR(Q162="",T$122=""),"",'I. Stream &amp; Compound Data'!AF217/$J162*(1-T$127)*(1-T$123)*$K162)</f>
        <v/>
      </c>
      <c r="U162" s="651" t="str">
        <f>IF(OR(R162="",U$122=""),"",'I. Stream &amp; Compound Data'!AI217/$J162*(1-U$127)*(1-U$123)*$K162)</f>
        <v/>
      </c>
      <c r="V162" s="651" t="str">
        <f>IF(OR(V$122="",$I162=""),"",'I. Stream &amp; Compound Data'!AL217/$J162*(1-V$127)*(1-V$123)*$K162)</f>
        <v/>
      </c>
      <c r="W162" s="651" t="str">
        <f>IF(OR(W$122="",$I162=""),"",'I. Stream &amp; Compound Data'!AO217/$J162*(1-W$127)*(1-W$123)*$K162)</f>
        <v/>
      </c>
      <c r="X162" s="651" t="str">
        <f>IF(OR(X$122="",$I162=""),"",'I. Stream &amp; Compound Data'!AR217/$J162*(1-X$127)*(1-X$123)*$K162)</f>
        <v/>
      </c>
      <c r="Y162" s="651" t="str">
        <f>IF(OR(Y$122="",$I162=""),"",'I. Stream &amp; Compound Data'!AU217/$J162*(1-Y$127)*(1-Y$123)*$K162)</f>
        <v/>
      </c>
      <c r="Z162" s="651" t="str">
        <f>IF(OR(Z$122="",$I162=""),"",'I. Stream &amp; Compound Data'!AX217/$J162*(1-Z$127)*(1-Z$123)*$K162)</f>
        <v/>
      </c>
      <c r="AA162" s="651" t="str">
        <f>IF(OR(AA$122="",$I162=""),"",'I. Stream &amp; Compound Data'!BA217/$J162*(1-AA$127)*(1-AA$123)*$K162)</f>
        <v/>
      </c>
      <c r="AB162" s="651" t="str">
        <f>IF(OR(AB$122="",$I162=""),"",'I. Stream &amp; Compound Data'!BD217/$J162*(1-AB$127)*(1-AB$123)*$K162)</f>
        <v/>
      </c>
      <c r="AC162" s="651" t="str">
        <f>IF(OR(AC$122="",$I162=""),"",'I. Stream &amp; Compound Data'!BG217/$J162*(1-AC$127)*(1-AC$123)*$K162)</f>
        <v/>
      </c>
      <c r="AD162" s="651" t="str">
        <f>IF(OR(AD$122="",$I162=""),"",'I. Stream &amp; Compound Data'!BJ217/$J162*(1-AD$127)*(1-AD$123)*$K162)</f>
        <v/>
      </c>
      <c r="AE162" s="651" t="str">
        <f>IF(OR(AE$122="",$I162=""),"",'I. Stream &amp; Compound Data'!BM217/$J162*(1-AE$127)*(1-AE$123)*$K162)</f>
        <v/>
      </c>
      <c r="AF162" s="651" t="str">
        <f>IF(OR(AF$122="",$I162=""),"",'I. Stream &amp; Compound Data'!BP217/$J162*(1-AF$127)*(1-AF$123)*$K162)</f>
        <v/>
      </c>
      <c r="AG162" s="651" t="str">
        <f>IF(OR(AG$122="",$I162=""),"",'I. Stream &amp; Compound Data'!BS217/$J162*(1-AG$127)*(1-AG$123)*$K162)</f>
        <v/>
      </c>
      <c r="AH162" s="651" t="str">
        <f>IF(OR(AH$122="",$I162=""),"",'I. Stream &amp; Compound Data'!BV217/$J162*(1-AH$127)*(1-AH$123)*$K162)</f>
        <v/>
      </c>
      <c r="AI162" s="651" t="str">
        <f>IF(OR(AI$122="",$I162=""),"",'I. Stream &amp; Compound Data'!BY217/$J162*(1-AI$127)*(1-AI$123)*$K162)</f>
        <v/>
      </c>
      <c r="AJ162" s="651" t="str">
        <f>IF(OR(AJ$122="",$I162=""),"",'I. Stream &amp; Compound Data'!CB217/$J162*(1-AJ$127)*(1-AJ$123)*$K162)</f>
        <v/>
      </c>
      <c r="AK162" s="651" t="str">
        <f>IF(OR(AK$122="",$I162=""),"",'I. Stream &amp; Compound Data'!CE217/$J162*(1-AK$127)*(1-AK$123)*$K162)</f>
        <v/>
      </c>
      <c r="AL162" s="651" t="str">
        <f>IF(OR(AL$122="",$I162=""),"",'I. Stream &amp; Compound Data'!CH217/$J162*(1-AL$127)*(1-AL$123)*$K162)</f>
        <v/>
      </c>
      <c r="AM162" s="651" t="str">
        <f>IF(OR(AM$122="",$I162=""),"",'I. Stream &amp; Compound Data'!CK217/$J162*(1-AM$127)*(1-AM$123)*$K162)</f>
        <v/>
      </c>
      <c r="AN162" s="651" t="str">
        <f>IF(OR(AN$122="",$I162=""),"",'I. Stream &amp; Compound Data'!CN217/$J162*(1-AN$127)*(1-AN$123)*$K162)</f>
        <v/>
      </c>
      <c r="AO162" s="651" t="str">
        <f>IF(OR(AO$122="",$I162=""),"",'I. Stream &amp; Compound Data'!CQ217/$J162*(1-AO$127)*(1-AO$123)*$K162)</f>
        <v/>
      </c>
      <c r="AP162" s="651" t="str">
        <f>IF(OR(AP$122="",$I162=""),"",'I. Stream &amp; Compound Data'!CT217/$J162*(1-AP$127)*(1-AP$123)*$K162)</f>
        <v/>
      </c>
      <c r="AQ162" s="651" t="str">
        <f>IF(OR(AQ$122="",$I162=""),"",'I. Stream &amp; Compound Data'!CW217/$J162*(1-AQ$127)*(1-AQ$123)*$K162)</f>
        <v/>
      </c>
      <c r="AR162" s="651" t="str">
        <f>IF(OR(AR$122="",$I162=""),"",'I. Stream &amp; Compound Data'!CZ217/$J162*(1-AR$127)*(1-AR$123)*$K162)</f>
        <v/>
      </c>
      <c r="AS162" s="651" t="str">
        <f>IF(OR(AS$122="",$I162=""),"",'I. Stream &amp; Compound Data'!DC217/$J162*(1-AS$127)*(1-AS$123)*$K162)</f>
        <v/>
      </c>
      <c r="AT162" s="651" t="str">
        <f>IF(OR(AT$122="",$I162=""),"",'I. Stream &amp; Compound Data'!DF217/$J162*(1-AT$127)*(1-AT$123)*$K162)</f>
        <v/>
      </c>
      <c r="AU162" s="651" t="str">
        <f>IF(OR(AU$122="",$I162=""),"",'I. Stream &amp; Compound Data'!DI217/$J162*(1-AU$127)*(1-AU$123)*$K162)</f>
        <v/>
      </c>
      <c r="AV162" s="651" t="str">
        <f>IF(OR(AV$122="",$I162=""),"",'I. Stream &amp; Compound Data'!DL217/$J162*(1-AV$127)*(1-AV$123)*$K162)</f>
        <v/>
      </c>
      <c r="AW162" s="651" t="str">
        <f>IF(OR(AW$122="",$I162=""),"",'I. Stream &amp; Compound Data'!DO217/$J162*(1-AW$127)*(1-AW$123)*$K162)</f>
        <v/>
      </c>
      <c r="AX162" s="651" t="str">
        <f>IF(OR(AX$122="",$I162=""),"",'I. Stream &amp; Compound Data'!DR217/$J162*(1-AX$127)*(1-AX$123)*$K162)</f>
        <v/>
      </c>
      <c r="AY162" s="667" t="str">
        <f>IF(OR(AY$122="",$I162=""),"",'I. Stream &amp; Compound Data'!DU217/$J162*(1-AY$127)*(1-AY$123)*$K162)</f>
        <v/>
      </c>
      <c r="AZ162" s="336"/>
      <c r="BA162" s="632"/>
      <c r="BB162" s="632"/>
      <c r="BC162" s="632"/>
      <c r="BD162" s="632"/>
      <c r="BE162" s="632"/>
      <c r="BF162" s="632"/>
      <c r="BG162" s="632"/>
      <c r="BH162" s="632"/>
      <c r="BI162" s="632"/>
      <c r="BJ162" s="632"/>
      <c r="BK162" s="632"/>
      <c r="BL162" s="632"/>
      <c r="BM162" s="632"/>
      <c r="BN162" s="632"/>
      <c r="BO162" s="632"/>
      <c r="BP162" s="632"/>
      <c r="BQ162" s="632"/>
      <c r="BR162" s="632"/>
      <c r="BS162" s="632"/>
      <c r="BT162" s="632"/>
      <c r="BU162" s="632"/>
      <c r="BV162" s="632"/>
      <c r="BW162" s="632"/>
      <c r="BX162" s="632"/>
      <c r="BY162" s="632"/>
      <c r="BZ162" s="632"/>
      <c r="CA162" s="632"/>
      <c r="CB162" s="632"/>
      <c r="CC162" s="632"/>
      <c r="CD162" s="632"/>
      <c r="CE162" s="632"/>
      <c r="CF162" s="632"/>
      <c r="CG162" s="632"/>
      <c r="CH162" s="632"/>
      <c r="CI162" s="632"/>
      <c r="CJ162" s="632"/>
      <c r="CK162" s="632"/>
      <c r="CL162" s="632"/>
      <c r="CM162" s="632"/>
      <c r="CN162" s="631"/>
    </row>
    <row r="163" spans="2:92" ht="15.75" x14ac:dyDescent="0.2">
      <c r="B163" s="610"/>
      <c r="C163" s="336"/>
      <c r="D163" s="611"/>
      <c r="E163" s="612"/>
      <c r="F163" s="612"/>
      <c r="G163" s="612"/>
      <c r="H163" s="618">
        <f>'I. Stream &amp; Compound Data'!F294</f>
        <v>33</v>
      </c>
      <c r="I163" s="677" t="str">
        <f>IF('I. Stream &amp; Compound Data'!G294&lt;&gt;"",'I. Stream &amp; Compound Data'!G294,"")</f>
        <v/>
      </c>
      <c r="J163" s="676" t="str">
        <f>IF('I. Stream &amp; Compound Data'!BH294="","",'I. Stream &amp; Compound Data'!BH294)</f>
        <v/>
      </c>
      <c r="K163" s="652" t="str">
        <f>IF('I. Stream &amp; Compound Data'!G294="","",IF(OR('I. Stream &amp; Compound Data'!U294=1,'I. Stream &amp; Compound Data'!V294=1,'I. Stream &amp; Compound Data'!AY294&lt;25),0,1))</f>
        <v/>
      </c>
      <c r="L163" s="651" t="str">
        <f>IF(OR(I163="",L$122=""),"",'I. Stream &amp; Compound Data'!H218/$J163*(1-L$127)*(1-L$123)*$K163)</f>
        <v/>
      </c>
      <c r="M163" s="651" t="str">
        <f>IF(OR(J163="",M$122=""),"",'I. Stream &amp; Compound Data'!K218/$J163*(1-M$127)*(1-M$123)*$K163)</f>
        <v/>
      </c>
      <c r="N163" s="651" t="str">
        <f>IF(OR(K163="",N$122=""),"",'I. Stream &amp; Compound Data'!N218/$J163*(1-N$127)*(1-N$123)*$K163)</f>
        <v/>
      </c>
      <c r="O163" s="651" t="str">
        <f>IF(OR(L163="",O$122=""),"",'I. Stream &amp; Compound Data'!Q218/$J163*(1-O$127)*(1-O$123)*$K163)</f>
        <v/>
      </c>
      <c r="P163" s="651" t="str">
        <f>IF(OR(M163="",P$122=""),"",'I. Stream &amp; Compound Data'!T218/$J163*(1-P$127)*(1-P$123)*$K163)</f>
        <v/>
      </c>
      <c r="Q163" s="651" t="str">
        <f>IF(OR(N163="",Q$122=""),"",'I. Stream &amp; Compound Data'!W218/$J163*(1-Q$127)*(1-Q$123)*$K163)</f>
        <v/>
      </c>
      <c r="R163" s="651" t="str">
        <f>IF(OR(O163="",R$122=""),"",'I. Stream &amp; Compound Data'!Z218/$J163*(1-R$127)*(1-R$123)*$K163)</f>
        <v/>
      </c>
      <c r="S163" s="651" t="str">
        <f>IF(OR(P163="",S$122=""),"",'I. Stream &amp; Compound Data'!AC218/$J163*(1-S$127)*(1-S$123)*$K163)</f>
        <v/>
      </c>
      <c r="T163" s="651" t="str">
        <f>IF(OR(Q163="",T$122=""),"",'I. Stream &amp; Compound Data'!AF218/$J163*(1-T$127)*(1-T$123)*$K163)</f>
        <v/>
      </c>
      <c r="U163" s="651" t="str">
        <f>IF(OR(R163="",U$122=""),"",'I. Stream &amp; Compound Data'!AI218/$J163*(1-U$127)*(1-U$123)*$K163)</f>
        <v/>
      </c>
      <c r="V163" s="651" t="str">
        <f>IF(OR(V$122="",$I163=""),"",'I. Stream &amp; Compound Data'!AL218/$J163*(1-V$127)*(1-V$123)*$K163)</f>
        <v/>
      </c>
      <c r="W163" s="651" t="str">
        <f>IF(OR(W$122="",$I163=""),"",'I. Stream &amp; Compound Data'!AO218/$J163*(1-W$127)*(1-W$123)*$K163)</f>
        <v/>
      </c>
      <c r="X163" s="651" t="str">
        <f>IF(OR(X$122="",$I163=""),"",'I. Stream &amp; Compound Data'!AR218/$J163*(1-X$127)*(1-X$123)*$K163)</f>
        <v/>
      </c>
      <c r="Y163" s="651" t="str">
        <f>IF(OR(Y$122="",$I163=""),"",'I. Stream &amp; Compound Data'!AU218/$J163*(1-Y$127)*(1-Y$123)*$K163)</f>
        <v/>
      </c>
      <c r="Z163" s="651" t="str">
        <f>IF(OR(Z$122="",$I163=""),"",'I. Stream &amp; Compound Data'!AX218/$J163*(1-Z$127)*(1-Z$123)*$K163)</f>
        <v/>
      </c>
      <c r="AA163" s="651" t="str">
        <f>IF(OR(AA$122="",$I163=""),"",'I. Stream &amp; Compound Data'!BA218/$J163*(1-AA$127)*(1-AA$123)*$K163)</f>
        <v/>
      </c>
      <c r="AB163" s="651" t="str">
        <f>IF(OR(AB$122="",$I163=""),"",'I. Stream &amp; Compound Data'!BD218/$J163*(1-AB$127)*(1-AB$123)*$K163)</f>
        <v/>
      </c>
      <c r="AC163" s="651" t="str">
        <f>IF(OR(AC$122="",$I163=""),"",'I. Stream &amp; Compound Data'!BG218/$J163*(1-AC$127)*(1-AC$123)*$K163)</f>
        <v/>
      </c>
      <c r="AD163" s="651" t="str">
        <f>IF(OR(AD$122="",$I163=""),"",'I. Stream &amp; Compound Data'!BJ218/$J163*(1-AD$127)*(1-AD$123)*$K163)</f>
        <v/>
      </c>
      <c r="AE163" s="651" t="str">
        <f>IF(OR(AE$122="",$I163=""),"",'I. Stream &amp; Compound Data'!BM218/$J163*(1-AE$127)*(1-AE$123)*$K163)</f>
        <v/>
      </c>
      <c r="AF163" s="651" t="str">
        <f>IF(OR(AF$122="",$I163=""),"",'I. Stream &amp; Compound Data'!BP218/$J163*(1-AF$127)*(1-AF$123)*$K163)</f>
        <v/>
      </c>
      <c r="AG163" s="651" t="str">
        <f>IF(OR(AG$122="",$I163=""),"",'I. Stream &amp; Compound Data'!BS218/$J163*(1-AG$127)*(1-AG$123)*$K163)</f>
        <v/>
      </c>
      <c r="AH163" s="651" t="str">
        <f>IF(OR(AH$122="",$I163=""),"",'I. Stream &amp; Compound Data'!BV218/$J163*(1-AH$127)*(1-AH$123)*$K163)</f>
        <v/>
      </c>
      <c r="AI163" s="651" t="str">
        <f>IF(OR(AI$122="",$I163=""),"",'I. Stream &amp; Compound Data'!BY218/$J163*(1-AI$127)*(1-AI$123)*$K163)</f>
        <v/>
      </c>
      <c r="AJ163" s="651" t="str">
        <f>IF(OR(AJ$122="",$I163=""),"",'I. Stream &amp; Compound Data'!CB218/$J163*(1-AJ$127)*(1-AJ$123)*$K163)</f>
        <v/>
      </c>
      <c r="AK163" s="651" t="str">
        <f>IF(OR(AK$122="",$I163=""),"",'I. Stream &amp; Compound Data'!CE218/$J163*(1-AK$127)*(1-AK$123)*$K163)</f>
        <v/>
      </c>
      <c r="AL163" s="651" t="str">
        <f>IF(OR(AL$122="",$I163=""),"",'I. Stream &amp; Compound Data'!CH218/$J163*(1-AL$127)*(1-AL$123)*$K163)</f>
        <v/>
      </c>
      <c r="AM163" s="651" t="str">
        <f>IF(OR(AM$122="",$I163=""),"",'I. Stream &amp; Compound Data'!CK218/$J163*(1-AM$127)*(1-AM$123)*$K163)</f>
        <v/>
      </c>
      <c r="AN163" s="651" t="str">
        <f>IF(OR(AN$122="",$I163=""),"",'I. Stream &amp; Compound Data'!CN218/$J163*(1-AN$127)*(1-AN$123)*$K163)</f>
        <v/>
      </c>
      <c r="AO163" s="651" t="str">
        <f>IF(OR(AO$122="",$I163=""),"",'I. Stream &amp; Compound Data'!CQ218/$J163*(1-AO$127)*(1-AO$123)*$K163)</f>
        <v/>
      </c>
      <c r="AP163" s="651" t="str">
        <f>IF(OR(AP$122="",$I163=""),"",'I. Stream &amp; Compound Data'!CT218/$J163*(1-AP$127)*(1-AP$123)*$K163)</f>
        <v/>
      </c>
      <c r="AQ163" s="651" t="str">
        <f>IF(OR(AQ$122="",$I163=""),"",'I. Stream &amp; Compound Data'!CW218/$J163*(1-AQ$127)*(1-AQ$123)*$K163)</f>
        <v/>
      </c>
      <c r="AR163" s="651" t="str">
        <f>IF(OR(AR$122="",$I163=""),"",'I. Stream &amp; Compound Data'!CZ218/$J163*(1-AR$127)*(1-AR$123)*$K163)</f>
        <v/>
      </c>
      <c r="AS163" s="651" t="str">
        <f>IF(OR(AS$122="",$I163=""),"",'I. Stream &amp; Compound Data'!DC218/$J163*(1-AS$127)*(1-AS$123)*$K163)</f>
        <v/>
      </c>
      <c r="AT163" s="651" t="str">
        <f>IF(OR(AT$122="",$I163=""),"",'I. Stream &amp; Compound Data'!DF218/$J163*(1-AT$127)*(1-AT$123)*$K163)</f>
        <v/>
      </c>
      <c r="AU163" s="651" t="str">
        <f>IF(OR(AU$122="",$I163=""),"",'I. Stream &amp; Compound Data'!DI218/$J163*(1-AU$127)*(1-AU$123)*$K163)</f>
        <v/>
      </c>
      <c r="AV163" s="651" t="str">
        <f>IF(OR(AV$122="",$I163=""),"",'I. Stream &amp; Compound Data'!DL218/$J163*(1-AV$127)*(1-AV$123)*$K163)</f>
        <v/>
      </c>
      <c r="AW163" s="651" t="str">
        <f>IF(OR(AW$122="",$I163=""),"",'I. Stream &amp; Compound Data'!DO218/$J163*(1-AW$127)*(1-AW$123)*$K163)</f>
        <v/>
      </c>
      <c r="AX163" s="651" t="str">
        <f>IF(OR(AX$122="",$I163=""),"",'I. Stream &amp; Compound Data'!DR218/$J163*(1-AX$127)*(1-AX$123)*$K163)</f>
        <v/>
      </c>
      <c r="AY163" s="667" t="str">
        <f>IF(OR(AY$122="",$I163=""),"",'I. Stream &amp; Compound Data'!DU218/$J163*(1-AY$127)*(1-AY$123)*$K163)</f>
        <v/>
      </c>
      <c r="AZ163" s="336"/>
      <c r="BA163" s="632"/>
      <c r="BB163" s="632"/>
      <c r="BC163" s="632"/>
      <c r="BD163" s="632"/>
      <c r="BE163" s="632"/>
      <c r="BF163" s="632"/>
      <c r="BG163" s="632"/>
      <c r="BH163" s="632"/>
      <c r="BI163" s="632"/>
      <c r="BJ163" s="632"/>
      <c r="BK163" s="632"/>
      <c r="BL163" s="632"/>
      <c r="BM163" s="632"/>
      <c r="BN163" s="632"/>
      <c r="BO163" s="632"/>
      <c r="BP163" s="632"/>
      <c r="BQ163" s="632"/>
      <c r="BR163" s="632"/>
      <c r="BS163" s="632"/>
      <c r="BT163" s="632"/>
      <c r="BU163" s="632"/>
      <c r="BV163" s="632"/>
      <c r="BW163" s="632"/>
      <c r="BX163" s="632"/>
      <c r="BY163" s="632"/>
      <c r="BZ163" s="632"/>
      <c r="CA163" s="632"/>
      <c r="CB163" s="632"/>
      <c r="CC163" s="632"/>
      <c r="CD163" s="632"/>
      <c r="CE163" s="632"/>
      <c r="CF163" s="632"/>
      <c r="CG163" s="632"/>
      <c r="CH163" s="632"/>
      <c r="CI163" s="632"/>
      <c r="CJ163" s="632"/>
      <c r="CK163" s="632"/>
      <c r="CL163" s="632"/>
      <c r="CM163" s="632"/>
      <c r="CN163" s="631"/>
    </row>
    <row r="164" spans="2:92" ht="15.75" x14ac:dyDescent="0.2">
      <c r="B164" s="610"/>
      <c r="C164" s="336"/>
      <c r="D164" s="611"/>
      <c r="E164" s="612"/>
      <c r="F164" s="612"/>
      <c r="G164" s="612"/>
      <c r="H164" s="618">
        <f>'I. Stream &amp; Compound Data'!F295</f>
        <v>34</v>
      </c>
      <c r="I164" s="677" t="str">
        <f>IF('I. Stream &amp; Compound Data'!G295&lt;&gt;"",'I. Stream &amp; Compound Data'!G295,"")</f>
        <v/>
      </c>
      <c r="J164" s="676" t="str">
        <f>IF('I. Stream &amp; Compound Data'!BH295="","",'I. Stream &amp; Compound Data'!BH295)</f>
        <v/>
      </c>
      <c r="K164" s="652" t="str">
        <f>IF('I. Stream &amp; Compound Data'!G295="","",IF(OR('I. Stream &amp; Compound Data'!U295=1,'I. Stream &amp; Compound Data'!V295=1,'I. Stream &amp; Compound Data'!AY295&lt;25),0,1))</f>
        <v/>
      </c>
      <c r="L164" s="651" t="str">
        <f>IF(OR(I164="",L$122=""),"",'I. Stream &amp; Compound Data'!H219/$J164*(1-L$127)*(1-L$123)*$K164)</f>
        <v/>
      </c>
      <c r="M164" s="651" t="str">
        <f>IF(OR(J164="",M$122=""),"",'I. Stream &amp; Compound Data'!K219/$J164*(1-M$127)*(1-M$123)*$K164)</f>
        <v/>
      </c>
      <c r="N164" s="651" t="str">
        <f>IF(OR(K164="",N$122=""),"",'I. Stream &amp; Compound Data'!N219/$J164*(1-N$127)*(1-N$123)*$K164)</f>
        <v/>
      </c>
      <c r="O164" s="651" t="str">
        <f>IF(OR(L164="",O$122=""),"",'I. Stream &amp; Compound Data'!Q219/$J164*(1-O$127)*(1-O$123)*$K164)</f>
        <v/>
      </c>
      <c r="P164" s="651" t="str">
        <f>IF(OR(M164="",P$122=""),"",'I. Stream &amp; Compound Data'!T219/$J164*(1-P$127)*(1-P$123)*$K164)</f>
        <v/>
      </c>
      <c r="Q164" s="651" t="str">
        <f>IF(OR(N164="",Q$122=""),"",'I. Stream &amp; Compound Data'!W219/$J164*(1-Q$127)*(1-Q$123)*$K164)</f>
        <v/>
      </c>
      <c r="R164" s="651" t="str">
        <f>IF(OR(O164="",R$122=""),"",'I. Stream &amp; Compound Data'!Z219/$J164*(1-R$127)*(1-R$123)*$K164)</f>
        <v/>
      </c>
      <c r="S164" s="651" t="str">
        <f>IF(OR(P164="",S$122=""),"",'I. Stream &amp; Compound Data'!AC219/$J164*(1-S$127)*(1-S$123)*$K164)</f>
        <v/>
      </c>
      <c r="T164" s="651" t="str">
        <f>IF(OR(Q164="",T$122=""),"",'I. Stream &amp; Compound Data'!AF219/$J164*(1-T$127)*(1-T$123)*$K164)</f>
        <v/>
      </c>
      <c r="U164" s="651" t="str">
        <f>IF(OR(R164="",U$122=""),"",'I. Stream &amp; Compound Data'!AI219/$J164*(1-U$127)*(1-U$123)*$K164)</f>
        <v/>
      </c>
      <c r="V164" s="651" t="str">
        <f>IF(OR(V$122="",$I164=""),"",'I. Stream &amp; Compound Data'!AL219/$J164*(1-V$127)*(1-V$123)*$K164)</f>
        <v/>
      </c>
      <c r="W164" s="651" t="str">
        <f>IF(OR(W$122="",$I164=""),"",'I. Stream &amp; Compound Data'!AO219/$J164*(1-W$127)*(1-W$123)*$K164)</f>
        <v/>
      </c>
      <c r="X164" s="651" t="str">
        <f>IF(OR(X$122="",$I164=""),"",'I. Stream &amp; Compound Data'!AR219/$J164*(1-X$127)*(1-X$123)*$K164)</f>
        <v/>
      </c>
      <c r="Y164" s="651" t="str">
        <f>IF(OR(Y$122="",$I164=""),"",'I. Stream &amp; Compound Data'!AU219/$J164*(1-Y$127)*(1-Y$123)*$K164)</f>
        <v/>
      </c>
      <c r="Z164" s="651" t="str">
        <f>IF(OR(Z$122="",$I164=""),"",'I. Stream &amp; Compound Data'!AX219/$J164*(1-Z$127)*(1-Z$123)*$K164)</f>
        <v/>
      </c>
      <c r="AA164" s="651" t="str">
        <f>IF(OR(AA$122="",$I164=""),"",'I. Stream &amp; Compound Data'!BA219/$J164*(1-AA$127)*(1-AA$123)*$K164)</f>
        <v/>
      </c>
      <c r="AB164" s="651" t="str">
        <f>IF(OR(AB$122="",$I164=""),"",'I. Stream &amp; Compound Data'!BD219/$J164*(1-AB$127)*(1-AB$123)*$K164)</f>
        <v/>
      </c>
      <c r="AC164" s="651" t="str">
        <f>IF(OR(AC$122="",$I164=""),"",'I. Stream &amp; Compound Data'!BG219/$J164*(1-AC$127)*(1-AC$123)*$K164)</f>
        <v/>
      </c>
      <c r="AD164" s="651" t="str">
        <f>IF(OR(AD$122="",$I164=""),"",'I. Stream &amp; Compound Data'!BJ219/$J164*(1-AD$127)*(1-AD$123)*$K164)</f>
        <v/>
      </c>
      <c r="AE164" s="651" t="str">
        <f>IF(OR(AE$122="",$I164=""),"",'I. Stream &amp; Compound Data'!BM219/$J164*(1-AE$127)*(1-AE$123)*$K164)</f>
        <v/>
      </c>
      <c r="AF164" s="651" t="str">
        <f>IF(OR(AF$122="",$I164=""),"",'I. Stream &amp; Compound Data'!BP219/$J164*(1-AF$127)*(1-AF$123)*$K164)</f>
        <v/>
      </c>
      <c r="AG164" s="651" t="str">
        <f>IF(OR(AG$122="",$I164=""),"",'I. Stream &amp; Compound Data'!BS219/$J164*(1-AG$127)*(1-AG$123)*$K164)</f>
        <v/>
      </c>
      <c r="AH164" s="651" t="str">
        <f>IF(OR(AH$122="",$I164=""),"",'I. Stream &amp; Compound Data'!BV219/$J164*(1-AH$127)*(1-AH$123)*$K164)</f>
        <v/>
      </c>
      <c r="AI164" s="651" t="str">
        <f>IF(OR(AI$122="",$I164=""),"",'I. Stream &amp; Compound Data'!BY219/$J164*(1-AI$127)*(1-AI$123)*$K164)</f>
        <v/>
      </c>
      <c r="AJ164" s="651" t="str">
        <f>IF(OR(AJ$122="",$I164=""),"",'I. Stream &amp; Compound Data'!CB219/$J164*(1-AJ$127)*(1-AJ$123)*$K164)</f>
        <v/>
      </c>
      <c r="AK164" s="651" t="str">
        <f>IF(OR(AK$122="",$I164=""),"",'I. Stream &amp; Compound Data'!CE219/$J164*(1-AK$127)*(1-AK$123)*$K164)</f>
        <v/>
      </c>
      <c r="AL164" s="651" t="str">
        <f>IF(OR(AL$122="",$I164=""),"",'I. Stream &amp; Compound Data'!CH219/$J164*(1-AL$127)*(1-AL$123)*$K164)</f>
        <v/>
      </c>
      <c r="AM164" s="651" t="str">
        <f>IF(OR(AM$122="",$I164=""),"",'I. Stream &amp; Compound Data'!CK219/$J164*(1-AM$127)*(1-AM$123)*$K164)</f>
        <v/>
      </c>
      <c r="AN164" s="651" t="str">
        <f>IF(OR(AN$122="",$I164=""),"",'I. Stream &amp; Compound Data'!CN219/$J164*(1-AN$127)*(1-AN$123)*$K164)</f>
        <v/>
      </c>
      <c r="AO164" s="651" t="str">
        <f>IF(OR(AO$122="",$I164=""),"",'I. Stream &amp; Compound Data'!CQ219/$J164*(1-AO$127)*(1-AO$123)*$K164)</f>
        <v/>
      </c>
      <c r="AP164" s="651" t="str">
        <f>IF(OR(AP$122="",$I164=""),"",'I. Stream &amp; Compound Data'!CT219/$J164*(1-AP$127)*(1-AP$123)*$K164)</f>
        <v/>
      </c>
      <c r="AQ164" s="651" t="str">
        <f>IF(OR(AQ$122="",$I164=""),"",'I. Stream &amp; Compound Data'!CW219/$J164*(1-AQ$127)*(1-AQ$123)*$K164)</f>
        <v/>
      </c>
      <c r="AR164" s="651" t="str">
        <f>IF(OR(AR$122="",$I164=""),"",'I. Stream &amp; Compound Data'!CZ219/$J164*(1-AR$127)*(1-AR$123)*$K164)</f>
        <v/>
      </c>
      <c r="AS164" s="651" t="str">
        <f>IF(OR(AS$122="",$I164=""),"",'I. Stream &amp; Compound Data'!DC219/$J164*(1-AS$127)*(1-AS$123)*$K164)</f>
        <v/>
      </c>
      <c r="AT164" s="651" t="str">
        <f>IF(OR(AT$122="",$I164=""),"",'I. Stream &amp; Compound Data'!DF219/$J164*(1-AT$127)*(1-AT$123)*$K164)</f>
        <v/>
      </c>
      <c r="AU164" s="651" t="str">
        <f>IF(OR(AU$122="",$I164=""),"",'I. Stream &amp; Compound Data'!DI219/$J164*(1-AU$127)*(1-AU$123)*$K164)</f>
        <v/>
      </c>
      <c r="AV164" s="651" t="str">
        <f>IF(OR(AV$122="",$I164=""),"",'I. Stream &amp; Compound Data'!DL219/$J164*(1-AV$127)*(1-AV$123)*$K164)</f>
        <v/>
      </c>
      <c r="AW164" s="651" t="str">
        <f>IF(OR(AW$122="",$I164=""),"",'I. Stream &amp; Compound Data'!DO219/$J164*(1-AW$127)*(1-AW$123)*$K164)</f>
        <v/>
      </c>
      <c r="AX164" s="651" t="str">
        <f>IF(OR(AX$122="",$I164=""),"",'I. Stream &amp; Compound Data'!DR219/$J164*(1-AX$127)*(1-AX$123)*$K164)</f>
        <v/>
      </c>
      <c r="AY164" s="667" t="str">
        <f>IF(OR(AY$122="",$I164=""),"",'I. Stream &amp; Compound Data'!DU219/$J164*(1-AY$127)*(1-AY$123)*$K164)</f>
        <v/>
      </c>
      <c r="AZ164" s="336"/>
      <c r="BA164" s="632"/>
      <c r="BB164" s="632"/>
      <c r="BC164" s="632"/>
      <c r="BD164" s="632"/>
      <c r="BE164" s="632"/>
      <c r="BF164" s="632"/>
      <c r="BG164" s="632"/>
      <c r="BH164" s="632"/>
      <c r="BI164" s="632"/>
      <c r="BJ164" s="632"/>
      <c r="BK164" s="632"/>
      <c r="BL164" s="632"/>
      <c r="BM164" s="632"/>
      <c r="BN164" s="632"/>
      <c r="BO164" s="632"/>
      <c r="BP164" s="632"/>
      <c r="BQ164" s="632"/>
      <c r="BR164" s="632"/>
      <c r="BS164" s="632"/>
      <c r="BT164" s="632"/>
      <c r="BU164" s="632"/>
      <c r="BV164" s="632"/>
      <c r="BW164" s="632"/>
      <c r="BX164" s="632"/>
      <c r="BY164" s="632"/>
      <c r="BZ164" s="632"/>
      <c r="CA164" s="632"/>
      <c r="CB164" s="632"/>
      <c r="CC164" s="632"/>
      <c r="CD164" s="632"/>
      <c r="CE164" s="632"/>
      <c r="CF164" s="632"/>
      <c r="CG164" s="632"/>
      <c r="CH164" s="632"/>
      <c r="CI164" s="632"/>
      <c r="CJ164" s="632"/>
      <c r="CK164" s="632"/>
      <c r="CL164" s="632"/>
      <c r="CM164" s="632"/>
      <c r="CN164" s="631"/>
    </row>
    <row r="165" spans="2:92" ht="15.75" x14ac:dyDescent="0.2">
      <c r="B165" s="610"/>
      <c r="C165" s="336"/>
      <c r="D165" s="611"/>
      <c r="E165" s="612"/>
      <c r="F165" s="612"/>
      <c r="G165" s="612"/>
      <c r="H165" s="618">
        <f>'I. Stream &amp; Compound Data'!F296</f>
        <v>35</v>
      </c>
      <c r="I165" s="677" t="str">
        <f>IF('I. Stream &amp; Compound Data'!G296&lt;&gt;"",'I. Stream &amp; Compound Data'!G296,"")</f>
        <v/>
      </c>
      <c r="J165" s="676" t="str">
        <f>IF('I. Stream &amp; Compound Data'!BH296="","",'I. Stream &amp; Compound Data'!BH296)</f>
        <v/>
      </c>
      <c r="K165" s="652" t="str">
        <f>IF('I. Stream &amp; Compound Data'!G296="","",IF(OR('I. Stream &amp; Compound Data'!U296=1,'I. Stream &amp; Compound Data'!V296=1,'I. Stream &amp; Compound Data'!AY296&lt;25),0,1))</f>
        <v/>
      </c>
      <c r="L165" s="651" t="str">
        <f>IF(OR(I165="",L$122=""),"",'I. Stream &amp; Compound Data'!H220/$J165*(1-L$127)*(1-L$123)*$K165)</f>
        <v/>
      </c>
      <c r="M165" s="651" t="str">
        <f>IF(OR(J165="",M$122=""),"",'I. Stream &amp; Compound Data'!K220/$J165*(1-M$127)*(1-M$123)*$K165)</f>
        <v/>
      </c>
      <c r="N165" s="651" t="str">
        <f>IF(OR(K165="",N$122=""),"",'I. Stream &amp; Compound Data'!N220/$J165*(1-N$127)*(1-N$123)*$K165)</f>
        <v/>
      </c>
      <c r="O165" s="651" t="str">
        <f>IF(OR(L165="",O$122=""),"",'I. Stream &amp; Compound Data'!Q220/$J165*(1-O$127)*(1-O$123)*$K165)</f>
        <v/>
      </c>
      <c r="P165" s="651" t="str">
        <f>IF(OR(M165="",P$122=""),"",'I. Stream &amp; Compound Data'!T220/$J165*(1-P$127)*(1-P$123)*$K165)</f>
        <v/>
      </c>
      <c r="Q165" s="651" t="str">
        <f>IF(OR(N165="",Q$122=""),"",'I. Stream &amp; Compound Data'!W220/$J165*(1-Q$127)*(1-Q$123)*$K165)</f>
        <v/>
      </c>
      <c r="R165" s="651" t="str">
        <f>IF(OR(O165="",R$122=""),"",'I. Stream &amp; Compound Data'!Z220/$J165*(1-R$127)*(1-R$123)*$K165)</f>
        <v/>
      </c>
      <c r="S165" s="651" t="str">
        <f>IF(OR(P165="",S$122=""),"",'I. Stream &amp; Compound Data'!AC220/$J165*(1-S$127)*(1-S$123)*$K165)</f>
        <v/>
      </c>
      <c r="T165" s="651" t="str">
        <f>IF(OR(Q165="",T$122=""),"",'I. Stream &amp; Compound Data'!AF220/$J165*(1-T$127)*(1-T$123)*$K165)</f>
        <v/>
      </c>
      <c r="U165" s="651" t="str">
        <f>IF(OR(R165="",U$122=""),"",'I. Stream &amp; Compound Data'!AI220/$J165*(1-U$127)*(1-U$123)*$K165)</f>
        <v/>
      </c>
      <c r="V165" s="651" t="str">
        <f>IF(OR(V$122="",$I165=""),"",'I. Stream &amp; Compound Data'!AL220/$J165*(1-V$127)*(1-V$123)*$K165)</f>
        <v/>
      </c>
      <c r="W165" s="651" t="str">
        <f>IF(OR(W$122="",$I165=""),"",'I. Stream &amp; Compound Data'!AO220/$J165*(1-W$127)*(1-W$123)*$K165)</f>
        <v/>
      </c>
      <c r="X165" s="651" t="str">
        <f>IF(OR(X$122="",$I165=""),"",'I. Stream &amp; Compound Data'!AR220/$J165*(1-X$127)*(1-X$123)*$K165)</f>
        <v/>
      </c>
      <c r="Y165" s="651" t="str">
        <f>IF(OR(Y$122="",$I165=""),"",'I. Stream &amp; Compound Data'!AU220/$J165*(1-Y$127)*(1-Y$123)*$K165)</f>
        <v/>
      </c>
      <c r="Z165" s="651" t="str">
        <f>IF(OR(Z$122="",$I165=""),"",'I. Stream &amp; Compound Data'!AX220/$J165*(1-Z$127)*(1-Z$123)*$K165)</f>
        <v/>
      </c>
      <c r="AA165" s="651" t="str">
        <f>IF(OR(AA$122="",$I165=""),"",'I. Stream &amp; Compound Data'!BA220/$J165*(1-AA$127)*(1-AA$123)*$K165)</f>
        <v/>
      </c>
      <c r="AB165" s="651" t="str">
        <f>IF(OR(AB$122="",$I165=""),"",'I. Stream &amp; Compound Data'!BD220/$J165*(1-AB$127)*(1-AB$123)*$K165)</f>
        <v/>
      </c>
      <c r="AC165" s="651" t="str">
        <f>IF(OR(AC$122="",$I165=""),"",'I. Stream &amp; Compound Data'!BG220/$J165*(1-AC$127)*(1-AC$123)*$K165)</f>
        <v/>
      </c>
      <c r="AD165" s="651" t="str">
        <f>IF(OR(AD$122="",$I165=""),"",'I. Stream &amp; Compound Data'!BJ220/$J165*(1-AD$127)*(1-AD$123)*$K165)</f>
        <v/>
      </c>
      <c r="AE165" s="651" t="str">
        <f>IF(OR(AE$122="",$I165=""),"",'I. Stream &amp; Compound Data'!BM220/$J165*(1-AE$127)*(1-AE$123)*$K165)</f>
        <v/>
      </c>
      <c r="AF165" s="651" t="str">
        <f>IF(OR(AF$122="",$I165=""),"",'I. Stream &amp; Compound Data'!BP220/$J165*(1-AF$127)*(1-AF$123)*$K165)</f>
        <v/>
      </c>
      <c r="AG165" s="651" t="str">
        <f>IF(OR(AG$122="",$I165=""),"",'I. Stream &amp; Compound Data'!BS220/$J165*(1-AG$127)*(1-AG$123)*$K165)</f>
        <v/>
      </c>
      <c r="AH165" s="651" t="str">
        <f>IF(OR(AH$122="",$I165=""),"",'I. Stream &amp; Compound Data'!BV220/$J165*(1-AH$127)*(1-AH$123)*$K165)</f>
        <v/>
      </c>
      <c r="AI165" s="651" t="str">
        <f>IF(OR(AI$122="",$I165=""),"",'I. Stream &amp; Compound Data'!BY220/$J165*(1-AI$127)*(1-AI$123)*$K165)</f>
        <v/>
      </c>
      <c r="AJ165" s="651" t="str">
        <f>IF(OR(AJ$122="",$I165=""),"",'I. Stream &amp; Compound Data'!CB220/$J165*(1-AJ$127)*(1-AJ$123)*$K165)</f>
        <v/>
      </c>
      <c r="AK165" s="651" t="str">
        <f>IF(OR(AK$122="",$I165=""),"",'I. Stream &amp; Compound Data'!CE220/$J165*(1-AK$127)*(1-AK$123)*$K165)</f>
        <v/>
      </c>
      <c r="AL165" s="651" t="str">
        <f>IF(OR(AL$122="",$I165=""),"",'I. Stream &amp; Compound Data'!CH220/$J165*(1-AL$127)*(1-AL$123)*$K165)</f>
        <v/>
      </c>
      <c r="AM165" s="651" t="str">
        <f>IF(OR(AM$122="",$I165=""),"",'I. Stream &amp; Compound Data'!CK220/$J165*(1-AM$127)*(1-AM$123)*$K165)</f>
        <v/>
      </c>
      <c r="AN165" s="651" t="str">
        <f>IF(OR(AN$122="",$I165=""),"",'I. Stream &amp; Compound Data'!CN220/$J165*(1-AN$127)*(1-AN$123)*$K165)</f>
        <v/>
      </c>
      <c r="AO165" s="651" t="str">
        <f>IF(OR(AO$122="",$I165=""),"",'I. Stream &amp; Compound Data'!CQ220/$J165*(1-AO$127)*(1-AO$123)*$K165)</f>
        <v/>
      </c>
      <c r="AP165" s="651" t="str">
        <f>IF(OR(AP$122="",$I165=""),"",'I. Stream &amp; Compound Data'!CT220/$J165*(1-AP$127)*(1-AP$123)*$K165)</f>
        <v/>
      </c>
      <c r="AQ165" s="651" t="str">
        <f>IF(OR(AQ$122="",$I165=""),"",'I. Stream &amp; Compound Data'!CW220/$J165*(1-AQ$127)*(1-AQ$123)*$K165)</f>
        <v/>
      </c>
      <c r="AR165" s="651" t="str">
        <f>IF(OR(AR$122="",$I165=""),"",'I. Stream &amp; Compound Data'!CZ220/$J165*(1-AR$127)*(1-AR$123)*$K165)</f>
        <v/>
      </c>
      <c r="AS165" s="651" t="str">
        <f>IF(OR(AS$122="",$I165=""),"",'I. Stream &amp; Compound Data'!DC220/$J165*(1-AS$127)*(1-AS$123)*$K165)</f>
        <v/>
      </c>
      <c r="AT165" s="651" t="str">
        <f>IF(OR(AT$122="",$I165=""),"",'I. Stream &amp; Compound Data'!DF220/$J165*(1-AT$127)*(1-AT$123)*$K165)</f>
        <v/>
      </c>
      <c r="AU165" s="651" t="str">
        <f>IF(OR(AU$122="",$I165=""),"",'I. Stream &amp; Compound Data'!DI220/$J165*(1-AU$127)*(1-AU$123)*$K165)</f>
        <v/>
      </c>
      <c r="AV165" s="651" t="str">
        <f>IF(OR(AV$122="",$I165=""),"",'I. Stream &amp; Compound Data'!DL220/$J165*(1-AV$127)*(1-AV$123)*$K165)</f>
        <v/>
      </c>
      <c r="AW165" s="651" t="str">
        <f>IF(OR(AW$122="",$I165=""),"",'I. Stream &amp; Compound Data'!DO220/$J165*(1-AW$127)*(1-AW$123)*$K165)</f>
        <v/>
      </c>
      <c r="AX165" s="651" t="str">
        <f>IF(OR(AX$122="",$I165=""),"",'I. Stream &amp; Compound Data'!DR220/$J165*(1-AX$127)*(1-AX$123)*$K165)</f>
        <v/>
      </c>
      <c r="AY165" s="667" t="str">
        <f>IF(OR(AY$122="",$I165=""),"",'I. Stream &amp; Compound Data'!DU220/$J165*(1-AY$127)*(1-AY$123)*$K165)</f>
        <v/>
      </c>
      <c r="AZ165" s="336"/>
      <c r="BA165" s="632"/>
      <c r="BB165" s="632"/>
      <c r="BC165" s="632"/>
      <c r="BD165" s="632"/>
      <c r="BE165" s="632"/>
      <c r="BF165" s="632"/>
      <c r="BG165" s="632"/>
      <c r="BH165" s="632"/>
      <c r="BI165" s="632"/>
      <c r="BJ165" s="632"/>
      <c r="BK165" s="632"/>
      <c r="BL165" s="632"/>
      <c r="BM165" s="632"/>
      <c r="BN165" s="632"/>
      <c r="BO165" s="632"/>
      <c r="BP165" s="632"/>
      <c r="BQ165" s="632"/>
      <c r="BR165" s="632"/>
      <c r="BS165" s="632"/>
      <c r="BT165" s="632"/>
      <c r="BU165" s="632"/>
      <c r="BV165" s="632"/>
      <c r="BW165" s="632"/>
      <c r="BX165" s="632"/>
      <c r="BY165" s="632"/>
      <c r="BZ165" s="632"/>
      <c r="CA165" s="632"/>
      <c r="CB165" s="632"/>
      <c r="CC165" s="632"/>
      <c r="CD165" s="632"/>
      <c r="CE165" s="632"/>
      <c r="CF165" s="632"/>
      <c r="CG165" s="632"/>
      <c r="CH165" s="632"/>
      <c r="CI165" s="632"/>
      <c r="CJ165" s="632"/>
      <c r="CK165" s="632"/>
      <c r="CL165" s="632"/>
      <c r="CM165" s="632"/>
      <c r="CN165" s="631"/>
    </row>
    <row r="166" spans="2:92" ht="15.75" x14ac:dyDescent="0.2">
      <c r="B166" s="610"/>
      <c r="C166" s="336"/>
      <c r="D166" s="611"/>
      <c r="E166" s="612"/>
      <c r="F166" s="612"/>
      <c r="G166" s="612"/>
      <c r="H166" s="618">
        <f>'I. Stream &amp; Compound Data'!F297</f>
        <v>36</v>
      </c>
      <c r="I166" s="677" t="str">
        <f>IF('I. Stream &amp; Compound Data'!G297&lt;&gt;"",'I. Stream &amp; Compound Data'!G297,"")</f>
        <v/>
      </c>
      <c r="J166" s="676" t="str">
        <f>IF('I. Stream &amp; Compound Data'!BH297="","",'I. Stream &amp; Compound Data'!BH297)</f>
        <v/>
      </c>
      <c r="K166" s="652" t="str">
        <f>IF('I. Stream &amp; Compound Data'!G297="","",IF(OR('I. Stream &amp; Compound Data'!U297=1,'I. Stream &amp; Compound Data'!V297=1,'I. Stream &amp; Compound Data'!AY297&lt;25),0,1))</f>
        <v/>
      </c>
      <c r="L166" s="651" t="str">
        <f>IF(OR(I166="",L$122=""),"",'I. Stream &amp; Compound Data'!H221/$J166*(1-L$127)*(1-L$123)*$K166)</f>
        <v/>
      </c>
      <c r="M166" s="651" t="str">
        <f>IF(OR(J166="",M$122=""),"",'I. Stream &amp; Compound Data'!K221/$J166*(1-M$127)*(1-M$123)*$K166)</f>
        <v/>
      </c>
      <c r="N166" s="651" t="str">
        <f>IF(OR(K166="",N$122=""),"",'I. Stream &amp; Compound Data'!N221/$J166*(1-N$127)*(1-N$123)*$K166)</f>
        <v/>
      </c>
      <c r="O166" s="651" t="str">
        <f>IF(OR(L166="",O$122=""),"",'I. Stream &amp; Compound Data'!Q221/$J166*(1-O$127)*(1-O$123)*$K166)</f>
        <v/>
      </c>
      <c r="P166" s="651" t="str">
        <f>IF(OR(M166="",P$122=""),"",'I. Stream &amp; Compound Data'!T221/$J166*(1-P$127)*(1-P$123)*$K166)</f>
        <v/>
      </c>
      <c r="Q166" s="651" t="str">
        <f>IF(OR(N166="",Q$122=""),"",'I. Stream &amp; Compound Data'!W221/$J166*(1-Q$127)*(1-Q$123)*$K166)</f>
        <v/>
      </c>
      <c r="R166" s="651" t="str">
        <f>IF(OR(O166="",R$122=""),"",'I. Stream &amp; Compound Data'!Z221/$J166*(1-R$127)*(1-R$123)*$K166)</f>
        <v/>
      </c>
      <c r="S166" s="651" t="str">
        <f>IF(OR(P166="",S$122=""),"",'I. Stream &amp; Compound Data'!AC221/$J166*(1-S$127)*(1-S$123)*$K166)</f>
        <v/>
      </c>
      <c r="T166" s="651" t="str">
        <f>IF(OR(Q166="",T$122=""),"",'I. Stream &amp; Compound Data'!AF221/$J166*(1-T$127)*(1-T$123)*$K166)</f>
        <v/>
      </c>
      <c r="U166" s="651" t="str">
        <f>IF(OR(R166="",U$122=""),"",'I. Stream &amp; Compound Data'!AI221/$J166*(1-U$127)*(1-U$123)*$K166)</f>
        <v/>
      </c>
      <c r="V166" s="651" t="str">
        <f>IF(OR(V$122="",$I166=""),"",'I. Stream &amp; Compound Data'!AL221/$J166*(1-V$127)*(1-V$123)*$K166)</f>
        <v/>
      </c>
      <c r="W166" s="651" t="str">
        <f>IF(OR(W$122="",$I166=""),"",'I. Stream &amp; Compound Data'!AO221/$J166*(1-W$127)*(1-W$123)*$K166)</f>
        <v/>
      </c>
      <c r="X166" s="651" t="str">
        <f>IF(OR(X$122="",$I166=""),"",'I. Stream &amp; Compound Data'!AR221/$J166*(1-X$127)*(1-X$123)*$K166)</f>
        <v/>
      </c>
      <c r="Y166" s="651" t="str">
        <f>IF(OR(Y$122="",$I166=""),"",'I. Stream &amp; Compound Data'!AU221/$J166*(1-Y$127)*(1-Y$123)*$K166)</f>
        <v/>
      </c>
      <c r="Z166" s="651" t="str">
        <f>IF(OR(Z$122="",$I166=""),"",'I. Stream &amp; Compound Data'!AX221/$J166*(1-Z$127)*(1-Z$123)*$K166)</f>
        <v/>
      </c>
      <c r="AA166" s="651" t="str">
        <f>IF(OR(AA$122="",$I166=""),"",'I. Stream &amp; Compound Data'!BA221/$J166*(1-AA$127)*(1-AA$123)*$K166)</f>
        <v/>
      </c>
      <c r="AB166" s="651" t="str">
        <f>IF(OR(AB$122="",$I166=""),"",'I. Stream &amp; Compound Data'!BD221/$J166*(1-AB$127)*(1-AB$123)*$K166)</f>
        <v/>
      </c>
      <c r="AC166" s="651" t="str">
        <f>IF(OR(AC$122="",$I166=""),"",'I. Stream &amp; Compound Data'!BG221/$J166*(1-AC$127)*(1-AC$123)*$K166)</f>
        <v/>
      </c>
      <c r="AD166" s="651" t="str">
        <f>IF(OR(AD$122="",$I166=""),"",'I. Stream &amp; Compound Data'!BJ221/$J166*(1-AD$127)*(1-AD$123)*$K166)</f>
        <v/>
      </c>
      <c r="AE166" s="651" t="str">
        <f>IF(OR(AE$122="",$I166=""),"",'I. Stream &amp; Compound Data'!BM221/$J166*(1-AE$127)*(1-AE$123)*$K166)</f>
        <v/>
      </c>
      <c r="AF166" s="651" t="str">
        <f>IF(OR(AF$122="",$I166=""),"",'I. Stream &amp; Compound Data'!BP221/$J166*(1-AF$127)*(1-AF$123)*$K166)</f>
        <v/>
      </c>
      <c r="AG166" s="651" t="str">
        <f>IF(OR(AG$122="",$I166=""),"",'I. Stream &amp; Compound Data'!BS221/$J166*(1-AG$127)*(1-AG$123)*$K166)</f>
        <v/>
      </c>
      <c r="AH166" s="651" t="str">
        <f>IF(OR(AH$122="",$I166=""),"",'I. Stream &amp; Compound Data'!BV221/$J166*(1-AH$127)*(1-AH$123)*$K166)</f>
        <v/>
      </c>
      <c r="AI166" s="651" t="str">
        <f>IF(OR(AI$122="",$I166=""),"",'I. Stream &amp; Compound Data'!BY221/$J166*(1-AI$127)*(1-AI$123)*$K166)</f>
        <v/>
      </c>
      <c r="AJ166" s="651" t="str">
        <f>IF(OR(AJ$122="",$I166=""),"",'I. Stream &amp; Compound Data'!CB221/$J166*(1-AJ$127)*(1-AJ$123)*$K166)</f>
        <v/>
      </c>
      <c r="AK166" s="651" t="str">
        <f>IF(OR(AK$122="",$I166=""),"",'I. Stream &amp; Compound Data'!CE221/$J166*(1-AK$127)*(1-AK$123)*$K166)</f>
        <v/>
      </c>
      <c r="AL166" s="651" t="str">
        <f>IF(OR(AL$122="",$I166=""),"",'I. Stream &amp; Compound Data'!CH221/$J166*(1-AL$127)*(1-AL$123)*$K166)</f>
        <v/>
      </c>
      <c r="AM166" s="651" t="str">
        <f>IF(OR(AM$122="",$I166=""),"",'I. Stream &amp; Compound Data'!CK221/$J166*(1-AM$127)*(1-AM$123)*$K166)</f>
        <v/>
      </c>
      <c r="AN166" s="651" t="str">
        <f>IF(OR(AN$122="",$I166=""),"",'I. Stream &amp; Compound Data'!CN221/$J166*(1-AN$127)*(1-AN$123)*$K166)</f>
        <v/>
      </c>
      <c r="AO166" s="651" t="str">
        <f>IF(OR(AO$122="",$I166=""),"",'I. Stream &amp; Compound Data'!CQ221/$J166*(1-AO$127)*(1-AO$123)*$K166)</f>
        <v/>
      </c>
      <c r="AP166" s="651" t="str">
        <f>IF(OR(AP$122="",$I166=""),"",'I. Stream &amp; Compound Data'!CT221/$J166*(1-AP$127)*(1-AP$123)*$K166)</f>
        <v/>
      </c>
      <c r="AQ166" s="651" t="str">
        <f>IF(OR(AQ$122="",$I166=""),"",'I. Stream &amp; Compound Data'!CW221/$J166*(1-AQ$127)*(1-AQ$123)*$K166)</f>
        <v/>
      </c>
      <c r="AR166" s="651" t="str">
        <f>IF(OR(AR$122="",$I166=""),"",'I. Stream &amp; Compound Data'!CZ221/$J166*(1-AR$127)*(1-AR$123)*$K166)</f>
        <v/>
      </c>
      <c r="AS166" s="651" t="str">
        <f>IF(OR(AS$122="",$I166=""),"",'I. Stream &amp; Compound Data'!DC221/$J166*(1-AS$127)*(1-AS$123)*$K166)</f>
        <v/>
      </c>
      <c r="AT166" s="651" t="str">
        <f>IF(OR(AT$122="",$I166=""),"",'I. Stream &amp; Compound Data'!DF221/$J166*(1-AT$127)*(1-AT$123)*$K166)</f>
        <v/>
      </c>
      <c r="AU166" s="651" t="str">
        <f>IF(OR(AU$122="",$I166=""),"",'I. Stream &amp; Compound Data'!DI221/$J166*(1-AU$127)*(1-AU$123)*$K166)</f>
        <v/>
      </c>
      <c r="AV166" s="651" t="str">
        <f>IF(OR(AV$122="",$I166=""),"",'I. Stream &amp; Compound Data'!DL221/$J166*(1-AV$127)*(1-AV$123)*$K166)</f>
        <v/>
      </c>
      <c r="AW166" s="651" t="str">
        <f>IF(OR(AW$122="",$I166=""),"",'I. Stream &amp; Compound Data'!DO221/$J166*(1-AW$127)*(1-AW$123)*$K166)</f>
        <v/>
      </c>
      <c r="AX166" s="651" t="str">
        <f>IF(OR(AX$122="",$I166=""),"",'I. Stream &amp; Compound Data'!DR221/$J166*(1-AX$127)*(1-AX$123)*$K166)</f>
        <v/>
      </c>
      <c r="AY166" s="667" t="str">
        <f>IF(OR(AY$122="",$I166=""),"",'I. Stream &amp; Compound Data'!DU221/$J166*(1-AY$127)*(1-AY$123)*$K166)</f>
        <v/>
      </c>
      <c r="AZ166" s="336"/>
      <c r="BA166" s="632"/>
      <c r="BB166" s="632"/>
      <c r="BC166" s="632"/>
      <c r="BD166" s="632"/>
      <c r="BE166" s="632"/>
      <c r="BF166" s="632"/>
      <c r="BG166" s="632"/>
      <c r="BH166" s="632"/>
      <c r="BI166" s="632"/>
      <c r="BJ166" s="632"/>
      <c r="BK166" s="632"/>
      <c r="BL166" s="632"/>
      <c r="BM166" s="632"/>
      <c r="BN166" s="632"/>
      <c r="BO166" s="632"/>
      <c r="BP166" s="632"/>
      <c r="BQ166" s="632"/>
      <c r="BR166" s="632"/>
      <c r="BS166" s="632"/>
      <c r="BT166" s="632"/>
      <c r="BU166" s="632"/>
      <c r="BV166" s="632"/>
      <c r="BW166" s="632"/>
      <c r="BX166" s="632"/>
      <c r="BY166" s="632"/>
      <c r="BZ166" s="632"/>
      <c r="CA166" s="632"/>
      <c r="CB166" s="632"/>
      <c r="CC166" s="632"/>
      <c r="CD166" s="632"/>
      <c r="CE166" s="632"/>
      <c r="CF166" s="632"/>
      <c r="CG166" s="632"/>
      <c r="CH166" s="632"/>
      <c r="CI166" s="632"/>
      <c r="CJ166" s="632"/>
      <c r="CK166" s="632"/>
      <c r="CL166" s="632"/>
      <c r="CM166" s="632"/>
      <c r="CN166" s="631"/>
    </row>
    <row r="167" spans="2:92" ht="15.75" x14ac:dyDescent="0.2">
      <c r="B167" s="610"/>
      <c r="C167" s="336"/>
      <c r="D167" s="611"/>
      <c r="E167" s="612"/>
      <c r="F167" s="612"/>
      <c r="G167" s="612"/>
      <c r="H167" s="618">
        <f>'I. Stream &amp; Compound Data'!F298</f>
        <v>37</v>
      </c>
      <c r="I167" s="677" t="str">
        <f>IF('I. Stream &amp; Compound Data'!G298&lt;&gt;"",'I. Stream &amp; Compound Data'!G298,"")</f>
        <v/>
      </c>
      <c r="J167" s="676" t="str">
        <f>IF('I. Stream &amp; Compound Data'!BH298="","",'I. Stream &amp; Compound Data'!BH298)</f>
        <v/>
      </c>
      <c r="K167" s="652" t="str">
        <f>IF('I. Stream &amp; Compound Data'!G298="","",IF(OR('I. Stream &amp; Compound Data'!U298=1,'I. Stream &amp; Compound Data'!V298=1,'I. Stream &amp; Compound Data'!AY298&lt;25),0,1))</f>
        <v/>
      </c>
      <c r="L167" s="651" t="str">
        <f>IF(OR(I167="",L$122=""),"",'I. Stream &amp; Compound Data'!H222/$J167*(1-L$127)*(1-L$123)*$K167)</f>
        <v/>
      </c>
      <c r="M167" s="651" t="str">
        <f>IF(OR(J167="",M$122=""),"",'I. Stream &amp; Compound Data'!K222/$J167*(1-M$127)*(1-M$123)*$K167)</f>
        <v/>
      </c>
      <c r="N167" s="651" t="str">
        <f>IF(OR(K167="",N$122=""),"",'I. Stream &amp; Compound Data'!N222/$J167*(1-N$127)*(1-N$123)*$K167)</f>
        <v/>
      </c>
      <c r="O167" s="651" t="str">
        <f>IF(OR(L167="",O$122=""),"",'I. Stream &amp; Compound Data'!Q222/$J167*(1-O$127)*(1-O$123)*$K167)</f>
        <v/>
      </c>
      <c r="P167" s="651" t="str">
        <f>IF(OR(M167="",P$122=""),"",'I. Stream &amp; Compound Data'!T222/$J167*(1-P$127)*(1-P$123)*$K167)</f>
        <v/>
      </c>
      <c r="Q167" s="651" t="str">
        <f>IF(OR(N167="",Q$122=""),"",'I. Stream &amp; Compound Data'!W222/$J167*(1-Q$127)*(1-Q$123)*$K167)</f>
        <v/>
      </c>
      <c r="R167" s="651" t="str">
        <f>IF(OR(O167="",R$122=""),"",'I. Stream &amp; Compound Data'!Z222/$J167*(1-R$127)*(1-R$123)*$K167)</f>
        <v/>
      </c>
      <c r="S167" s="651" t="str">
        <f>IF(OR(P167="",S$122=""),"",'I. Stream &amp; Compound Data'!AC222/$J167*(1-S$127)*(1-S$123)*$K167)</f>
        <v/>
      </c>
      <c r="T167" s="651" t="str">
        <f>IF(OR(Q167="",T$122=""),"",'I. Stream &amp; Compound Data'!AF222/$J167*(1-T$127)*(1-T$123)*$K167)</f>
        <v/>
      </c>
      <c r="U167" s="651" t="str">
        <f>IF(OR(R167="",U$122=""),"",'I. Stream &amp; Compound Data'!AI222/$J167*(1-U$127)*(1-U$123)*$K167)</f>
        <v/>
      </c>
      <c r="V167" s="651" t="str">
        <f>IF(OR(V$122="",$I167=""),"",'I. Stream &amp; Compound Data'!AL222/$J167*(1-V$127)*(1-V$123)*$K167)</f>
        <v/>
      </c>
      <c r="W167" s="651" t="str">
        <f>IF(OR(W$122="",$I167=""),"",'I. Stream &amp; Compound Data'!AO222/$J167*(1-W$127)*(1-W$123)*$K167)</f>
        <v/>
      </c>
      <c r="X167" s="651" t="str">
        <f>IF(OR(X$122="",$I167=""),"",'I. Stream &amp; Compound Data'!AR222/$J167*(1-X$127)*(1-X$123)*$K167)</f>
        <v/>
      </c>
      <c r="Y167" s="651" t="str">
        <f>IF(OR(Y$122="",$I167=""),"",'I. Stream &amp; Compound Data'!AU222/$J167*(1-Y$127)*(1-Y$123)*$K167)</f>
        <v/>
      </c>
      <c r="Z167" s="651" t="str">
        <f>IF(OR(Z$122="",$I167=""),"",'I. Stream &amp; Compound Data'!AX222/$J167*(1-Z$127)*(1-Z$123)*$K167)</f>
        <v/>
      </c>
      <c r="AA167" s="651" t="str">
        <f>IF(OR(AA$122="",$I167=""),"",'I. Stream &amp; Compound Data'!BA222/$J167*(1-AA$127)*(1-AA$123)*$K167)</f>
        <v/>
      </c>
      <c r="AB167" s="651" t="str">
        <f>IF(OR(AB$122="",$I167=""),"",'I. Stream &amp; Compound Data'!BD222/$J167*(1-AB$127)*(1-AB$123)*$K167)</f>
        <v/>
      </c>
      <c r="AC167" s="651" t="str">
        <f>IF(OR(AC$122="",$I167=""),"",'I. Stream &amp; Compound Data'!BG222/$J167*(1-AC$127)*(1-AC$123)*$K167)</f>
        <v/>
      </c>
      <c r="AD167" s="651" t="str">
        <f>IF(OR(AD$122="",$I167=""),"",'I. Stream &amp; Compound Data'!BJ222/$J167*(1-AD$127)*(1-AD$123)*$K167)</f>
        <v/>
      </c>
      <c r="AE167" s="651" t="str">
        <f>IF(OR(AE$122="",$I167=""),"",'I. Stream &amp; Compound Data'!BM222/$J167*(1-AE$127)*(1-AE$123)*$K167)</f>
        <v/>
      </c>
      <c r="AF167" s="651" t="str">
        <f>IF(OR(AF$122="",$I167=""),"",'I. Stream &amp; Compound Data'!BP222/$J167*(1-AF$127)*(1-AF$123)*$K167)</f>
        <v/>
      </c>
      <c r="AG167" s="651" t="str">
        <f>IF(OR(AG$122="",$I167=""),"",'I. Stream &amp; Compound Data'!BS222/$J167*(1-AG$127)*(1-AG$123)*$K167)</f>
        <v/>
      </c>
      <c r="AH167" s="651" t="str">
        <f>IF(OR(AH$122="",$I167=""),"",'I. Stream &amp; Compound Data'!BV222/$J167*(1-AH$127)*(1-AH$123)*$K167)</f>
        <v/>
      </c>
      <c r="AI167" s="651" t="str">
        <f>IF(OR(AI$122="",$I167=""),"",'I. Stream &amp; Compound Data'!BY222/$J167*(1-AI$127)*(1-AI$123)*$K167)</f>
        <v/>
      </c>
      <c r="AJ167" s="651" t="str">
        <f>IF(OR(AJ$122="",$I167=""),"",'I. Stream &amp; Compound Data'!CB222/$J167*(1-AJ$127)*(1-AJ$123)*$K167)</f>
        <v/>
      </c>
      <c r="AK167" s="651" t="str">
        <f>IF(OR(AK$122="",$I167=""),"",'I. Stream &amp; Compound Data'!CE222/$J167*(1-AK$127)*(1-AK$123)*$K167)</f>
        <v/>
      </c>
      <c r="AL167" s="651" t="str">
        <f>IF(OR(AL$122="",$I167=""),"",'I. Stream &amp; Compound Data'!CH222/$J167*(1-AL$127)*(1-AL$123)*$K167)</f>
        <v/>
      </c>
      <c r="AM167" s="651" t="str">
        <f>IF(OR(AM$122="",$I167=""),"",'I. Stream &amp; Compound Data'!CK222/$J167*(1-AM$127)*(1-AM$123)*$K167)</f>
        <v/>
      </c>
      <c r="AN167" s="651" t="str">
        <f>IF(OR(AN$122="",$I167=""),"",'I. Stream &amp; Compound Data'!CN222/$J167*(1-AN$127)*(1-AN$123)*$K167)</f>
        <v/>
      </c>
      <c r="AO167" s="651" t="str">
        <f>IF(OR(AO$122="",$I167=""),"",'I. Stream &amp; Compound Data'!CQ222/$J167*(1-AO$127)*(1-AO$123)*$K167)</f>
        <v/>
      </c>
      <c r="AP167" s="651" t="str">
        <f>IF(OR(AP$122="",$I167=""),"",'I. Stream &amp; Compound Data'!CT222/$J167*(1-AP$127)*(1-AP$123)*$K167)</f>
        <v/>
      </c>
      <c r="AQ167" s="651" t="str">
        <f>IF(OR(AQ$122="",$I167=""),"",'I. Stream &amp; Compound Data'!CW222/$J167*(1-AQ$127)*(1-AQ$123)*$K167)</f>
        <v/>
      </c>
      <c r="AR167" s="651" t="str">
        <f>IF(OR(AR$122="",$I167=""),"",'I. Stream &amp; Compound Data'!CZ222/$J167*(1-AR$127)*(1-AR$123)*$K167)</f>
        <v/>
      </c>
      <c r="AS167" s="651" t="str">
        <f>IF(OR(AS$122="",$I167=""),"",'I. Stream &amp; Compound Data'!DC222/$J167*(1-AS$127)*(1-AS$123)*$K167)</f>
        <v/>
      </c>
      <c r="AT167" s="651" t="str">
        <f>IF(OR(AT$122="",$I167=""),"",'I. Stream &amp; Compound Data'!DF222/$J167*(1-AT$127)*(1-AT$123)*$K167)</f>
        <v/>
      </c>
      <c r="AU167" s="651" t="str">
        <f>IF(OR(AU$122="",$I167=""),"",'I. Stream &amp; Compound Data'!DI222/$J167*(1-AU$127)*(1-AU$123)*$K167)</f>
        <v/>
      </c>
      <c r="AV167" s="651" t="str">
        <f>IF(OR(AV$122="",$I167=""),"",'I. Stream &amp; Compound Data'!DL222/$J167*(1-AV$127)*(1-AV$123)*$K167)</f>
        <v/>
      </c>
      <c r="AW167" s="651" t="str">
        <f>IF(OR(AW$122="",$I167=""),"",'I. Stream &amp; Compound Data'!DO222/$J167*(1-AW$127)*(1-AW$123)*$K167)</f>
        <v/>
      </c>
      <c r="AX167" s="651" t="str">
        <f>IF(OR(AX$122="",$I167=""),"",'I. Stream &amp; Compound Data'!DR222/$J167*(1-AX$127)*(1-AX$123)*$K167)</f>
        <v/>
      </c>
      <c r="AY167" s="667" t="str">
        <f>IF(OR(AY$122="",$I167=""),"",'I. Stream &amp; Compound Data'!DU222/$J167*(1-AY$127)*(1-AY$123)*$K167)</f>
        <v/>
      </c>
      <c r="AZ167" s="336"/>
      <c r="BA167" s="632"/>
      <c r="BB167" s="632"/>
      <c r="BC167" s="632"/>
      <c r="BD167" s="632"/>
      <c r="BE167" s="632"/>
      <c r="BF167" s="632"/>
      <c r="BG167" s="632"/>
      <c r="BH167" s="632"/>
      <c r="BI167" s="632"/>
      <c r="BJ167" s="632"/>
      <c r="BK167" s="632"/>
      <c r="BL167" s="632"/>
      <c r="BM167" s="632"/>
      <c r="BN167" s="632"/>
      <c r="BO167" s="632"/>
      <c r="BP167" s="632"/>
      <c r="BQ167" s="632"/>
      <c r="BR167" s="632"/>
      <c r="BS167" s="632"/>
      <c r="BT167" s="632"/>
      <c r="BU167" s="632"/>
      <c r="BV167" s="632"/>
      <c r="BW167" s="632"/>
      <c r="BX167" s="632"/>
      <c r="BY167" s="632"/>
      <c r="BZ167" s="632"/>
      <c r="CA167" s="632"/>
      <c r="CB167" s="632"/>
      <c r="CC167" s="632"/>
      <c r="CD167" s="632"/>
      <c r="CE167" s="632"/>
      <c r="CF167" s="632"/>
      <c r="CG167" s="632"/>
      <c r="CH167" s="632"/>
      <c r="CI167" s="632"/>
      <c r="CJ167" s="632"/>
      <c r="CK167" s="632"/>
      <c r="CL167" s="632"/>
      <c r="CM167" s="632"/>
      <c r="CN167" s="631"/>
    </row>
    <row r="168" spans="2:92" ht="15.75" x14ac:dyDescent="0.2">
      <c r="B168" s="610"/>
      <c r="C168" s="336"/>
      <c r="D168" s="611"/>
      <c r="E168" s="612"/>
      <c r="F168" s="612"/>
      <c r="G168" s="612"/>
      <c r="H168" s="618">
        <f>'I. Stream &amp; Compound Data'!F299</f>
        <v>38</v>
      </c>
      <c r="I168" s="677" t="str">
        <f>IF('I. Stream &amp; Compound Data'!G299&lt;&gt;"",'I. Stream &amp; Compound Data'!G299,"")</f>
        <v/>
      </c>
      <c r="J168" s="676" t="str">
        <f>IF('I. Stream &amp; Compound Data'!BH299="","",'I. Stream &amp; Compound Data'!BH299)</f>
        <v/>
      </c>
      <c r="K168" s="652" t="str">
        <f>IF('I. Stream &amp; Compound Data'!G299="","",IF(OR('I. Stream &amp; Compound Data'!U299=1,'I. Stream &amp; Compound Data'!V299=1,'I. Stream &amp; Compound Data'!AY299&lt;25),0,1))</f>
        <v/>
      </c>
      <c r="L168" s="651" t="str">
        <f>IF(OR(I168="",L$122=""),"",'I. Stream &amp; Compound Data'!H223/$J168*(1-L$127)*(1-L$123)*$K168)</f>
        <v/>
      </c>
      <c r="M168" s="651" t="str">
        <f>IF(OR(J168="",M$122=""),"",'I. Stream &amp; Compound Data'!K223/$J168*(1-M$127)*(1-M$123)*$K168)</f>
        <v/>
      </c>
      <c r="N168" s="651" t="str">
        <f>IF(OR(K168="",N$122=""),"",'I. Stream &amp; Compound Data'!N223/$J168*(1-N$127)*(1-N$123)*$K168)</f>
        <v/>
      </c>
      <c r="O168" s="651" t="str">
        <f>IF(OR(L168="",O$122=""),"",'I. Stream &amp; Compound Data'!Q223/$J168*(1-O$127)*(1-O$123)*$K168)</f>
        <v/>
      </c>
      <c r="P168" s="651" t="str">
        <f>IF(OR(M168="",P$122=""),"",'I. Stream &amp; Compound Data'!T223/$J168*(1-P$127)*(1-P$123)*$K168)</f>
        <v/>
      </c>
      <c r="Q168" s="651" t="str">
        <f>IF(OR(N168="",Q$122=""),"",'I. Stream &amp; Compound Data'!W223/$J168*(1-Q$127)*(1-Q$123)*$K168)</f>
        <v/>
      </c>
      <c r="R168" s="651" t="str">
        <f>IF(OR(O168="",R$122=""),"",'I. Stream &amp; Compound Data'!Z223/$J168*(1-R$127)*(1-R$123)*$K168)</f>
        <v/>
      </c>
      <c r="S168" s="651" t="str">
        <f>IF(OR(P168="",S$122=""),"",'I. Stream &amp; Compound Data'!AC223/$J168*(1-S$127)*(1-S$123)*$K168)</f>
        <v/>
      </c>
      <c r="T168" s="651" t="str">
        <f>IF(OR(Q168="",T$122=""),"",'I. Stream &amp; Compound Data'!AF223/$J168*(1-T$127)*(1-T$123)*$K168)</f>
        <v/>
      </c>
      <c r="U168" s="651" t="str">
        <f>IF(OR(R168="",U$122=""),"",'I. Stream &amp; Compound Data'!AI223/$J168*(1-U$127)*(1-U$123)*$K168)</f>
        <v/>
      </c>
      <c r="V168" s="651" t="str">
        <f>IF(OR(V$122="",$I168=""),"",'I. Stream &amp; Compound Data'!AL223/$J168*(1-V$127)*(1-V$123)*$K168)</f>
        <v/>
      </c>
      <c r="W168" s="651" t="str">
        <f>IF(OR(W$122="",$I168=""),"",'I. Stream &amp; Compound Data'!AO223/$J168*(1-W$127)*(1-W$123)*$K168)</f>
        <v/>
      </c>
      <c r="X168" s="651" t="str">
        <f>IF(OR(X$122="",$I168=""),"",'I. Stream &amp; Compound Data'!AR223/$J168*(1-X$127)*(1-X$123)*$K168)</f>
        <v/>
      </c>
      <c r="Y168" s="651" t="str">
        <f>IF(OR(Y$122="",$I168=""),"",'I. Stream &amp; Compound Data'!AU223/$J168*(1-Y$127)*(1-Y$123)*$K168)</f>
        <v/>
      </c>
      <c r="Z168" s="651" t="str">
        <f>IF(OR(Z$122="",$I168=""),"",'I. Stream &amp; Compound Data'!AX223/$J168*(1-Z$127)*(1-Z$123)*$K168)</f>
        <v/>
      </c>
      <c r="AA168" s="651" t="str">
        <f>IF(OR(AA$122="",$I168=""),"",'I. Stream &amp; Compound Data'!BA223/$J168*(1-AA$127)*(1-AA$123)*$K168)</f>
        <v/>
      </c>
      <c r="AB168" s="651" t="str">
        <f>IF(OR(AB$122="",$I168=""),"",'I. Stream &amp; Compound Data'!BD223/$J168*(1-AB$127)*(1-AB$123)*$K168)</f>
        <v/>
      </c>
      <c r="AC168" s="651" t="str">
        <f>IF(OR(AC$122="",$I168=""),"",'I. Stream &amp; Compound Data'!BG223/$J168*(1-AC$127)*(1-AC$123)*$K168)</f>
        <v/>
      </c>
      <c r="AD168" s="651" t="str">
        <f>IF(OR(AD$122="",$I168=""),"",'I. Stream &amp; Compound Data'!BJ223/$J168*(1-AD$127)*(1-AD$123)*$K168)</f>
        <v/>
      </c>
      <c r="AE168" s="651" t="str">
        <f>IF(OR(AE$122="",$I168=""),"",'I. Stream &amp; Compound Data'!BM223/$J168*(1-AE$127)*(1-AE$123)*$K168)</f>
        <v/>
      </c>
      <c r="AF168" s="651" t="str">
        <f>IF(OR(AF$122="",$I168=""),"",'I. Stream &amp; Compound Data'!BP223/$J168*(1-AF$127)*(1-AF$123)*$K168)</f>
        <v/>
      </c>
      <c r="AG168" s="651" t="str">
        <f>IF(OR(AG$122="",$I168=""),"",'I. Stream &amp; Compound Data'!BS223/$J168*(1-AG$127)*(1-AG$123)*$K168)</f>
        <v/>
      </c>
      <c r="AH168" s="651" t="str">
        <f>IF(OR(AH$122="",$I168=""),"",'I. Stream &amp; Compound Data'!BV223/$J168*(1-AH$127)*(1-AH$123)*$K168)</f>
        <v/>
      </c>
      <c r="AI168" s="651" t="str">
        <f>IF(OR(AI$122="",$I168=""),"",'I. Stream &amp; Compound Data'!BY223/$J168*(1-AI$127)*(1-AI$123)*$K168)</f>
        <v/>
      </c>
      <c r="AJ168" s="651" t="str">
        <f>IF(OR(AJ$122="",$I168=""),"",'I. Stream &amp; Compound Data'!CB223/$J168*(1-AJ$127)*(1-AJ$123)*$K168)</f>
        <v/>
      </c>
      <c r="AK168" s="651" t="str">
        <f>IF(OR(AK$122="",$I168=""),"",'I. Stream &amp; Compound Data'!CE223/$J168*(1-AK$127)*(1-AK$123)*$K168)</f>
        <v/>
      </c>
      <c r="AL168" s="651" t="str">
        <f>IF(OR(AL$122="",$I168=""),"",'I. Stream &amp; Compound Data'!CH223/$J168*(1-AL$127)*(1-AL$123)*$K168)</f>
        <v/>
      </c>
      <c r="AM168" s="651" t="str">
        <f>IF(OR(AM$122="",$I168=""),"",'I. Stream &amp; Compound Data'!CK223/$J168*(1-AM$127)*(1-AM$123)*$K168)</f>
        <v/>
      </c>
      <c r="AN168" s="651" t="str">
        <f>IF(OR(AN$122="",$I168=""),"",'I. Stream &amp; Compound Data'!CN223/$J168*(1-AN$127)*(1-AN$123)*$K168)</f>
        <v/>
      </c>
      <c r="AO168" s="651" t="str">
        <f>IF(OR(AO$122="",$I168=""),"",'I. Stream &amp; Compound Data'!CQ223/$J168*(1-AO$127)*(1-AO$123)*$K168)</f>
        <v/>
      </c>
      <c r="AP168" s="651" t="str">
        <f>IF(OR(AP$122="",$I168=""),"",'I. Stream &amp; Compound Data'!CT223/$J168*(1-AP$127)*(1-AP$123)*$K168)</f>
        <v/>
      </c>
      <c r="AQ168" s="651" t="str">
        <f>IF(OR(AQ$122="",$I168=""),"",'I. Stream &amp; Compound Data'!CW223/$J168*(1-AQ$127)*(1-AQ$123)*$K168)</f>
        <v/>
      </c>
      <c r="AR168" s="651" t="str">
        <f>IF(OR(AR$122="",$I168=""),"",'I. Stream &amp; Compound Data'!CZ223/$J168*(1-AR$127)*(1-AR$123)*$K168)</f>
        <v/>
      </c>
      <c r="AS168" s="651" t="str">
        <f>IF(OR(AS$122="",$I168=""),"",'I. Stream &amp; Compound Data'!DC223/$J168*(1-AS$127)*(1-AS$123)*$K168)</f>
        <v/>
      </c>
      <c r="AT168" s="651" t="str">
        <f>IF(OR(AT$122="",$I168=""),"",'I. Stream &amp; Compound Data'!DF223/$J168*(1-AT$127)*(1-AT$123)*$K168)</f>
        <v/>
      </c>
      <c r="AU168" s="651" t="str">
        <f>IF(OR(AU$122="",$I168=""),"",'I. Stream &amp; Compound Data'!DI223/$J168*(1-AU$127)*(1-AU$123)*$K168)</f>
        <v/>
      </c>
      <c r="AV168" s="651" t="str">
        <f>IF(OR(AV$122="",$I168=""),"",'I. Stream &amp; Compound Data'!DL223/$J168*(1-AV$127)*(1-AV$123)*$K168)</f>
        <v/>
      </c>
      <c r="AW168" s="651" t="str">
        <f>IF(OR(AW$122="",$I168=""),"",'I. Stream &amp; Compound Data'!DO223/$J168*(1-AW$127)*(1-AW$123)*$K168)</f>
        <v/>
      </c>
      <c r="AX168" s="651" t="str">
        <f>IF(OR(AX$122="",$I168=""),"",'I. Stream &amp; Compound Data'!DR223/$J168*(1-AX$127)*(1-AX$123)*$K168)</f>
        <v/>
      </c>
      <c r="AY168" s="667" t="str">
        <f>IF(OR(AY$122="",$I168=""),"",'I. Stream &amp; Compound Data'!DU223/$J168*(1-AY$127)*(1-AY$123)*$K168)</f>
        <v/>
      </c>
      <c r="AZ168" s="336"/>
      <c r="BA168" s="632"/>
      <c r="BB168" s="632"/>
      <c r="BC168" s="632"/>
      <c r="BD168" s="632"/>
      <c r="BE168" s="632"/>
      <c r="BF168" s="632"/>
      <c r="BG168" s="632"/>
      <c r="BH168" s="632"/>
      <c r="BI168" s="632"/>
      <c r="BJ168" s="632"/>
      <c r="BK168" s="632"/>
      <c r="BL168" s="632"/>
      <c r="BM168" s="632"/>
      <c r="BN168" s="632"/>
      <c r="BO168" s="632"/>
      <c r="BP168" s="632"/>
      <c r="BQ168" s="632"/>
      <c r="BR168" s="632"/>
      <c r="BS168" s="632"/>
      <c r="BT168" s="632"/>
      <c r="BU168" s="632"/>
      <c r="BV168" s="632"/>
      <c r="BW168" s="632"/>
      <c r="BX168" s="632"/>
      <c r="BY168" s="632"/>
      <c r="BZ168" s="632"/>
      <c r="CA168" s="632"/>
      <c r="CB168" s="632"/>
      <c r="CC168" s="632"/>
      <c r="CD168" s="632"/>
      <c r="CE168" s="632"/>
      <c r="CF168" s="632"/>
      <c r="CG168" s="632"/>
      <c r="CH168" s="632"/>
      <c r="CI168" s="632"/>
      <c r="CJ168" s="632"/>
      <c r="CK168" s="632"/>
      <c r="CL168" s="632"/>
      <c r="CM168" s="632"/>
      <c r="CN168" s="631"/>
    </row>
    <row r="169" spans="2:92" ht="15.75" x14ac:dyDescent="0.2">
      <c r="B169" s="610"/>
      <c r="C169" s="336"/>
      <c r="D169" s="611"/>
      <c r="E169" s="612"/>
      <c r="F169" s="612"/>
      <c r="G169" s="612"/>
      <c r="H169" s="618">
        <f>'I. Stream &amp; Compound Data'!F300</f>
        <v>39</v>
      </c>
      <c r="I169" s="677" t="str">
        <f>IF('I. Stream &amp; Compound Data'!G300&lt;&gt;"",'I. Stream &amp; Compound Data'!G300,"")</f>
        <v/>
      </c>
      <c r="J169" s="676" t="str">
        <f>IF('I. Stream &amp; Compound Data'!BH300="","",'I. Stream &amp; Compound Data'!BH300)</f>
        <v/>
      </c>
      <c r="K169" s="652" t="str">
        <f>IF('I. Stream &amp; Compound Data'!G300="","",IF(OR('I. Stream &amp; Compound Data'!U300=1,'I. Stream &amp; Compound Data'!V300=1,'I. Stream &amp; Compound Data'!AY300&lt;25),0,1))</f>
        <v/>
      </c>
      <c r="L169" s="651" t="str">
        <f>IF(OR(I169="",L$122=""),"",'I. Stream &amp; Compound Data'!H224/$J169*(1-L$127)*(1-L$123)*$K169)</f>
        <v/>
      </c>
      <c r="M169" s="651" t="str">
        <f>IF(OR(J169="",M$122=""),"",'I. Stream &amp; Compound Data'!K224/$J169*(1-M$127)*(1-M$123)*$K169)</f>
        <v/>
      </c>
      <c r="N169" s="651" t="str">
        <f>IF(OR(K169="",N$122=""),"",'I. Stream &amp; Compound Data'!N224/$J169*(1-N$127)*(1-N$123)*$K169)</f>
        <v/>
      </c>
      <c r="O169" s="651" t="str">
        <f>IF(OR(L169="",O$122=""),"",'I. Stream &amp; Compound Data'!Q224/$J169*(1-O$127)*(1-O$123)*$K169)</f>
        <v/>
      </c>
      <c r="P169" s="651" t="str">
        <f>IF(OR(M169="",P$122=""),"",'I. Stream &amp; Compound Data'!T224/$J169*(1-P$127)*(1-P$123)*$K169)</f>
        <v/>
      </c>
      <c r="Q169" s="651" t="str">
        <f>IF(OR(N169="",Q$122=""),"",'I. Stream &amp; Compound Data'!W224/$J169*(1-Q$127)*(1-Q$123)*$K169)</f>
        <v/>
      </c>
      <c r="R169" s="651" t="str">
        <f>IF(OR(O169="",R$122=""),"",'I. Stream &amp; Compound Data'!Z224/$J169*(1-R$127)*(1-R$123)*$K169)</f>
        <v/>
      </c>
      <c r="S169" s="651" t="str">
        <f>IF(OR(P169="",S$122=""),"",'I. Stream &amp; Compound Data'!AC224/$J169*(1-S$127)*(1-S$123)*$K169)</f>
        <v/>
      </c>
      <c r="T169" s="651" t="str">
        <f>IF(OR(Q169="",T$122=""),"",'I. Stream &amp; Compound Data'!AF224/$J169*(1-T$127)*(1-T$123)*$K169)</f>
        <v/>
      </c>
      <c r="U169" s="651" t="str">
        <f>IF(OR(R169="",U$122=""),"",'I. Stream &amp; Compound Data'!AI224/$J169*(1-U$127)*(1-U$123)*$K169)</f>
        <v/>
      </c>
      <c r="V169" s="651" t="str">
        <f>IF(OR(V$122="",$I169=""),"",'I. Stream &amp; Compound Data'!AL224/$J169*(1-V$127)*(1-V$123)*$K169)</f>
        <v/>
      </c>
      <c r="W169" s="651" t="str">
        <f>IF(OR(W$122="",$I169=""),"",'I. Stream &amp; Compound Data'!AO224/$J169*(1-W$127)*(1-W$123)*$K169)</f>
        <v/>
      </c>
      <c r="X169" s="651" t="str">
        <f>IF(OR(X$122="",$I169=""),"",'I. Stream &amp; Compound Data'!AR224/$J169*(1-X$127)*(1-X$123)*$K169)</f>
        <v/>
      </c>
      <c r="Y169" s="651" t="str">
        <f>IF(OR(Y$122="",$I169=""),"",'I. Stream &amp; Compound Data'!AU224/$J169*(1-Y$127)*(1-Y$123)*$K169)</f>
        <v/>
      </c>
      <c r="Z169" s="651" t="str">
        <f>IF(OR(Z$122="",$I169=""),"",'I. Stream &amp; Compound Data'!AX224/$J169*(1-Z$127)*(1-Z$123)*$K169)</f>
        <v/>
      </c>
      <c r="AA169" s="651" t="str">
        <f>IF(OR(AA$122="",$I169=""),"",'I. Stream &amp; Compound Data'!BA224/$J169*(1-AA$127)*(1-AA$123)*$K169)</f>
        <v/>
      </c>
      <c r="AB169" s="651" t="str">
        <f>IF(OR(AB$122="",$I169=""),"",'I. Stream &amp; Compound Data'!BD224/$J169*(1-AB$127)*(1-AB$123)*$K169)</f>
        <v/>
      </c>
      <c r="AC169" s="651" t="str">
        <f>IF(OR(AC$122="",$I169=""),"",'I. Stream &amp; Compound Data'!BG224/$J169*(1-AC$127)*(1-AC$123)*$K169)</f>
        <v/>
      </c>
      <c r="AD169" s="651" t="str">
        <f>IF(OR(AD$122="",$I169=""),"",'I. Stream &amp; Compound Data'!BJ224/$J169*(1-AD$127)*(1-AD$123)*$K169)</f>
        <v/>
      </c>
      <c r="AE169" s="651" t="str">
        <f>IF(OR(AE$122="",$I169=""),"",'I. Stream &amp; Compound Data'!BM224/$J169*(1-AE$127)*(1-AE$123)*$K169)</f>
        <v/>
      </c>
      <c r="AF169" s="651" t="str">
        <f>IF(OR(AF$122="",$I169=""),"",'I. Stream &amp; Compound Data'!BP224/$J169*(1-AF$127)*(1-AF$123)*$K169)</f>
        <v/>
      </c>
      <c r="AG169" s="651" t="str">
        <f>IF(OR(AG$122="",$I169=""),"",'I. Stream &amp; Compound Data'!BS224/$J169*(1-AG$127)*(1-AG$123)*$K169)</f>
        <v/>
      </c>
      <c r="AH169" s="651" t="str">
        <f>IF(OR(AH$122="",$I169=""),"",'I. Stream &amp; Compound Data'!BV224/$J169*(1-AH$127)*(1-AH$123)*$K169)</f>
        <v/>
      </c>
      <c r="AI169" s="651" t="str">
        <f>IF(OR(AI$122="",$I169=""),"",'I. Stream &amp; Compound Data'!BY224/$J169*(1-AI$127)*(1-AI$123)*$K169)</f>
        <v/>
      </c>
      <c r="AJ169" s="651" t="str">
        <f>IF(OR(AJ$122="",$I169=""),"",'I. Stream &amp; Compound Data'!CB224/$J169*(1-AJ$127)*(1-AJ$123)*$K169)</f>
        <v/>
      </c>
      <c r="AK169" s="651" t="str">
        <f>IF(OR(AK$122="",$I169=""),"",'I. Stream &amp; Compound Data'!CE224/$J169*(1-AK$127)*(1-AK$123)*$K169)</f>
        <v/>
      </c>
      <c r="AL169" s="651" t="str">
        <f>IF(OR(AL$122="",$I169=""),"",'I. Stream &amp; Compound Data'!CH224/$J169*(1-AL$127)*(1-AL$123)*$K169)</f>
        <v/>
      </c>
      <c r="AM169" s="651" t="str">
        <f>IF(OR(AM$122="",$I169=""),"",'I. Stream &amp; Compound Data'!CK224/$J169*(1-AM$127)*(1-AM$123)*$K169)</f>
        <v/>
      </c>
      <c r="AN169" s="651" t="str">
        <f>IF(OR(AN$122="",$I169=""),"",'I. Stream &amp; Compound Data'!CN224/$J169*(1-AN$127)*(1-AN$123)*$K169)</f>
        <v/>
      </c>
      <c r="AO169" s="651" t="str">
        <f>IF(OR(AO$122="",$I169=""),"",'I. Stream &amp; Compound Data'!CQ224/$J169*(1-AO$127)*(1-AO$123)*$K169)</f>
        <v/>
      </c>
      <c r="AP169" s="651" t="str">
        <f>IF(OR(AP$122="",$I169=""),"",'I. Stream &amp; Compound Data'!CT224/$J169*(1-AP$127)*(1-AP$123)*$K169)</f>
        <v/>
      </c>
      <c r="AQ169" s="651" t="str">
        <f>IF(OR(AQ$122="",$I169=""),"",'I. Stream &amp; Compound Data'!CW224/$J169*(1-AQ$127)*(1-AQ$123)*$K169)</f>
        <v/>
      </c>
      <c r="AR169" s="651" t="str">
        <f>IF(OR(AR$122="",$I169=""),"",'I. Stream &amp; Compound Data'!CZ224/$J169*(1-AR$127)*(1-AR$123)*$K169)</f>
        <v/>
      </c>
      <c r="AS169" s="651" t="str">
        <f>IF(OR(AS$122="",$I169=""),"",'I. Stream &amp; Compound Data'!DC224/$J169*(1-AS$127)*(1-AS$123)*$K169)</f>
        <v/>
      </c>
      <c r="AT169" s="651" t="str">
        <f>IF(OR(AT$122="",$I169=""),"",'I. Stream &amp; Compound Data'!DF224/$J169*(1-AT$127)*(1-AT$123)*$K169)</f>
        <v/>
      </c>
      <c r="AU169" s="651" t="str">
        <f>IF(OR(AU$122="",$I169=""),"",'I. Stream &amp; Compound Data'!DI224/$J169*(1-AU$127)*(1-AU$123)*$K169)</f>
        <v/>
      </c>
      <c r="AV169" s="651" t="str">
        <f>IF(OR(AV$122="",$I169=""),"",'I. Stream &amp; Compound Data'!DL224/$J169*(1-AV$127)*(1-AV$123)*$K169)</f>
        <v/>
      </c>
      <c r="AW169" s="651" t="str">
        <f>IF(OR(AW$122="",$I169=""),"",'I. Stream &amp; Compound Data'!DO224/$J169*(1-AW$127)*(1-AW$123)*$K169)</f>
        <v/>
      </c>
      <c r="AX169" s="651" t="str">
        <f>IF(OR(AX$122="",$I169=""),"",'I. Stream &amp; Compound Data'!DR224/$J169*(1-AX$127)*(1-AX$123)*$K169)</f>
        <v/>
      </c>
      <c r="AY169" s="667" t="str">
        <f>IF(OR(AY$122="",$I169=""),"",'I. Stream &amp; Compound Data'!DU224/$J169*(1-AY$127)*(1-AY$123)*$K169)</f>
        <v/>
      </c>
      <c r="AZ169" s="336"/>
      <c r="BA169" s="632"/>
      <c r="BB169" s="632"/>
      <c r="BC169" s="632"/>
      <c r="BD169" s="632"/>
      <c r="BE169" s="632"/>
      <c r="BF169" s="632"/>
      <c r="BG169" s="632"/>
      <c r="BH169" s="632"/>
      <c r="BI169" s="632"/>
      <c r="BJ169" s="632"/>
      <c r="BK169" s="632"/>
      <c r="BL169" s="632"/>
      <c r="BM169" s="632"/>
      <c r="BN169" s="632"/>
      <c r="BO169" s="632"/>
      <c r="BP169" s="632"/>
      <c r="BQ169" s="632"/>
      <c r="BR169" s="632"/>
      <c r="BS169" s="632"/>
      <c r="BT169" s="632"/>
      <c r="BU169" s="632"/>
      <c r="BV169" s="632"/>
      <c r="BW169" s="632"/>
      <c r="BX169" s="632"/>
      <c r="BY169" s="632"/>
      <c r="BZ169" s="632"/>
      <c r="CA169" s="632"/>
      <c r="CB169" s="632"/>
      <c r="CC169" s="632"/>
      <c r="CD169" s="632"/>
      <c r="CE169" s="632"/>
      <c r="CF169" s="632"/>
      <c r="CG169" s="632"/>
      <c r="CH169" s="632"/>
      <c r="CI169" s="632"/>
      <c r="CJ169" s="632"/>
      <c r="CK169" s="632"/>
      <c r="CL169" s="632"/>
      <c r="CM169" s="632"/>
      <c r="CN169" s="631"/>
    </row>
    <row r="170" spans="2:92" ht="15.75" x14ac:dyDescent="0.2">
      <c r="B170" s="610"/>
      <c r="C170" s="336"/>
      <c r="D170" s="611"/>
      <c r="E170" s="612"/>
      <c r="F170" s="612"/>
      <c r="G170" s="612"/>
      <c r="H170" s="618">
        <f>'I. Stream &amp; Compound Data'!F301</f>
        <v>40</v>
      </c>
      <c r="I170" s="677" t="str">
        <f>IF('I. Stream &amp; Compound Data'!G301&lt;&gt;"",'I. Stream &amp; Compound Data'!G301,"")</f>
        <v/>
      </c>
      <c r="J170" s="676" t="str">
        <f>IF('I. Stream &amp; Compound Data'!BH301="","",'I. Stream &amp; Compound Data'!BH301)</f>
        <v/>
      </c>
      <c r="K170" s="652" t="str">
        <f>IF('I. Stream &amp; Compound Data'!G301="","",IF(OR('I. Stream &amp; Compound Data'!U301=1,'I. Stream &amp; Compound Data'!V301=1,'I. Stream &amp; Compound Data'!AY301&lt;25),0,1))</f>
        <v/>
      </c>
      <c r="L170" s="651" t="str">
        <f>IF(OR(I170="",L$122=""),"",'I. Stream &amp; Compound Data'!H225/$J170*(1-L$127)*(1-L$123)*$K170)</f>
        <v/>
      </c>
      <c r="M170" s="651" t="str">
        <f>IF(OR(J170="",M$122=""),"",'I. Stream &amp; Compound Data'!K225/$J170*(1-M$127)*(1-M$123)*$K170)</f>
        <v/>
      </c>
      <c r="N170" s="651" t="str">
        <f>IF(OR(K170="",N$122=""),"",'I. Stream &amp; Compound Data'!N225/$J170*(1-N$127)*(1-N$123)*$K170)</f>
        <v/>
      </c>
      <c r="O170" s="651" t="str">
        <f>IF(OR(L170="",O$122=""),"",'I. Stream &amp; Compound Data'!Q225/$J170*(1-O$127)*(1-O$123)*$K170)</f>
        <v/>
      </c>
      <c r="P170" s="651" t="str">
        <f>IF(OR(M170="",P$122=""),"",'I. Stream &amp; Compound Data'!T225/$J170*(1-P$127)*(1-P$123)*$K170)</f>
        <v/>
      </c>
      <c r="Q170" s="651" t="str">
        <f>IF(OR(N170="",Q$122=""),"",'I. Stream &amp; Compound Data'!W225/$J170*(1-Q$127)*(1-Q$123)*$K170)</f>
        <v/>
      </c>
      <c r="R170" s="651" t="str">
        <f>IF(OR(O170="",R$122=""),"",'I. Stream &amp; Compound Data'!Z225/$J170*(1-R$127)*(1-R$123)*$K170)</f>
        <v/>
      </c>
      <c r="S170" s="651" t="str">
        <f>IF(OR(P170="",S$122=""),"",'I. Stream &amp; Compound Data'!AC225/$J170*(1-S$127)*(1-S$123)*$K170)</f>
        <v/>
      </c>
      <c r="T170" s="651" t="str">
        <f>IF(OR(Q170="",T$122=""),"",'I. Stream &amp; Compound Data'!AF225/$J170*(1-T$127)*(1-T$123)*$K170)</f>
        <v/>
      </c>
      <c r="U170" s="651" t="str">
        <f>IF(OR(R170="",U$122=""),"",'I. Stream &amp; Compound Data'!AI225/$J170*(1-U$127)*(1-U$123)*$K170)</f>
        <v/>
      </c>
      <c r="V170" s="651" t="str">
        <f>IF(OR(V$122="",$I170=""),"",'I. Stream &amp; Compound Data'!AL225/$J170*(1-V$127)*(1-V$123)*$K170)</f>
        <v/>
      </c>
      <c r="W170" s="651" t="str">
        <f>IF(OR(W$122="",$I170=""),"",'I. Stream &amp; Compound Data'!AO225/$J170*(1-W$127)*(1-W$123)*$K170)</f>
        <v/>
      </c>
      <c r="X170" s="651" t="str">
        <f>IF(OR(X$122="",$I170=""),"",'I. Stream &amp; Compound Data'!AR225/$J170*(1-X$127)*(1-X$123)*$K170)</f>
        <v/>
      </c>
      <c r="Y170" s="651" t="str">
        <f>IF(OR(Y$122="",$I170=""),"",'I. Stream &amp; Compound Data'!AU225/$J170*(1-Y$127)*(1-Y$123)*$K170)</f>
        <v/>
      </c>
      <c r="Z170" s="651" t="str">
        <f>IF(OR(Z$122="",$I170=""),"",'I. Stream &amp; Compound Data'!AX225/$J170*(1-Z$127)*(1-Z$123)*$K170)</f>
        <v/>
      </c>
      <c r="AA170" s="651" t="str">
        <f>IF(OR(AA$122="",$I170=""),"",'I. Stream &amp; Compound Data'!BA225/$J170*(1-AA$127)*(1-AA$123)*$K170)</f>
        <v/>
      </c>
      <c r="AB170" s="651" t="str">
        <f>IF(OR(AB$122="",$I170=""),"",'I. Stream &amp; Compound Data'!BD225/$J170*(1-AB$127)*(1-AB$123)*$K170)</f>
        <v/>
      </c>
      <c r="AC170" s="651" t="str">
        <f>IF(OR(AC$122="",$I170=""),"",'I. Stream &amp; Compound Data'!BG225/$J170*(1-AC$127)*(1-AC$123)*$K170)</f>
        <v/>
      </c>
      <c r="AD170" s="651" t="str">
        <f>IF(OR(AD$122="",$I170=""),"",'I. Stream &amp; Compound Data'!BJ225/$J170*(1-AD$127)*(1-AD$123)*$K170)</f>
        <v/>
      </c>
      <c r="AE170" s="651" t="str">
        <f>IF(OR(AE$122="",$I170=""),"",'I. Stream &amp; Compound Data'!BM225/$J170*(1-AE$127)*(1-AE$123)*$K170)</f>
        <v/>
      </c>
      <c r="AF170" s="651" t="str">
        <f>IF(OR(AF$122="",$I170=""),"",'I. Stream &amp; Compound Data'!BP225/$J170*(1-AF$127)*(1-AF$123)*$K170)</f>
        <v/>
      </c>
      <c r="AG170" s="651" t="str">
        <f>IF(OR(AG$122="",$I170=""),"",'I. Stream &amp; Compound Data'!BS225/$J170*(1-AG$127)*(1-AG$123)*$K170)</f>
        <v/>
      </c>
      <c r="AH170" s="651" t="str">
        <f>IF(OR(AH$122="",$I170=""),"",'I. Stream &amp; Compound Data'!BV225/$J170*(1-AH$127)*(1-AH$123)*$K170)</f>
        <v/>
      </c>
      <c r="AI170" s="651" t="str">
        <f>IF(OR(AI$122="",$I170=""),"",'I. Stream &amp; Compound Data'!BY225/$J170*(1-AI$127)*(1-AI$123)*$K170)</f>
        <v/>
      </c>
      <c r="AJ170" s="651" t="str">
        <f>IF(OR(AJ$122="",$I170=""),"",'I. Stream &amp; Compound Data'!CB225/$J170*(1-AJ$127)*(1-AJ$123)*$K170)</f>
        <v/>
      </c>
      <c r="AK170" s="651" t="str">
        <f>IF(OR(AK$122="",$I170=""),"",'I. Stream &amp; Compound Data'!CE225/$J170*(1-AK$127)*(1-AK$123)*$K170)</f>
        <v/>
      </c>
      <c r="AL170" s="651" t="str">
        <f>IF(OR(AL$122="",$I170=""),"",'I. Stream &amp; Compound Data'!CH225/$J170*(1-AL$127)*(1-AL$123)*$K170)</f>
        <v/>
      </c>
      <c r="AM170" s="651" t="str">
        <f>IF(OR(AM$122="",$I170=""),"",'I. Stream &amp; Compound Data'!CK225/$J170*(1-AM$127)*(1-AM$123)*$K170)</f>
        <v/>
      </c>
      <c r="AN170" s="651" t="str">
        <f>IF(OR(AN$122="",$I170=""),"",'I. Stream &amp; Compound Data'!CN225/$J170*(1-AN$127)*(1-AN$123)*$K170)</f>
        <v/>
      </c>
      <c r="AO170" s="651" t="str">
        <f>IF(OR(AO$122="",$I170=""),"",'I. Stream &amp; Compound Data'!CQ225/$J170*(1-AO$127)*(1-AO$123)*$K170)</f>
        <v/>
      </c>
      <c r="AP170" s="651" t="str">
        <f>IF(OR(AP$122="",$I170=""),"",'I. Stream &amp; Compound Data'!CT225/$J170*(1-AP$127)*(1-AP$123)*$K170)</f>
        <v/>
      </c>
      <c r="AQ170" s="651" t="str">
        <f>IF(OR(AQ$122="",$I170=""),"",'I. Stream &amp; Compound Data'!CW225/$J170*(1-AQ$127)*(1-AQ$123)*$K170)</f>
        <v/>
      </c>
      <c r="AR170" s="651" t="str">
        <f>IF(OR(AR$122="",$I170=""),"",'I. Stream &amp; Compound Data'!CZ225/$J170*(1-AR$127)*(1-AR$123)*$K170)</f>
        <v/>
      </c>
      <c r="AS170" s="651" t="str">
        <f>IF(OR(AS$122="",$I170=""),"",'I. Stream &amp; Compound Data'!DC225/$J170*(1-AS$127)*(1-AS$123)*$K170)</f>
        <v/>
      </c>
      <c r="AT170" s="651" t="str">
        <f>IF(OR(AT$122="",$I170=""),"",'I. Stream &amp; Compound Data'!DF225/$J170*(1-AT$127)*(1-AT$123)*$K170)</f>
        <v/>
      </c>
      <c r="AU170" s="651" t="str">
        <f>IF(OR(AU$122="",$I170=""),"",'I. Stream &amp; Compound Data'!DI225/$J170*(1-AU$127)*(1-AU$123)*$K170)</f>
        <v/>
      </c>
      <c r="AV170" s="651" t="str">
        <f>IF(OR(AV$122="",$I170=""),"",'I. Stream &amp; Compound Data'!DL225/$J170*(1-AV$127)*(1-AV$123)*$K170)</f>
        <v/>
      </c>
      <c r="AW170" s="651" t="str">
        <f>IF(OR(AW$122="",$I170=""),"",'I. Stream &amp; Compound Data'!DO225/$J170*(1-AW$127)*(1-AW$123)*$K170)</f>
        <v/>
      </c>
      <c r="AX170" s="651" t="str">
        <f>IF(OR(AX$122="",$I170=""),"",'I. Stream &amp; Compound Data'!DR225/$J170*(1-AX$127)*(1-AX$123)*$K170)</f>
        <v/>
      </c>
      <c r="AY170" s="667" t="str">
        <f>IF(OR(AY$122="",$I170=""),"",'I. Stream &amp; Compound Data'!DU225/$J170*(1-AY$127)*(1-AY$123)*$K170)</f>
        <v/>
      </c>
      <c r="AZ170" s="336"/>
      <c r="BA170" s="632"/>
      <c r="BB170" s="632"/>
      <c r="BC170" s="632"/>
      <c r="BD170" s="632"/>
      <c r="BE170" s="632"/>
      <c r="BF170" s="632"/>
      <c r="BG170" s="632"/>
      <c r="BH170" s="632"/>
      <c r="BI170" s="632"/>
      <c r="BJ170" s="632"/>
      <c r="BK170" s="632"/>
      <c r="BL170" s="632"/>
      <c r="BM170" s="632"/>
      <c r="BN170" s="632"/>
      <c r="BO170" s="632"/>
      <c r="BP170" s="632"/>
      <c r="BQ170" s="632"/>
      <c r="BR170" s="632"/>
      <c r="BS170" s="632"/>
      <c r="BT170" s="632"/>
      <c r="BU170" s="632"/>
      <c r="BV170" s="632"/>
      <c r="BW170" s="632"/>
      <c r="BX170" s="632"/>
      <c r="BY170" s="632"/>
      <c r="BZ170" s="632"/>
      <c r="CA170" s="632"/>
      <c r="CB170" s="632"/>
      <c r="CC170" s="632"/>
      <c r="CD170" s="632"/>
      <c r="CE170" s="632"/>
      <c r="CF170" s="632"/>
      <c r="CG170" s="632"/>
      <c r="CH170" s="632"/>
      <c r="CI170" s="632"/>
      <c r="CJ170" s="632"/>
      <c r="CK170" s="632"/>
      <c r="CL170" s="632"/>
      <c r="CM170" s="632"/>
      <c r="CN170" s="631"/>
    </row>
    <row r="171" spans="2:92" ht="15.75" x14ac:dyDescent="0.2">
      <c r="B171" s="610"/>
      <c r="C171" s="336"/>
      <c r="D171" s="611"/>
      <c r="E171" s="612"/>
      <c r="F171" s="612"/>
      <c r="G171" s="612"/>
      <c r="H171" s="618">
        <f>'I. Stream &amp; Compound Data'!F302</f>
        <v>41</v>
      </c>
      <c r="I171" s="677" t="str">
        <f>IF('I. Stream &amp; Compound Data'!G302&lt;&gt;"",'I. Stream &amp; Compound Data'!G302,"")</f>
        <v/>
      </c>
      <c r="J171" s="676" t="str">
        <f>IF('I. Stream &amp; Compound Data'!BH302="","",'I. Stream &amp; Compound Data'!BH302)</f>
        <v/>
      </c>
      <c r="K171" s="652" t="str">
        <f>IF('I. Stream &amp; Compound Data'!G302="","",IF(OR('I. Stream &amp; Compound Data'!U302=1,'I. Stream &amp; Compound Data'!V302=1,'I. Stream &amp; Compound Data'!AY302&lt;25),0,1))</f>
        <v/>
      </c>
      <c r="L171" s="651" t="str">
        <f>IF(OR(I171="",L$122=""),"",'I. Stream &amp; Compound Data'!H226/$J171*(1-L$127)*(1-L$123)*$K171)</f>
        <v/>
      </c>
      <c r="M171" s="651" t="str">
        <f>IF(OR(J171="",M$122=""),"",'I. Stream &amp; Compound Data'!K226/$J171*(1-M$127)*(1-M$123)*$K171)</f>
        <v/>
      </c>
      <c r="N171" s="651" t="str">
        <f>IF(OR(K171="",N$122=""),"",'I. Stream &amp; Compound Data'!N226/$J171*(1-N$127)*(1-N$123)*$K171)</f>
        <v/>
      </c>
      <c r="O171" s="651" t="str">
        <f>IF(OR(L171="",O$122=""),"",'I. Stream &amp; Compound Data'!Q226/$J171*(1-O$127)*(1-O$123)*$K171)</f>
        <v/>
      </c>
      <c r="P171" s="651" t="str">
        <f>IF(OR(M171="",P$122=""),"",'I. Stream &amp; Compound Data'!T226/$J171*(1-P$127)*(1-P$123)*$K171)</f>
        <v/>
      </c>
      <c r="Q171" s="651" t="str">
        <f>IF(OR(N171="",Q$122=""),"",'I. Stream &amp; Compound Data'!W226/$J171*(1-Q$127)*(1-Q$123)*$K171)</f>
        <v/>
      </c>
      <c r="R171" s="651" t="str">
        <f>IF(OR(O171="",R$122=""),"",'I. Stream &amp; Compound Data'!Z226/$J171*(1-R$127)*(1-R$123)*$K171)</f>
        <v/>
      </c>
      <c r="S171" s="651" t="str">
        <f>IF(OR(P171="",S$122=""),"",'I. Stream &amp; Compound Data'!AC226/$J171*(1-S$127)*(1-S$123)*$K171)</f>
        <v/>
      </c>
      <c r="T171" s="651" t="str">
        <f>IF(OR(Q171="",T$122=""),"",'I. Stream &amp; Compound Data'!AF226/$J171*(1-T$127)*(1-T$123)*$K171)</f>
        <v/>
      </c>
      <c r="U171" s="651" t="str">
        <f>IF(OR(R171="",U$122=""),"",'I. Stream &amp; Compound Data'!AI226/$J171*(1-U$127)*(1-U$123)*$K171)</f>
        <v/>
      </c>
      <c r="V171" s="651" t="str">
        <f>IF(OR(V$122="",$I171=""),"",'I. Stream &amp; Compound Data'!AL226/$J171*(1-V$127)*(1-V$123)*$K171)</f>
        <v/>
      </c>
      <c r="W171" s="651" t="str">
        <f>IF(OR(W$122="",$I171=""),"",'I. Stream &amp; Compound Data'!AO226/$J171*(1-W$127)*(1-W$123)*$K171)</f>
        <v/>
      </c>
      <c r="X171" s="651" t="str">
        <f>IF(OR(X$122="",$I171=""),"",'I. Stream &amp; Compound Data'!AR226/$J171*(1-X$127)*(1-X$123)*$K171)</f>
        <v/>
      </c>
      <c r="Y171" s="651" t="str">
        <f>IF(OR(Y$122="",$I171=""),"",'I. Stream &amp; Compound Data'!AU226/$J171*(1-Y$127)*(1-Y$123)*$K171)</f>
        <v/>
      </c>
      <c r="Z171" s="651" t="str">
        <f>IF(OR(Z$122="",$I171=""),"",'I. Stream &amp; Compound Data'!AX226/$J171*(1-Z$127)*(1-Z$123)*$K171)</f>
        <v/>
      </c>
      <c r="AA171" s="651" t="str">
        <f>IF(OR(AA$122="",$I171=""),"",'I. Stream &amp; Compound Data'!BA226/$J171*(1-AA$127)*(1-AA$123)*$K171)</f>
        <v/>
      </c>
      <c r="AB171" s="651" t="str">
        <f>IF(OR(AB$122="",$I171=""),"",'I. Stream &amp; Compound Data'!BD226/$J171*(1-AB$127)*(1-AB$123)*$K171)</f>
        <v/>
      </c>
      <c r="AC171" s="651" t="str">
        <f>IF(OR(AC$122="",$I171=""),"",'I. Stream &amp; Compound Data'!BG226/$J171*(1-AC$127)*(1-AC$123)*$K171)</f>
        <v/>
      </c>
      <c r="AD171" s="651" t="str">
        <f>IF(OR(AD$122="",$I171=""),"",'I. Stream &amp; Compound Data'!BJ226/$J171*(1-AD$127)*(1-AD$123)*$K171)</f>
        <v/>
      </c>
      <c r="AE171" s="651" t="str">
        <f>IF(OR(AE$122="",$I171=""),"",'I. Stream &amp; Compound Data'!BM226/$J171*(1-AE$127)*(1-AE$123)*$K171)</f>
        <v/>
      </c>
      <c r="AF171" s="651" t="str">
        <f>IF(OR(AF$122="",$I171=""),"",'I. Stream &amp; Compound Data'!BP226/$J171*(1-AF$127)*(1-AF$123)*$K171)</f>
        <v/>
      </c>
      <c r="AG171" s="651" t="str">
        <f>IF(OR(AG$122="",$I171=""),"",'I. Stream &amp; Compound Data'!BS226/$J171*(1-AG$127)*(1-AG$123)*$K171)</f>
        <v/>
      </c>
      <c r="AH171" s="651" t="str">
        <f>IF(OR(AH$122="",$I171=""),"",'I. Stream &amp; Compound Data'!BV226/$J171*(1-AH$127)*(1-AH$123)*$K171)</f>
        <v/>
      </c>
      <c r="AI171" s="651" t="str">
        <f>IF(OR(AI$122="",$I171=""),"",'I. Stream &amp; Compound Data'!BY226/$J171*(1-AI$127)*(1-AI$123)*$K171)</f>
        <v/>
      </c>
      <c r="AJ171" s="651" t="str">
        <f>IF(OR(AJ$122="",$I171=""),"",'I. Stream &amp; Compound Data'!CB226/$J171*(1-AJ$127)*(1-AJ$123)*$K171)</f>
        <v/>
      </c>
      <c r="AK171" s="651" t="str">
        <f>IF(OR(AK$122="",$I171=""),"",'I. Stream &amp; Compound Data'!CE226/$J171*(1-AK$127)*(1-AK$123)*$K171)</f>
        <v/>
      </c>
      <c r="AL171" s="651" t="str">
        <f>IF(OR(AL$122="",$I171=""),"",'I. Stream &amp; Compound Data'!CH226/$J171*(1-AL$127)*(1-AL$123)*$K171)</f>
        <v/>
      </c>
      <c r="AM171" s="651" t="str">
        <f>IF(OR(AM$122="",$I171=""),"",'I. Stream &amp; Compound Data'!CK226/$J171*(1-AM$127)*(1-AM$123)*$K171)</f>
        <v/>
      </c>
      <c r="AN171" s="651" t="str">
        <f>IF(OR(AN$122="",$I171=""),"",'I. Stream &amp; Compound Data'!CN226/$J171*(1-AN$127)*(1-AN$123)*$K171)</f>
        <v/>
      </c>
      <c r="AO171" s="651" t="str">
        <f>IF(OR(AO$122="",$I171=""),"",'I. Stream &amp; Compound Data'!CQ226/$J171*(1-AO$127)*(1-AO$123)*$K171)</f>
        <v/>
      </c>
      <c r="AP171" s="651" t="str">
        <f>IF(OR(AP$122="",$I171=""),"",'I. Stream &amp; Compound Data'!CT226/$J171*(1-AP$127)*(1-AP$123)*$K171)</f>
        <v/>
      </c>
      <c r="AQ171" s="651" t="str">
        <f>IF(OR(AQ$122="",$I171=""),"",'I. Stream &amp; Compound Data'!CW226/$J171*(1-AQ$127)*(1-AQ$123)*$K171)</f>
        <v/>
      </c>
      <c r="AR171" s="651" t="str">
        <f>IF(OR(AR$122="",$I171=""),"",'I. Stream &amp; Compound Data'!CZ226/$J171*(1-AR$127)*(1-AR$123)*$K171)</f>
        <v/>
      </c>
      <c r="AS171" s="651" t="str">
        <f>IF(OR(AS$122="",$I171=""),"",'I. Stream &amp; Compound Data'!DC226/$J171*(1-AS$127)*(1-AS$123)*$K171)</f>
        <v/>
      </c>
      <c r="AT171" s="651" t="str">
        <f>IF(OR(AT$122="",$I171=""),"",'I. Stream &amp; Compound Data'!DF226/$J171*(1-AT$127)*(1-AT$123)*$K171)</f>
        <v/>
      </c>
      <c r="AU171" s="651" t="str">
        <f>IF(OR(AU$122="",$I171=""),"",'I. Stream &amp; Compound Data'!DI226/$J171*(1-AU$127)*(1-AU$123)*$K171)</f>
        <v/>
      </c>
      <c r="AV171" s="651" t="str">
        <f>IF(OR(AV$122="",$I171=""),"",'I. Stream &amp; Compound Data'!DL226/$J171*(1-AV$127)*(1-AV$123)*$K171)</f>
        <v/>
      </c>
      <c r="AW171" s="651" t="str">
        <f>IF(OR(AW$122="",$I171=""),"",'I. Stream &amp; Compound Data'!DO226/$J171*(1-AW$127)*(1-AW$123)*$K171)</f>
        <v/>
      </c>
      <c r="AX171" s="651" t="str">
        <f>IF(OR(AX$122="",$I171=""),"",'I. Stream &amp; Compound Data'!DR226/$J171*(1-AX$127)*(1-AX$123)*$K171)</f>
        <v/>
      </c>
      <c r="AY171" s="667" t="str">
        <f>IF(OR(AY$122="",$I171=""),"",'I. Stream &amp; Compound Data'!DU226/$J171*(1-AY$127)*(1-AY$123)*$K171)</f>
        <v/>
      </c>
      <c r="AZ171" s="336"/>
      <c r="BA171" s="632"/>
      <c r="BB171" s="632"/>
      <c r="BC171" s="632"/>
      <c r="BD171" s="632"/>
      <c r="BE171" s="632"/>
      <c r="BF171" s="632"/>
      <c r="BG171" s="632"/>
      <c r="BH171" s="632"/>
      <c r="BI171" s="632"/>
      <c r="BJ171" s="632"/>
      <c r="BK171" s="632"/>
      <c r="BL171" s="632"/>
      <c r="BM171" s="632"/>
      <c r="BN171" s="632"/>
      <c r="BO171" s="632"/>
      <c r="BP171" s="632"/>
      <c r="BQ171" s="632"/>
      <c r="BR171" s="632"/>
      <c r="BS171" s="632"/>
      <c r="BT171" s="632"/>
      <c r="BU171" s="632"/>
      <c r="BV171" s="632"/>
      <c r="BW171" s="632"/>
      <c r="BX171" s="632"/>
      <c r="BY171" s="632"/>
      <c r="BZ171" s="632"/>
      <c r="CA171" s="632"/>
      <c r="CB171" s="632"/>
      <c r="CC171" s="632"/>
      <c r="CD171" s="632"/>
      <c r="CE171" s="632"/>
      <c r="CF171" s="632"/>
      <c r="CG171" s="632"/>
      <c r="CH171" s="632"/>
      <c r="CI171" s="632"/>
      <c r="CJ171" s="632"/>
      <c r="CK171" s="632"/>
      <c r="CL171" s="632"/>
      <c r="CM171" s="632"/>
      <c r="CN171" s="631"/>
    </row>
    <row r="172" spans="2:92" ht="15.75" x14ac:dyDescent="0.2">
      <c r="B172" s="610"/>
      <c r="C172" s="336"/>
      <c r="D172" s="611"/>
      <c r="E172" s="612"/>
      <c r="F172" s="612"/>
      <c r="G172" s="612"/>
      <c r="H172" s="618">
        <f>'I. Stream &amp; Compound Data'!F303</f>
        <v>42</v>
      </c>
      <c r="I172" s="677" t="str">
        <f>IF('I. Stream &amp; Compound Data'!G303&lt;&gt;"",'I. Stream &amp; Compound Data'!G303,"")</f>
        <v/>
      </c>
      <c r="J172" s="676" t="str">
        <f>IF('I. Stream &amp; Compound Data'!BH303="","",'I. Stream &amp; Compound Data'!BH303)</f>
        <v/>
      </c>
      <c r="K172" s="652" t="str">
        <f>IF('I. Stream &amp; Compound Data'!G303="","",IF(OR('I. Stream &amp; Compound Data'!U303=1,'I. Stream &amp; Compound Data'!V303=1,'I. Stream &amp; Compound Data'!AY303&lt;25),0,1))</f>
        <v/>
      </c>
      <c r="L172" s="651" t="str">
        <f>IF(OR(I172="",L$122=""),"",'I. Stream &amp; Compound Data'!H227/$J172*(1-L$127)*(1-L$123)*$K172)</f>
        <v/>
      </c>
      <c r="M172" s="651" t="str">
        <f>IF(OR(J172="",M$122=""),"",'I. Stream &amp; Compound Data'!K227/$J172*(1-M$127)*(1-M$123)*$K172)</f>
        <v/>
      </c>
      <c r="N172" s="651" t="str">
        <f>IF(OR(K172="",N$122=""),"",'I. Stream &amp; Compound Data'!N227/$J172*(1-N$127)*(1-N$123)*$K172)</f>
        <v/>
      </c>
      <c r="O172" s="651" t="str">
        <f>IF(OR(L172="",O$122=""),"",'I. Stream &amp; Compound Data'!Q227/$J172*(1-O$127)*(1-O$123)*$K172)</f>
        <v/>
      </c>
      <c r="P172" s="651" t="str">
        <f>IF(OR(M172="",P$122=""),"",'I. Stream &amp; Compound Data'!T227/$J172*(1-P$127)*(1-P$123)*$K172)</f>
        <v/>
      </c>
      <c r="Q172" s="651" t="str">
        <f>IF(OR(N172="",Q$122=""),"",'I. Stream &amp; Compound Data'!W227/$J172*(1-Q$127)*(1-Q$123)*$K172)</f>
        <v/>
      </c>
      <c r="R172" s="651" t="str">
        <f>IF(OR(O172="",R$122=""),"",'I. Stream &amp; Compound Data'!Z227/$J172*(1-R$127)*(1-R$123)*$K172)</f>
        <v/>
      </c>
      <c r="S172" s="651" t="str">
        <f>IF(OR(P172="",S$122=""),"",'I. Stream &amp; Compound Data'!AC227/$J172*(1-S$127)*(1-S$123)*$K172)</f>
        <v/>
      </c>
      <c r="T172" s="651" t="str">
        <f>IF(OR(Q172="",T$122=""),"",'I. Stream &amp; Compound Data'!AF227/$J172*(1-T$127)*(1-T$123)*$K172)</f>
        <v/>
      </c>
      <c r="U172" s="651" t="str">
        <f>IF(OR(R172="",U$122=""),"",'I. Stream &amp; Compound Data'!AI227/$J172*(1-U$127)*(1-U$123)*$K172)</f>
        <v/>
      </c>
      <c r="V172" s="651" t="str">
        <f>IF(OR(V$122="",$I172=""),"",'I. Stream &amp; Compound Data'!AL227/$J172*(1-V$127)*(1-V$123)*$K172)</f>
        <v/>
      </c>
      <c r="W172" s="651" t="str">
        <f>IF(OR(W$122="",$I172=""),"",'I. Stream &amp; Compound Data'!AO227/$J172*(1-W$127)*(1-W$123)*$K172)</f>
        <v/>
      </c>
      <c r="X172" s="651" t="str">
        <f>IF(OR(X$122="",$I172=""),"",'I. Stream &amp; Compound Data'!AR227/$J172*(1-X$127)*(1-X$123)*$K172)</f>
        <v/>
      </c>
      <c r="Y172" s="651" t="str">
        <f>IF(OR(Y$122="",$I172=""),"",'I. Stream &amp; Compound Data'!AU227/$J172*(1-Y$127)*(1-Y$123)*$K172)</f>
        <v/>
      </c>
      <c r="Z172" s="651" t="str">
        <f>IF(OR(Z$122="",$I172=""),"",'I. Stream &amp; Compound Data'!AX227/$J172*(1-Z$127)*(1-Z$123)*$K172)</f>
        <v/>
      </c>
      <c r="AA172" s="651" t="str">
        <f>IF(OR(AA$122="",$I172=""),"",'I. Stream &amp; Compound Data'!BA227/$J172*(1-AA$127)*(1-AA$123)*$K172)</f>
        <v/>
      </c>
      <c r="AB172" s="651" t="str">
        <f>IF(OR(AB$122="",$I172=""),"",'I. Stream &amp; Compound Data'!BD227/$J172*(1-AB$127)*(1-AB$123)*$K172)</f>
        <v/>
      </c>
      <c r="AC172" s="651" t="str">
        <f>IF(OR(AC$122="",$I172=""),"",'I. Stream &amp; Compound Data'!BG227/$J172*(1-AC$127)*(1-AC$123)*$K172)</f>
        <v/>
      </c>
      <c r="AD172" s="651" t="str">
        <f>IF(OR(AD$122="",$I172=""),"",'I. Stream &amp; Compound Data'!BJ227/$J172*(1-AD$127)*(1-AD$123)*$K172)</f>
        <v/>
      </c>
      <c r="AE172" s="651" t="str">
        <f>IF(OR(AE$122="",$I172=""),"",'I. Stream &amp; Compound Data'!BM227/$J172*(1-AE$127)*(1-AE$123)*$K172)</f>
        <v/>
      </c>
      <c r="AF172" s="651" t="str">
        <f>IF(OR(AF$122="",$I172=""),"",'I. Stream &amp; Compound Data'!BP227/$J172*(1-AF$127)*(1-AF$123)*$K172)</f>
        <v/>
      </c>
      <c r="AG172" s="651" t="str">
        <f>IF(OR(AG$122="",$I172=""),"",'I. Stream &amp; Compound Data'!BS227/$J172*(1-AG$127)*(1-AG$123)*$K172)</f>
        <v/>
      </c>
      <c r="AH172" s="651" t="str">
        <f>IF(OR(AH$122="",$I172=""),"",'I. Stream &amp; Compound Data'!BV227/$J172*(1-AH$127)*(1-AH$123)*$K172)</f>
        <v/>
      </c>
      <c r="AI172" s="651" t="str">
        <f>IF(OR(AI$122="",$I172=""),"",'I. Stream &amp; Compound Data'!BY227/$J172*(1-AI$127)*(1-AI$123)*$K172)</f>
        <v/>
      </c>
      <c r="AJ172" s="651" t="str">
        <f>IF(OR(AJ$122="",$I172=""),"",'I. Stream &amp; Compound Data'!CB227/$J172*(1-AJ$127)*(1-AJ$123)*$K172)</f>
        <v/>
      </c>
      <c r="AK172" s="651" t="str">
        <f>IF(OR(AK$122="",$I172=""),"",'I. Stream &amp; Compound Data'!CE227/$J172*(1-AK$127)*(1-AK$123)*$K172)</f>
        <v/>
      </c>
      <c r="AL172" s="651" t="str">
        <f>IF(OR(AL$122="",$I172=""),"",'I. Stream &amp; Compound Data'!CH227/$J172*(1-AL$127)*(1-AL$123)*$K172)</f>
        <v/>
      </c>
      <c r="AM172" s="651" t="str">
        <f>IF(OR(AM$122="",$I172=""),"",'I. Stream &amp; Compound Data'!CK227/$J172*(1-AM$127)*(1-AM$123)*$K172)</f>
        <v/>
      </c>
      <c r="AN172" s="651" t="str">
        <f>IF(OR(AN$122="",$I172=""),"",'I. Stream &amp; Compound Data'!CN227/$J172*(1-AN$127)*(1-AN$123)*$K172)</f>
        <v/>
      </c>
      <c r="AO172" s="651" t="str">
        <f>IF(OR(AO$122="",$I172=""),"",'I. Stream &amp; Compound Data'!CQ227/$J172*(1-AO$127)*(1-AO$123)*$K172)</f>
        <v/>
      </c>
      <c r="AP172" s="651" t="str">
        <f>IF(OR(AP$122="",$I172=""),"",'I. Stream &amp; Compound Data'!CT227/$J172*(1-AP$127)*(1-AP$123)*$K172)</f>
        <v/>
      </c>
      <c r="AQ172" s="651" t="str">
        <f>IF(OR(AQ$122="",$I172=""),"",'I. Stream &amp; Compound Data'!CW227/$J172*(1-AQ$127)*(1-AQ$123)*$K172)</f>
        <v/>
      </c>
      <c r="AR172" s="651" t="str">
        <f>IF(OR(AR$122="",$I172=""),"",'I. Stream &amp; Compound Data'!CZ227/$J172*(1-AR$127)*(1-AR$123)*$K172)</f>
        <v/>
      </c>
      <c r="AS172" s="651" t="str">
        <f>IF(OR(AS$122="",$I172=""),"",'I. Stream &amp; Compound Data'!DC227/$J172*(1-AS$127)*(1-AS$123)*$K172)</f>
        <v/>
      </c>
      <c r="AT172" s="651" t="str">
        <f>IF(OR(AT$122="",$I172=""),"",'I. Stream &amp; Compound Data'!DF227/$J172*(1-AT$127)*(1-AT$123)*$K172)</f>
        <v/>
      </c>
      <c r="AU172" s="651" t="str">
        <f>IF(OR(AU$122="",$I172=""),"",'I. Stream &amp; Compound Data'!DI227/$J172*(1-AU$127)*(1-AU$123)*$K172)</f>
        <v/>
      </c>
      <c r="AV172" s="651" t="str">
        <f>IF(OR(AV$122="",$I172=""),"",'I. Stream &amp; Compound Data'!DL227/$J172*(1-AV$127)*(1-AV$123)*$K172)</f>
        <v/>
      </c>
      <c r="AW172" s="651" t="str">
        <f>IF(OR(AW$122="",$I172=""),"",'I. Stream &amp; Compound Data'!DO227/$J172*(1-AW$127)*(1-AW$123)*$K172)</f>
        <v/>
      </c>
      <c r="AX172" s="651" t="str">
        <f>IF(OR(AX$122="",$I172=""),"",'I. Stream &amp; Compound Data'!DR227/$J172*(1-AX$127)*(1-AX$123)*$K172)</f>
        <v/>
      </c>
      <c r="AY172" s="667" t="str">
        <f>IF(OR(AY$122="",$I172=""),"",'I. Stream &amp; Compound Data'!DU227/$J172*(1-AY$127)*(1-AY$123)*$K172)</f>
        <v/>
      </c>
      <c r="AZ172" s="336"/>
      <c r="BA172" s="632"/>
      <c r="BB172" s="632"/>
      <c r="BC172" s="632"/>
      <c r="BD172" s="632"/>
      <c r="BE172" s="632"/>
      <c r="BF172" s="632"/>
      <c r="BG172" s="632"/>
      <c r="BH172" s="632"/>
      <c r="BI172" s="632"/>
      <c r="BJ172" s="632"/>
      <c r="BK172" s="632"/>
      <c r="BL172" s="632"/>
      <c r="BM172" s="632"/>
      <c r="BN172" s="632"/>
      <c r="BO172" s="632"/>
      <c r="BP172" s="632"/>
      <c r="BQ172" s="632"/>
      <c r="BR172" s="632"/>
      <c r="BS172" s="632"/>
      <c r="BT172" s="632"/>
      <c r="BU172" s="632"/>
      <c r="BV172" s="632"/>
      <c r="BW172" s="632"/>
      <c r="BX172" s="632"/>
      <c r="BY172" s="632"/>
      <c r="BZ172" s="632"/>
      <c r="CA172" s="632"/>
      <c r="CB172" s="632"/>
      <c r="CC172" s="632"/>
      <c r="CD172" s="632"/>
      <c r="CE172" s="632"/>
      <c r="CF172" s="632"/>
      <c r="CG172" s="632"/>
      <c r="CH172" s="632"/>
      <c r="CI172" s="632"/>
      <c r="CJ172" s="632"/>
      <c r="CK172" s="632"/>
      <c r="CL172" s="632"/>
      <c r="CM172" s="632"/>
      <c r="CN172" s="631"/>
    </row>
    <row r="173" spans="2:92" ht="15.75" x14ac:dyDescent="0.2">
      <c r="B173" s="610"/>
      <c r="C173" s="336"/>
      <c r="D173" s="611"/>
      <c r="E173" s="612"/>
      <c r="F173" s="612"/>
      <c r="G173" s="612"/>
      <c r="H173" s="618">
        <f>'I. Stream &amp; Compound Data'!F304</f>
        <v>43</v>
      </c>
      <c r="I173" s="677" t="str">
        <f>IF('I. Stream &amp; Compound Data'!G304&lt;&gt;"",'I. Stream &amp; Compound Data'!G304,"")</f>
        <v/>
      </c>
      <c r="J173" s="676" t="str">
        <f>IF('I. Stream &amp; Compound Data'!BH304="","",'I. Stream &amp; Compound Data'!BH304)</f>
        <v/>
      </c>
      <c r="K173" s="652" t="str">
        <f>IF('I. Stream &amp; Compound Data'!G304="","",IF(OR('I. Stream &amp; Compound Data'!U304=1,'I. Stream &amp; Compound Data'!V304=1,'I. Stream &amp; Compound Data'!AY304&lt;25),0,1))</f>
        <v/>
      </c>
      <c r="L173" s="651" t="str">
        <f>IF(OR(I173="",L$122=""),"",'I. Stream &amp; Compound Data'!H228/$J173*(1-L$127)*(1-L$123)*$K173)</f>
        <v/>
      </c>
      <c r="M173" s="651" t="str">
        <f>IF(OR(J173="",M$122=""),"",'I. Stream &amp; Compound Data'!K228/$J173*(1-M$127)*(1-M$123)*$K173)</f>
        <v/>
      </c>
      <c r="N173" s="651" t="str">
        <f>IF(OR(K173="",N$122=""),"",'I. Stream &amp; Compound Data'!N228/$J173*(1-N$127)*(1-N$123)*$K173)</f>
        <v/>
      </c>
      <c r="O173" s="651" t="str">
        <f>IF(OR(L173="",O$122=""),"",'I. Stream &amp; Compound Data'!Q228/$J173*(1-O$127)*(1-O$123)*$K173)</f>
        <v/>
      </c>
      <c r="P173" s="651" t="str">
        <f>IF(OR(M173="",P$122=""),"",'I. Stream &amp; Compound Data'!T228/$J173*(1-P$127)*(1-P$123)*$K173)</f>
        <v/>
      </c>
      <c r="Q173" s="651" t="str">
        <f>IF(OR(N173="",Q$122=""),"",'I. Stream &amp; Compound Data'!W228/$J173*(1-Q$127)*(1-Q$123)*$K173)</f>
        <v/>
      </c>
      <c r="R173" s="651" t="str">
        <f>IF(OR(O173="",R$122=""),"",'I. Stream &amp; Compound Data'!Z228/$J173*(1-R$127)*(1-R$123)*$K173)</f>
        <v/>
      </c>
      <c r="S173" s="651" t="str">
        <f>IF(OR(P173="",S$122=""),"",'I. Stream &amp; Compound Data'!AC228/$J173*(1-S$127)*(1-S$123)*$K173)</f>
        <v/>
      </c>
      <c r="T173" s="651" t="str">
        <f>IF(OR(Q173="",T$122=""),"",'I. Stream &amp; Compound Data'!AF228/$J173*(1-T$127)*(1-T$123)*$K173)</f>
        <v/>
      </c>
      <c r="U173" s="651" t="str">
        <f>IF(OR(R173="",U$122=""),"",'I. Stream &amp; Compound Data'!AI228/$J173*(1-U$127)*(1-U$123)*$K173)</f>
        <v/>
      </c>
      <c r="V173" s="651" t="str">
        <f>IF(OR(V$122="",$I173=""),"",'I. Stream &amp; Compound Data'!AL228/$J173*(1-V$127)*(1-V$123)*$K173)</f>
        <v/>
      </c>
      <c r="W173" s="651" t="str">
        <f>IF(OR(W$122="",$I173=""),"",'I. Stream &amp; Compound Data'!AO228/$J173*(1-W$127)*(1-W$123)*$K173)</f>
        <v/>
      </c>
      <c r="X173" s="651" t="str">
        <f>IF(OR(X$122="",$I173=""),"",'I. Stream &amp; Compound Data'!AR228/$J173*(1-X$127)*(1-X$123)*$K173)</f>
        <v/>
      </c>
      <c r="Y173" s="651" t="str">
        <f>IF(OR(Y$122="",$I173=""),"",'I. Stream &amp; Compound Data'!AU228/$J173*(1-Y$127)*(1-Y$123)*$K173)</f>
        <v/>
      </c>
      <c r="Z173" s="651" t="str">
        <f>IF(OR(Z$122="",$I173=""),"",'I. Stream &amp; Compound Data'!AX228/$J173*(1-Z$127)*(1-Z$123)*$K173)</f>
        <v/>
      </c>
      <c r="AA173" s="651" t="str">
        <f>IF(OR(AA$122="",$I173=""),"",'I. Stream &amp; Compound Data'!BA228/$J173*(1-AA$127)*(1-AA$123)*$K173)</f>
        <v/>
      </c>
      <c r="AB173" s="651" t="str">
        <f>IF(OR(AB$122="",$I173=""),"",'I. Stream &amp; Compound Data'!BD228/$J173*(1-AB$127)*(1-AB$123)*$K173)</f>
        <v/>
      </c>
      <c r="AC173" s="651" t="str">
        <f>IF(OR(AC$122="",$I173=""),"",'I. Stream &amp; Compound Data'!BG228/$J173*(1-AC$127)*(1-AC$123)*$K173)</f>
        <v/>
      </c>
      <c r="AD173" s="651" t="str">
        <f>IF(OR(AD$122="",$I173=""),"",'I. Stream &amp; Compound Data'!BJ228/$J173*(1-AD$127)*(1-AD$123)*$K173)</f>
        <v/>
      </c>
      <c r="AE173" s="651" t="str">
        <f>IF(OR(AE$122="",$I173=""),"",'I. Stream &amp; Compound Data'!BM228/$J173*(1-AE$127)*(1-AE$123)*$K173)</f>
        <v/>
      </c>
      <c r="AF173" s="651" t="str">
        <f>IF(OR(AF$122="",$I173=""),"",'I. Stream &amp; Compound Data'!BP228/$J173*(1-AF$127)*(1-AF$123)*$K173)</f>
        <v/>
      </c>
      <c r="AG173" s="651" t="str">
        <f>IF(OR(AG$122="",$I173=""),"",'I. Stream &amp; Compound Data'!BS228/$J173*(1-AG$127)*(1-AG$123)*$K173)</f>
        <v/>
      </c>
      <c r="AH173" s="651" t="str">
        <f>IF(OR(AH$122="",$I173=""),"",'I. Stream &amp; Compound Data'!BV228/$J173*(1-AH$127)*(1-AH$123)*$K173)</f>
        <v/>
      </c>
      <c r="AI173" s="651" t="str">
        <f>IF(OR(AI$122="",$I173=""),"",'I. Stream &amp; Compound Data'!BY228/$J173*(1-AI$127)*(1-AI$123)*$K173)</f>
        <v/>
      </c>
      <c r="AJ173" s="651" t="str">
        <f>IF(OR(AJ$122="",$I173=""),"",'I. Stream &amp; Compound Data'!CB228/$J173*(1-AJ$127)*(1-AJ$123)*$K173)</f>
        <v/>
      </c>
      <c r="AK173" s="651" t="str">
        <f>IF(OR(AK$122="",$I173=""),"",'I. Stream &amp; Compound Data'!CE228/$J173*(1-AK$127)*(1-AK$123)*$K173)</f>
        <v/>
      </c>
      <c r="AL173" s="651" t="str">
        <f>IF(OR(AL$122="",$I173=""),"",'I. Stream &amp; Compound Data'!CH228/$J173*(1-AL$127)*(1-AL$123)*$K173)</f>
        <v/>
      </c>
      <c r="AM173" s="651" t="str">
        <f>IF(OR(AM$122="",$I173=""),"",'I. Stream &amp; Compound Data'!CK228/$J173*(1-AM$127)*(1-AM$123)*$K173)</f>
        <v/>
      </c>
      <c r="AN173" s="651" t="str">
        <f>IF(OR(AN$122="",$I173=""),"",'I. Stream &amp; Compound Data'!CN228/$J173*(1-AN$127)*(1-AN$123)*$K173)</f>
        <v/>
      </c>
      <c r="AO173" s="651" t="str">
        <f>IF(OR(AO$122="",$I173=""),"",'I. Stream &amp; Compound Data'!CQ228/$J173*(1-AO$127)*(1-AO$123)*$K173)</f>
        <v/>
      </c>
      <c r="AP173" s="651" t="str">
        <f>IF(OR(AP$122="",$I173=""),"",'I. Stream &amp; Compound Data'!CT228/$J173*(1-AP$127)*(1-AP$123)*$K173)</f>
        <v/>
      </c>
      <c r="AQ173" s="651" t="str">
        <f>IF(OR(AQ$122="",$I173=""),"",'I. Stream &amp; Compound Data'!CW228/$J173*(1-AQ$127)*(1-AQ$123)*$K173)</f>
        <v/>
      </c>
      <c r="AR173" s="651" t="str">
        <f>IF(OR(AR$122="",$I173=""),"",'I. Stream &amp; Compound Data'!CZ228/$J173*(1-AR$127)*(1-AR$123)*$K173)</f>
        <v/>
      </c>
      <c r="AS173" s="651" t="str">
        <f>IF(OR(AS$122="",$I173=""),"",'I. Stream &amp; Compound Data'!DC228/$J173*(1-AS$127)*(1-AS$123)*$K173)</f>
        <v/>
      </c>
      <c r="AT173" s="651" t="str">
        <f>IF(OR(AT$122="",$I173=""),"",'I. Stream &amp; Compound Data'!DF228/$J173*(1-AT$127)*(1-AT$123)*$K173)</f>
        <v/>
      </c>
      <c r="AU173" s="651" t="str">
        <f>IF(OR(AU$122="",$I173=""),"",'I. Stream &amp; Compound Data'!DI228/$J173*(1-AU$127)*(1-AU$123)*$K173)</f>
        <v/>
      </c>
      <c r="AV173" s="651" t="str">
        <f>IF(OR(AV$122="",$I173=""),"",'I. Stream &amp; Compound Data'!DL228/$J173*(1-AV$127)*(1-AV$123)*$K173)</f>
        <v/>
      </c>
      <c r="AW173" s="651" t="str">
        <f>IF(OR(AW$122="",$I173=""),"",'I. Stream &amp; Compound Data'!DO228/$J173*(1-AW$127)*(1-AW$123)*$K173)</f>
        <v/>
      </c>
      <c r="AX173" s="651" t="str">
        <f>IF(OR(AX$122="",$I173=""),"",'I. Stream &amp; Compound Data'!DR228/$J173*(1-AX$127)*(1-AX$123)*$K173)</f>
        <v/>
      </c>
      <c r="AY173" s="667" t="str">
        <f>IF(OR(AY$122="",$I173=""),"",'I. Stream &amp; Compound Data'!DU228/$J173*(1-AY$127)*(1-AY$123)*$K173)</f>
        <v/>
      </c>
      <c r="AZ173" s="336"/>
      <c r="BA173" s="632"/>
      <c r="BB173" s="632"/>
      <c r="BC173" s="632"/>
      <c r="BD173" s="632"/>
      <c r="BE173" s="632"/>
      <c r="BF173" s="632"/>
      <c r="BG173" s="632"/>
      <c r="BH173" s="632"/>
      <c r="BI173" s="632"/>
      <c r="BJ173" s="632"/>
      <c r="BK173" s="632"/>
      <c r="BL173" s="632"/>
      <c r="BM173" s="632"/>
      <c r="BN173" s="632"/>
      <c r="BO173" s="632"/>
      <c r="BP173" s="632"/>
      <c r="BQ173" s="632"/>
      <c r="BR173" s="632"/>
      <c r="BS173" s="632"/>
      <c r="BT173" s="632"/>
      <c r="BU173" s="632"/>
      <c r="BV173" s="632"/>
      <c r="BW173" s="632"/>
      <c r="BX173" s="632"/>
      <c r="BY173" s="632"/>
      <c r="BZ173" s="632"/>
      <c r="CA173" s="632"/>
      <c r="CB173" s="632"/>
      <c r="CC173" s="632"/>
      <c r="CD173" s="632"/>
      <c r="CE173" s="632"/>
      <c r="CF173" s="632"/>
      <c r="CG173" s="632"/>
      <c r="CH173" s="632"/>
      <c r="CI173" s="632"/>
      <c r="CJ173" s="632"/>
      <c r="CK173" s="632"/>
      <c r="CL173" s="632"/>
      <c r="CM173" s="632"/>
      <c r="CN173" s="631"/>
    </row>
    <row r="174" spans="2:92" ht="15.75" x14ac:dyDescent="0.2">
      <c r="B174" s="610"/>
      <c r="C174" s="336"/>
      <c r="D174" s="611"/>
      <c r="E174" s="612"/>
      <c r="F174" s="612"/>
      <c r="G174" s="612"/>
      <c r="H174" s="618">
        <f>'I. Stream &amp; Compound Data'!F305</f>
        <v>44</v>
      </c>
      <c r="I174" s="677" t="str">
        <f>IF('I. Stream &amp; Compound Data'!G305&lt;&gt;"",'I. Stream &amp; Compound Data'!G305,"")</f>
        <v/>
      </c>
      <c r="J174" s="676" t="str">
        <f>IF('I. Stream &amp; Compound Data'!BH305="","",'I. Stream &amp; Compound Data'!BH305)</f>
        <v/>
      </c>
      <c r="K174" s="652" t="str">
        <f>IF('I. Stream &amp; Compound Data'!G305="","",IF(OR('I. Stream &amp; Compound Data'!U305=1,'I. Stream &amp; Compound Data'!V305=1,'I. Stream &amp; Compound Data'!AY305&lt;25),0,1))</f>
        <v/>
      </c>
      <c r="L174" s="651" t="str">
        <f>IF(OR(I174="",L$122=""),"",'I. Stream &amp; Compound Data'!H229/$J174*(1-L$127)*(1-L$123)*$K174)</f>
        <v/>
      </c>
      <c r="M174" s="651" t="str">
        <f>IF(OR(J174="",M$122=""),"",'I. Stream &amp; Compound Data'!K229/$J174*(1-M$127)*(1-M$123)*$K174)</f>
        <v/>
      </c>
      <c r="N174" s="651" t="str">
        <f>IF(OR(K174="",N$122=""),"",'I. Stream &amp; Compound Data'!N229/$J174*(1-N$127)*(1-N$123)*$K174)</f>
        <v/>
      </c>
      <c r="O174" s="651" t="str">
        <f>IF(OR(L174="",O$122=""),"",'I. Stream &amp; Compound Data'!Q229/$J174*(1-O$127)*(1-O$123)*$K174)</f>
        <v/>
      </c>
      <c r="P174" s="651" t="str">
        <f>IF(OR(M174="",P$122=""),"",'I. Stream &amp; Compound Data'!T229/$J174*(1-P$127)*(1-P$123)*$K174)</f>
        <v/>
      </c>
      <c r="Q174" s="651" t="str">
        <f>IF(OR(N174="",Q$122=""),"",'I. Stream &amp; Compound Data'!W229/$J174*(1-Q$127)*(1-Q$123)*$K174)</f>
        <v/>
      </c>
      <c r="R174" s="651" t="str">
        <f>IF(OR(O174="",R$122=""),"",'I. Stream &amp; Compound Data'!Z229/$J174*(1-R$127)*(1-R$123)*$K174)</f>
        <v/>
      </c>
      <c r="S174" s="651" t="str">
        <f>IF(OR(P174="",S$122=""),"",'I. Stream &amp; Compound Data'!AC229/$J174*(1-S$127)*(1-S$123)*$K174)</f>
        <v/>
      </c>
      <c r="T174" s="651" t="str">
        <f>IF(OR(Q174="",T$122=""),"",'I. Stream &amp; Compound Data'!AF229/$J174*(1-T$127)*(1-T$123)*$K174)</f>
        <v/>
      </c>
      <c r="U174" s="651" t="str">
        <f>IF(OR(R174="",U$122=""),"",'I. Stream &amp; Compound Data'!AI229/$J174*(1-U$127)*(1-U$123)*$K174)</f>
        <v/>
      </c>
      <c r="V174" s="651" t="str">
        <f>IF(OR(V$122="",$I174=""),"",'I. Stream &amp; Compound Data'!AL229/$J174*(1-V$127)*(1-V$123)*$K174)</f>
        <v/>
      </c>
      <c r="W174" s="651" t="str">
        <f>IF(OR(W$122="",$I174=""),"",'I. Stream &amp; Compound Data'!AO229/$J174*(1-W$127)*(1-W$123)*$K174)</f>
        <v/>
      </c>
      <c r="X174" s="651" t="str">
        <f>IF(OR(X$122="",$I174=""),"",'I. Stream &amp; Compound Data'!AR229/$J174*(1-X$127)*(1-X$123)*$K174)</f>
        <v/>
      </c>
      <c r="Y174" s="651" t="str">
        <f>IF(OR(Y$122="",$I174=""),"",'I. Stream &amp; Compound Data'!AU229/$J174*(1-Y$127)*(1-Y$123)*$K174)</f>
        <v/>
      </c>
      <c r="Z174" s="651" t="str">
        <f>IF(OR(Z$122="",$I174=""),"",'I. Stream &amp; Compound Data'!AX229/$J174*(1-Z$127)*(1-Z$123)*$K174)</f>
        <v/>
      </c>
      <c r="AA174" s="651" t="str">
        <f>IF(OR(AA$122="",$I174=""),"",'I. Stream &amp; Compound Data'!BA229/$J174*(1-AA$127)*(1-AA$123)*$K174)</f>
        <v/>
      </c>
      <c r="AB174" s="651" t="str">
        <f>IF(OR(AB$122="",$I174=""),"",'I. Stream &amp; Compound Data'!BD229/$J174*(1-AB$127)*(1-AB$123)*$K174)</f>
        <v/>
      </c>
      <c r="AC174" s="651" t="str">
        <f>IF(OR(AC$122="",$I174=""),"",'I. Stream &amp; Compound Data'!BG229/$J174*(1-AC$127)*(1-AC$123)*$K174)</f>
        <v/>
      </c>
      <c r="AD174" s="651" t="str">
        <f>IF(OR(AD$122="",$I174=""),"",'I. Stream &amp; Compound Data'!BJ229/$J174*(1-AD$127)*(1-AD$123)*$K174)</f>
        <v/>
      </c>
      <c r="AE174" s="651" t="str">
        <f>IF(OR(AE$122="",$I174=""),"",'I. Stream &amp; Compound Data'!BM229/$J174*(1-AE$127)*(1-AE$123)*$K174)</f>
        <v/>
      </c>
      <c r="AF174" s="651" t="str">
        <f>IF(OR(AF$122="",$I174=""),"",'I. Stream &amp; Compound Data'!BP229/$J174*(1-AF$127)*(1-AF$123)*$K174)</f>
        <v/>
      </c>
      <c r="AG174" s="651" t="str">
        <f>IF(OR(AG$122="",$I174=""),"",'I. Stream &amp; Compound Data'!BS229/$J174*(1-AG$127)*(1-AG$123)*$K174)</f>
        <v/>
      </c>
      <c r="AH174" s="651" t="str">
        <f>IF(OR(AH$122="",$I174=""),"",'I. Stream &amp; Compound Data'!BV229/$J174*(1-AH$127)*(1-AH$123)*$K174)</f>
        <v/>
      </c>
      <c r="AI174" s="651" t="str">
        <f>IF(OR(AI$122="",$I174=""),"",'I. Stream &amp; Compound Data'!BY229/$J174*(1-AI$127)*(1-AI$123)*$K174)</f>
        <v/>
      </c>
      <c r="AJ174" s="651" t="str">
        <f>IF(OR(AJ$122="",$I174=""),"",'I. Stream &amp; Compound Data'!CB229/$J174*(1-AJ$127)*(1-AJ$123)*$K174)</f>
        <v/>
      </c>
      <c r="AK174" s="651" t="str">
        <f>IF(OR(AK$122="",$I174=""),"",'I. Stream &amp; Compound Data'!CE229/$J174*(1-AK$127)*(1-AK$123)*$K174)</f>
        <v/>
      </c>
      <c r="AL174" s="651" t="str">
        <f>IF(OR(AL$122="",$I174=""),"",'I. Stream &amp; Compound Data'!CH229/$J174*(1-AL$127)*(1-AL$123)*$K174)</f>
        <v/>
      </c>
      <c r="AM174" s="651" t="str">
        <f>IF(OR(AM$122="",$I174=""),"",'I. Stream &amp; Compound Data'!CK229/$J174*(1-AM$127)*(1-AM$123)*$K174)</f>
        <v/>
      </c>
      <c r="AN174" s="651" t="str">
        <f>IF(OR(AN$122="",$I174=""),"",'I. Stream &amp; Compound Data'!CN229/$J174*(1-AN$127)*(1-AN$123)*$K174)</f>
        <v/>
      </c>
      <c r="AO174" s="651" t="str">
        <f>IF(OR(AO$122="",$I174=""),"",'I. Stream &amp; Compound Data'!CQ229/$J174*(1-AO$127)*(1-AO$123)*$K174)</f>
        <v/>
      </c>
      <c r="AP174" s="651" t="str">
        <f>IF(OR(AP$122="",$I174=""),"",'I. Stream &amp; Compound Data'!CT229/$J174*(1-AP$127)*(1-AP$123)*$K174)</f>
        <v/>
      </c>
      <c r="AQ174" s="651" t="str">
        <f>IF(OR(AQ$122="",$I174=""),"",'I. Stream &amp; Compound Data'!CW229/$J174*(1-AQ$127)*(1-AQ$123)*$K174)</f>
        <v/>
      </c>
      <c r="AR174" s="651" t="str">
        <f>IF(OR(AR$122="",$I174=""),"",'I. Stream &amp; Compound Data'!CZ229/$J174*(1-AR$127)*(1-AR$123)*$K174)</f>
        <v/>
      </c>
      <c r="AS174" s="651" t="str">
        <f>IF(OR(AS$122="",$I174=""),"",'I. Stream &amp; Compound Data'!DC229/$J174*(1-AS$127)*(1-AS$123)*$K174)</f>
        <v/>
      </c>
      <c r="AT174" s="651" t="str">
        <f>IF(OR(AT$122="",$I174=""),"",'I. Stream &amp; Compound Data'!DF229/$J174*(1-AT$127)*(1-AT$123)*$K174)</f>
        <v/>
      </c>
      <c r="AU174" s="651" t="str">
        <f>IF(OR(AU$122="",$I174=""),"",'I. Stream &amp; Compound Data'!DI229/$J174*(1-AU$127)*(1-AU$123)*$K174)</f>
        <v/>
      </c>
      <c r="AV174" s="651" t="str">
        <f>IF(OR(AV$122="",$I174=""),"",'I. Stream &amp; Compound Data'!DL229/$J174*(1-AV$127)*(1-AV$123)*$K174)</f>
        <v/>
      </c>
      <c r="AW174" s="651" t="str">
        <f>IF(OR(AW$122="",$I174=""),"",'I. Stream &amp; Compound Data'!DO229/$J174*(1-AW$127)*(1-AW$123)*$K174)</f>
        <v/>
      </c>
      <c r="AX174" s="651" t="str">
        <f>IF(OR(AX$122="",$I174=""),"",'I. Stream &amp; Compound Data'!DR229/$J174*(1-AX$127)*(1-AX$123)*$K174)</f>
        <v/>
      </c>
      <c r="AY174" s="667" t="str">
        <f>IF(OR(AY$122="",$I174=""),"",'I. Stream &amp; Compound Data'!DU229/$J174*(1-AY$127)*(1-AY$123)*$K174)</f>
        <v/>
      </c>
      <c r="AZ174" s="336"/>
      <c r="BA174" s="632"/>
      <c r="BB174" s="632"/>
      <c r="BC174" s="632"/>
      <c r="BD174" s="632"/>
      <c r="BE174" s="632"/>
      <c r="BF174" s="632"/>
      <c r="BG174" s="632"/>
      <c r="BH174" s="632"/>
      <c r="BI174" s="632"/>
      <c r="BJ174" s="632"/>
      <c r="BK174" s="632"/>
      <c r="BL174" s="632"/>
      <c r="BM174" s="632"/>
      <c r="BN174" s="632"/>
      <c r="BO174" s="632"/>
      <c r="BP174" s="632"/>
      <c r="BQ174" s="632"/>
      <c r="BR174" s="632"/>
      <c r="BS174" s="632"/>
      <c r="BT174" s="632"/>
      <c r="BU174" s="632"/>
      <c r="BV174" s="632"/>
      <c r="BW174" s="632"/>
      <c r="BX174" s="632"/>
      <c r="BY174" s="632"/>
      <c r="BZ174" s="632"/>
      <c r="CA174" s="632"/>
      <c r="CB174" s="632"/>
      <c r="CC174" s="632"/>
      <c r="CD174" s="632"/>
      <c r="CE174" s="632"/>
      <c r="CF174" s="632"/>
      <c r="CG174" s="632"/>
      <c r="CH174" s="632"/>
      <c r="CI174" s="632"/>
      <c r="CJ174" s="632"/>
      <c r="CK174" s="632"/>
      <c r="CL174" s="632"/>
      <c r="CM174" s="632"/>
      <c r="CN174" s="631"/>
    </row>
    <row r="175" spans="2:92" ht="15.75" x14ac:dyDescent="0.2">
      <c r="B175" s="610"/>
      <c r="C175" s="336"/>
      <c r="D175" s="611"/>
      <c r="E175" s="612"/>
      <c r="F175" s="612"/>
      <c r="G175" s="612"/>
      <c r="H175" s="618">
        <f>'I. Stream &amp; Compound Data'!F306</f>
        <v>45</v>
      </c>
      <c r="I175" s="677" t="str">
        <f>IF('I. Stream &amp; Compound Data'!G306&lt;&gt;"",'I. Stream &amp; Compound Data'!G306,"")</f>
        <v/>
      </c>
      <c r="J175" s="676" t="str">
        <f>IF('I. Stream &amp; Compound Data'!BH306="","",'I. Stream &amp; Compound Data'!BH306)</f>
        <v/>
      </c>
      <c r="K175" s="652" t="str">
        <f>IF('I. Stream &amp; Compound Data'!G306="","",IF(OR('I. Stream &amp; Compound Data'!U306=1,'I. Stream &amp; Compound Data'!V306=1,'I. Stream &amp; Compound Data'!AY306&lt;25),0,1))</f>
        <v/>
      </c>
      <c r="L175" s="651" t="str">
        <f>IF(OR(I175="",L$122=""),"",'I. Stream &amp; Compound Data'!H230/$J175*(1-L$127)*(1-L$123)*$K175)</f>
        <v/>
      </c>
      <c r="M175" s="651" t="str">
        <f>IF(OR(J175="",M$122=""),"",'I. Stream &amp; Compound Data'!K230/$J175*(1-M$127)*(1-M$123)*$K175)</f>
        <v/>
      </c>
      <c r="N175" s="651" t="str">
        <f>IF(OR(K175="",N$122=""),"",'I. Stream &amp; Compound Data'!N230/$J175*(1-N$127)*(1-N$123)*$K175)</f>
        <v/>
      </c>
      <c r="O175" s="651" t="str">
        <f>IF(OR(L175="",O$122=""),"",'I. Stream &amp; Compound Data'!Q230/$J175*(1-O$127)*(1-O$123)*$K175)</f>
        <v/>
      </c>
      <c r="P175" s="651" t="str">
        <f>IF(OR(M175="",P$122=""),"",'I. Stream &amp; Compound Data'!T230/$J175*(1-P$127)*(1-P$123)*$K175)</f>
        <v/>
      </c>
      <c r="Q175" s="651" t="str">
        <f>IF(OR(N175="",Q$122=""),"",'I. Stream &amp; Compound Data'!W230/$J175*(1-Q$127)*(1-Q$123)*$K175)</f>
        <v/>
      </c>
      <c r="R175" s="651" t="str">
        <f>IF(OR(O175="",R$122=""),"",'I. Stream &amp; Compound Data'!Z230/$J175*(1-R$127)*(1-R$123)*$K175)</f>
        <v/>
      </c>
      <c r="S175" s="651" t="str">
        <f>IF(OR(P175="",S$122=""),"",'I. Stream &amp; Compound Data'!AC230/$J175*(1-S$127)*(1-S$123)*$K175)</f>
        <v/>
      </c>
      <c r="T175" s="651" t="str">
        <f>IF(OR(Q175="",T$122=""),"",'I. Stream &amp; Compound Data'!AF230/$J175*(1-T$127)*(1-T$123)*$K175)</f>
        <v/>
      </c>
      <c r="U175" s="651" t="str">
        <f>IF(OR(R175="",U$122=""),"",'I. Stream &amp; Compound Data'!AI230/$J175*(1-U$127)*(1-U$123)*$K175)</f>
        <v/>
      </c>
      <c r="V175" s="651" t="str">
        <f>IF(OR(V$122="",$I175=""),"",'I. Stream &amp; Compound Data'!AL230/$J175*(1-V$127)*(1-V$123)*$K175)</f>
        <v/>
      </c>
      <c r="W175" s="651" t="str">
        <f>IF(OR(W$122="",$I175=""),"",'I. Stream &amp; Compound Data'!AO230/$J175*(1-W$127)*(1-W$123)*$K175)</f>
        <v/>
      </c>
      <c r="X175" s="651" t="str">
        <f>IF(OR(X$122="",$I175=""),"",'I. Stream &amp; Compound Data'!AR230/$J175*(1-X$127)*(1-X$123)*$K175)</f>
        <v/>
      </c>
      <c r="Y175" s="651" t="str">
        <f>IF(OR(Y$122="",$I175=""),"",'I. Stream &amp; Compound Data'!AU230/$J175*(1-Y$127)*(1-Y$123)*$K175)</f>
        <v/>
      </c>
      <c r="Z175" s="651" t="str">
        <f>IF(OR(Z$122="",$I175=""),"",'I. Stream &amp; Compound Data'!AX230/$J175*(1-Z$127)*(1-Z$123)*$K175)</f>
        <v/>
      </c>
      <c r="AA175" s="651" t="str">
        <f>IF(OR(AA$122="",$I175=""),"",'I. Stream &amp; Compound Data'!BA230/$J175*(1-AA$127)*(1-AA$123)*$K175)</f>
        <v/>
      </c>
      <c r="AB175" s="651" t="str">
        <f>IF(OR(AB$122="",$I175=""),"",'I. Stream &amp; Compound Data'!BD230/$J175*(1-AB$127)*(1-AB$123)*$K175)</f>
        <v/>
      </c>
      <c r="AC175" s="651" t="str">
        <f>IF(OR(AC$122="",$I175=""),"",'I. Stream &amp; Compound Data'!BG230/$J175*(1-AC$127)*(1-AC$123)*$K175)</f>
        <v/>
      </c>
      <c r="AD175" s="651" t="str">
        <f>IF(OR(AD$122="",$I175=""),"",'I. Stream &amp; Compound Data'!BJ230/$J175*(1-AD$127)*(1-AD$123)*$K175)</f>
        <v/>
      </c>
      <c r="AE175" s="651" t="str">
        <f>IF(OR(AE$122="",$I175=""),"",'I. Stream &amp; Compound Data'!BM230/$J175*(1-AE$127)*(1-AE$123)*$K175)</f>
        <v/>
      </c>
      <c r="AF175" s="651" t="str">
        <f>IF(OR(AF$122="",$I175=""),"",'I. Stream &amp; Compound Data'!BP230/$J175*(1-AF$127)*(1-AF$123)*$K175)</f>
        <v/>
      </c>
      <c r="AG175" s="651" t="str">
        <f>IF(OR(AG$122="",$I175=""),"",'I. Stream &amp; Compound Data'!BS230/$J175*(1-AG$127)*(1-AG$123)*$K175)</f>
        <v/>
      </c>
      <c r="AH175" s="651" t="str">
        <f>IF(OR(AH$122="",$I175=""),"",'I. Stream &amp; Compound Data'!BV230/$J175*(1-AH$127)*(1-AH$123)*$K175)</f>
        <v/>
      </c>
      <c r="AI175" s="651" t="str">
        <f>IF(OR(AI$122="",$I175=""),"",'I. Stream &amp; Compound Data'!BY230/$J175*(1-AI$127)*(1-AI$123)*$K175)</f>
        <v/>
      </c>
      <c r="AJ175" s="651" t="str">
        <f>IF(OR(AJ$122="",$I175=""),"",'I. Stream &amp; Compound Data'!CB230/$J175*(1-AJ$127)*(1-AJ$123)*$K175)</f>
        <v/>
      </c>
      <c r="AK175" s="651" t="str">
        <f>IF(OR(AK$122="",$I175=""),"",'I. Stream &amp; Compound Data'!CE230/$J175*(1-AK$127)*(1-AK$123)*$K175)</f>
        <v/>
      </c>
      <c r="AL175" s="651" t="str">
        <f>IF(OR(AL$122="",$I175=""),"",'I. Stream &amp; Compound Data'!CH230/$J175*(1-AL$127)*(1-AL$123)*$K175)</f>
        <v/>
      </c>
      <c r="AM175" s="651" t="str">
        <f>IF(OR(AM$122="",$I175=""),"",'I. Stream &amp; Compound Data'!CK230/$J175*(1-AM$127)*(1-AM$123)*$K175)</f>
        <v/>
      </c>
      <c r="AN175" s="651" t="str">
        <f>IF(OR(AN$122="",$I175=""),"",'I. Stream &amp; Compound Data'!CN230/$J175*(1-AN$127)*(1-AN$123)*$K175)</f>
        <v/>
      </c>
      <c r="AO175" s="651" t="str">
        <f>IF(OR(AO$122="",$I175=""),"",'I. Stream &amp; Compound Data'!CQ230/$J175*(1-AO$127)*(1-AO$123)*$K175)</f>
        <v/>
      </c>
      <c r="AP175" s="651" t="str">
        <f>IF(OR(AP$122="",$I175=""),"",'I. Stream &amp; Compound Data'!CT230/$J175*(1-AP$127)*(1-AP$123)*$K175)</f>
        <v/>
      </c>
      <c r="AQ175" s="651" t="str">
        <f>IF(OR(AQ$122="",$I175=""),"",'I. Stream &amp; Compound Data'!CW230/$J175*(1-AQ$127)*(1-AQ$123)*$K175)</f>
        <v/>
      </c>
      <c r="AR175" s="651" t="str">
        <f>IF(OR(AR$122="",$I175=""),"",'I. Stream &amp; Compound Data'!CZ230/$J175*(1-AR$127)*(1-AR$123)*$K175)</f>
        <v/>
      </c>
      <c r="AS175" s="651" t="str">
        <f>IF(OR(AS$122="",$I175=""),"",'I. Stream &amp; Compound Data'!DC230/$J175*(1-AS$127)*(1-AS$123)*$K175)</f>
        <v/>
      </c>
      <c r="AT175" s="651" t="str">
        <f>IF(OR(AT$122="",$I175=""),"",'I. Stream &amp; Compound Data'!DF230/$J175*(1-AT$127)*(1-AT$123)*$K175)</f>
        <v/>
      </c>
      <c r="AU175" s="651" t="str">
        <f>IF(OR(AU$122="",$I175=""),"",'I. Stream &amp; Compound Data'!DI230/$J175*(1-AU$127)*(1-AU$123)*$K175)</f>
        <v/>
      </c>
      <c r="AV175" s="651" t="str">
        <f>IF(OR(AV$122="",$I175=""),"",'I. Stream &amp; Compound Data'!DL230/$J175*(1-AV$127)*(1-AV$123)*$K175)</f>
        <v/>
      </c>
      <c r="AW175" s="651" t="str">
        <f>IF(OR(AW$122="",$I175=""),"",'I. Stream &amp; Compound Data'!DO230/$J175*(1-AW$127)*(1-AW$123)*$K175)</f>
        <v/>
      </c>
      <c r="AX175" s="651" t="str">
        <f>IF(OR(AX$122="",$I175=""),"",'I. Stream &amp; Compound Data'!DR230/$J175*(1-AX$127)*(1-AX$123)*$K175)</f>
        <v/>
      </c>
      <c r="AY175" s="667" t="str">
        <f>IF(OR(AY$122="",$I175=""),"",'I. Stream &amp; Compound Data'!DU230/$J175*(1-AY$127)*(1-AY$123)*$K175)</f>
        <v/>
      </c>
      <c r="AZ175" s="336"/>
      <c r="BA175" s="632"/>
      <c r="BB175" s="632"/>
      <c r="BC175" s="632"/>
      <c r="BD175" s="632"/>
      <c r="BE175" s="632"/>
      <c r="BF175" s="632"/>
      <c r="BG175" s="632"/>
      <c r="BH175" s="632"/>
      <c r="BI175" s="632"/>
      <c r="BJ175" s="632"/>
      <c r="BK175" s="632"/>
      <c r="BL175" s="632"/>
      <c r="BM175" s="632"/>
      <c r="BN175" s="632"/>
      <c r="BO175" s="632"/>
      <c r="BP175" s="632"/>
      <c r="BQ175" s="632"/>
      <c r="BR175" s="632"/>
      <c r="BS175" s="632"/>
      <c r="BT175" s="632"/>
      <c r="BU175" s="632"/>
      <c r="BV175" s="632"/>
      <c r="BW175" s="632"/>
      <c r="BX175" s="632"/>
      <c r="BY175" s="632"/>
      <c r="BZ175" s="632"/>
      <c r="CA175" s="632"/>
      <c r="CB175" s="632"/>
      <c r="CC175" s="632"/>
      <c r="CD175" s="632"/>
      <c r="CE175" s="632"/>
      <c r="CF175" s="632"/>
      <c r="CG175" s="632"/>
      <c r="CH175" s="632"/>
      <c r="CI175" s="632"/>
      <c r="CJ175" s="632"/>
      <c r="CK175" s="632"/>
      <c r="CL175" s="632"/>
      <c r="CM175" s="632"/>
      <c r="CN175" s="631"/>
    </row>
    <row r="176" spans="2:92" ht="15.75" x14ac:dyDescent="0.2">
      <c r="B176" s="610"/>
      <c r="C176" s="336"/>
      <c r="D176" s="611"/>
      <c r="E176" s="612"/>
      <c r="F176" s="612"/>
      <c r="G176" s="612"/>
      <c r="H176" s="618">
        <f>'I. Stream &amp; Compound Data'!F307</f>
        <v>46</v>
      </c>
      <c r="I176" s="677" t="str">
        <f>IF('I. Stream &amp; Compound Data'!G307&lt;&gt;"",'I. Stream &amp; Compound Data'!G307,"")</f>
        <v/>
      </c>
      <c r="J176" s="676" t="str">
        <f>IF('I. Stream &amp; Compound Data'!BH307="","",'I. Stream &amp; Compound Data'!BH307)</f>
        <v/>
      </c>
      <c r="K176" s="652" t="str">
        <f>IF('I. Stream &amp; Compound Data'!G307="","",IF(OR('I. Stream &amp; Compound Data'!U307=1,'I. Stream &amp; Compound Data'!V307=1,'I. Stream &amp; Compound Data'!AY307&lt;25),0,1))</f>
        <v/>
      </c>
      <c r="L176" s="651" t="str">
        <f>IF(OR(I176="",L$122=""),"",'I. Stream &amp; Compound Data'!H231/$J176*(1-L$127)*(1-L$123)*$K176)</f>
        <v/>
      </c>
      <c r="M176" s="651" t="str">
        <f>IF(OR(J176="",M$122=""),"",'I. Stream &amp; Compound Data'!K231/$J176*(1-M$127)*(1-M$123)*$K176)</f>
        <v/>
      </c>
      <c r="N176" s="651" t="str">
        <f>IF(OR(K176="",N$122=""),"",'I. Stream &amp; Compound Data'!N231/$J176*(1-N$127)*(1-N$123)*$K176)</f>
        <v/>
      </c>
      <c r="O176" s="651" t="str">
        <f>IF(OR(L176="",O$122=""),"",'I. Stream &amp; Compound Data'!Q231/$J176*(1-O$127)*(1-O$123)*$K176)</f>
        <v/>
      </c>
      <c r="P176" s="651" t="str">
        <f>IF(OR(M176="",P$122=""),"",'I. Stream &amp; Compound Data'!T231/$J176*(1-P$127)*(1-P$123)*$K176)</f>
        <v/>
      </c>
      <c r="Q176" s="651" t="str">
        <f>IF(OR(N176="",Q$122=""),"",'I. Stream &amp; Compound Data'!W231/$J176*(1-Q$127)*(1-Q$123)*$K176)</f>
        <v/>
      </c>
      <c r="R176" s="651" t="str">
        <f>IF(OR(O176="",R$122=""),"",'I. Stream &amp; Compound Data'!Z231/$J176*(1-R$127)*(1-R$123)*$K176)</f>
        <v/>
      </c>
      <c r="S176" s="651" t="str">
        <f>IF(OR(P176="",S$122=""),"",'I. Stream &amp; Compound Data'!AC231/$J176*(1-S$127)*(1-S$123)*$K176)</f>
        <v/>
      </c>
      <c r="T176" s="651" t="str">
        <f>IF(OR(Q176="",T$122=""),"",'I. Stream &amp; Compound Data'!AF231/$J176*(1-T$127)*(1-T$123)*$K176)</f>
        <v/>
      </c>
      <c r="U176" s="651" t="str">
        <f>IF(OR(R176="",U$122=""),"",'I. Stream &amp; Compound Data'!AI231/$J176*(1-U$127)*(1-U$123)*$K176)</f>
        <v/>
      </c>
      <c r="V176" s="651" t="str">
        <f>IF(OR(V$122="",$I176=""),"",'I. Stream &amp; Compound Data'!AL231/$J176*(1-V$127)*(1-V$123)*$K176)</f>
        <v/>
      </c>
      <c r="W176" s="651" t="str">
        <f>IF(OR(W$122="",$I176=""),"",'I. Stream &amp; Compound Data'!AO231/$J176*(1-W$127)*(1-W$123)*$K176)</f>
        <v/>
      </c>
      <c r="X176" s="651" t="str">
        <f>IF(OR(X$122="",$I176=""),"",'I. Stream &amp; Compound Data'!AR231/$J176*(1-X$127)*(1-X$123)*$K176)</f>
        <v/>
      </c>
      <c r="Y176" s="651" t="str">
        <f>IF(OR(Y$122="",$I176=""),"",'I. Stream &amp; Compound Data'!AU231/$J176*(1-Y$127)*(1-Y$123)*$K176)</f>
        <v/>
      </c>
      <c r="Z176" s="651" t="str">
        <f>IF(OR(Z$122="",$I176=""),"",'I. Stream &amp; Compound Data'!AX231/$J176*(1-Z$127)*(1-Z$123)*$K176)</f>
        <v/>
      </c>
      <c r="AA176" s="651" t="str">
        <f>IF(OR(AA$122="",$I176=""),"",'I. Stream &amp; Compound Data'!BA231/$J176*(1-AA$127)*(1-AA$123)*$K176)</f>
        <v/>
      </c>
      <c r="AB176" s="651" t="str">
        <f>IF(OR(AB$122="",$I176=""),"",'I. Stream &amp; Compound Data'!BD231/$J176*(1-AB$127)*(1-AB$123)*$K176)</f>
        <v/>
      </c>
      <c r="AC176" s="651" t="str">
        <f>IF(OR(AC$122="",$I176=""),"",'I. Stream &amp; Compound Data'!BG231/$J176*(1-AC$127)*(1-AC$123)*$K176)</f>
        <v/>
      </c>
      <c r="AD176" s="651" t="str">
        <f>IF(OR(AD$122="",$I176=""),"",'I. Stream &amp; Compound Data'!BJ231/$J176*(1-AD$127)*(1-AD$123)*$K176)</f>
        <v/>
      </c>
      <c r="AE176" s="651" t="str">
        <f>IF(OR(AE$122="",$I176=""),"",'I. Stream &amp; Compound Data'!BM231/$J176*(1-AE$127)*(1-AE$123)*$K176)</f>
        <v/>
      </c>
      <c r="AF176" s="651" t="str">
        <f>IF(OR(AF$122="",$I176=""),"",'I. Stream &amp; Compound Data'!BP231/$J176*(1-AF$127)*(1-AF$123)*$K176)</f>
        <v/>
      </c>
      <c r="AG176" s="651" t="str">
        <f>IF(OR(AG$122="",$I176=""),"",'I. Stream &amp; Compound Data'!BS231/$J176*(1-AG$127)*(1-AG$123)*$K176)</f>
        <v/>
      </c>
      <c r="AH176" s="651" t="str">
        <f>IF(OR(AH$122="",$I176=""),"",'I. Stream &amp; Compound Data'!BV231/$J176*(1-AH$127)*(1-AH$123)*$K176)</f>
        <v/>
      </c>
      <c r="AI176" s="651" t="str">
        <f>IF(OR(AI$122="",$I176=""),"",'I. Stream &amp; Compound Data'!BY231/$J176*(1-AI$127)*(1-AI$123)*$K176)</f>
        <v/>
      </c>
      <c r="AJ176" s="651" t="str">
        <f>IF(OR(AJ$122="",$I176=""),"",'I. Stream &amp; Compound Data'!CB231/$J176*(1-AJ$127)*(1-AJ$123)*$K176)</f>
        <v/>
      </c>
      <c r="AK176" s="651" t="str">
        <f>IF(OR(AK$122="",$I176=""),"",'I. Stream &amp; Compound Data'!CE231/$J176*(1-AK$127)*(1-AK$123)*$K176)</f>
        <v/>
      </c>
      <c r="AL176" s="651" t="str">
        <f>IF(OR(AL$122="",$I176=""),"",'I. Stream &amp; Compound Data'!CH231/$J176*(1-AL$127)*(1-AL$123)*$K176)</f>
        <v/>
      </c>
      <c r="AM176" s="651" t="str">
        <f>IF(OR(AM$122="",$I176=""),"",'I. Stream &amp; Compound Data'!CK231/$J176*(1-AM$127)*(1-AM$123)*$K176)</f>
        <v/>
      </c>
      <c r="AN176" s="651" t="str">
        <f>IF(OR(AN$122="",$I176=""),"",'I. Stream &amp; Compound Data'!CN231/$J176*(1-AN$127)*(1-AN$123)*$K176)</f>
        <v/>
      </c>
      <c r="AO176" s="651" t="str">
        <f>IF(OR(AO$122="",$I176=""),"",'I. Stream &amp; Compound Data'!CQ231/$J176*(1-AO$127)*(1-AO$123)*$K176)</f>
        <v/>
      </c>
      <c r="AP176" s="651" t="str">
        <f>IF(OR(AP$122="",$I176=""),"",'I. Stream &amp; Compound Data'!CT231/$J176*(1-AP$127)*(1-AP$123)*$K176)</f>
        <v/>
      </c>
      <c r="AQ176" s="651" t="str">
        <f>IF(OR(AQ$122="",$I176=""),"",'I. Stream &amp; Compound Data'!CW231/$J176*(1-AQ$127)*(1-AQ$123)*$K176)</f>
        <v/>
      </c>
      <c r="AR176" s="651" t="str">
        <f>IF(OR(AR$122="",$I176=""),"",'I. Stream &amp; Compound Data'!CZ231/$J176*(1-AR$127)*(1-AR$123)*$K176)</f>
        <v/>
      </c>
      <c r="AS176" s="651" t="str">
        <f>IF(OR(AS$122="",$I176=""),"",'I. Stream &amp; Compound Data'!DC231/$J176*(1-AS$127)*(1-AS$123)*$K176)</f>
        <v/>
      </c>
      <c r="AT176" s="651" t="str">
        <f>IF(OR(AT$122="",$I176=""),"",'I. Stream &amp; Compound Data'!DF231/$J176*(1-AT$127)*(1-AT$123)*$K176)</f>
        <v/>
      </c>
      <c r="AU176" s="651" t="str">
        <f>IF(OR(AU$122="",$I176=""),"",'I. Stream &amp; Compound Data'!DI231/$J176*(1-AU$127)*(1-AU$123)*$K176)</f>
        <v/>
      </c>
      <c r="AV176" s="651" t="str">
        <f>IF(OR(AV$122="",$I176=""),"",'I. Stream &amp; Compound Data'!DL231/$J176*(1-AV$127)*(1-AV$123)*$K176)</f>
        <v/>
      </c>
      <c r="AW176" s="651" t="str">
        <f>IF(OR(AW$122="",$I176=""),"",'I. Stream &amp; Compound Data'!DO231/$J176*(1-AW$127)*(1-AW$123)*$K176)</f>
        <v/>
      </c>
      <c r="AX176" s="651" t="str">
        <f>IF(OR(AX$122="",$I176=""),"",'I. Stream &amp; Compound Data'!DR231/$J176*(1-AX$127)*(1-AX$123)*$K176)</f>
        <v/>
      </c>
      <c r="AY176" s="667" t="str">
        <f>IF(OR(AY$122="",$I176=""),"",'I. Stream &amp; Compound Data'!DU231/$J176*(1-AY$127)*(1-AY$123)*$K176)</f>
        <v/>
      </c>
      <c r="AZ176" s="336"/>
      <c r="BA176" s="632"/>
      <c r="BB176" s="632"/>
      <c r="BC176" s="632"/>
      <c r="BD176" s="632"/>
      <c r="BE176" s="632"/>
      <c r="BF176" s="632"/>
      <c r="BG176" s="632"/>
      <c r="BH176" s="632"/>
      <c r="BI176" s="632"/>
      <c r="BJ176" s="632"/>
      <c r="BK176" s="632"/>
      <c r="BL176" s="632"/>
      <c r="BM176" s="632"/>
      <c r="BN176" s="632"/>
      <c r="BO176" s="632"/>
      <c r="BP176" s="632"/>
      <c r="BQ176" s="632"/>
      <c r="BR176" s="632"/>
      <c r="BS176" s="632"/>
      <c r="BT176" s="632"/>
      <c r="BU176" s="632"/>
      <c r="BV176" s="632"/>
      <c r="BW176" s="632"/>
      <c r="BX176" s="632"/>
      <c r="BY176" s="632"/>
      <c r="BZ176" s="632"/>
      <c r="CA176" s="632"/>
      <c r="CB176" s="632"/>
      <c r="CC176" s="632"/>
      <c r="CD176" s="632"/>
      <c r="CE176" s="632"/>
      <c r="CF176" s="632"/>
      <c r="CG176" s="632"/>
      <c r="CH176" s="632"/>
      <c r="CI176" s="632"/>
      <c r="CJ176" s="632"/>
      <c r="CK176" s="632"/>
      <c r="CL176" s="632"/>
      <c r="CM176" s="632"/>
      <c r="CN176" s="631"/>
    </row>
    <row r="177" spans="2:92" ht="15.75" x14ac:dyDescent="0.2">
      <c r="B177" s="610"/>
      <c r="C177" s="336"/>
      <c r="D177" s="611"/>
      <c r="E177" s="612"/>
      <c r="F177" s="612"/>
      <c r="G177" s="612"/>
      <c r="H177" s="618">
        <f>'I. Stream &amp; Compound Data'!F308</f>
        <v>47</v>
      </c>
      <c r="I177" s="677" t="str">
        <f>IF('I. Stream &amp; Compound Data'!G308&lt;&gt;"",'I. Stream &amp; Compound Data'!G308,"")</f>
        <v/>
      </c>
      <c r="J177" s="676" t="str">
        <f>IF('I. Stream &amp; Compound Data'!BH308="","",'I. Stream &amp; Compound Data'!BH308)</f>
        <v/>
      </c>
      <c r="K177" s="652" t="str">
        <f>IF('I. Stream &amp; Compound Data'!G308="","",IF(OR('I. Stream &amp; Compound Data'!U308=1,'I. Stream &amp; Compound Data'!V308=1,'I. Stream &amp; Compound Data'!AY308&lt;25),0,1))</f>
        <v/>
      </c>
      <c r="L177" s="651" t="str">
        <f>IF(OR(I177="",L$122=""),"",'I. Stream &amp; Compound Data'!H232/$J177*(1-L$127)*(1-L$123)*$K177)</f>
        <v/>
      </c>
      <c r="M177" s="651" t="str">
        <f>IF(OR(J177="",M$122=""),"",'I. Stream &amp; Compound Data'!K232/$J177*(1-M$127)*(1-M$123)*$K177)</f>
        <v/>
      </c>
      <c r="N177" s="651" t="str">
        <f>IF(OR(K177="",N$122=""),"",'I. Stream &amp; Compound Data'!N232/$J177*(1-N$127)*(1-N$123)*$K177)</f>
        <v/>
      </c>
      <c r="O177" s="651" t="str">
        <f>IF(OR(L177="",O$122=""),"",'I. Stream &amp; Compound Data'!Q232/$J177*(1-O$127)*(1-O$123)*$K177)</f>
        <v/>
      </c>
      <c r="P177" s="651" t="str">
        <f>IF(OR(M177="",P$122=""),"",'I. Stream &amp; Compound Data'!T232/$J177*(1-P$127)*(1-P$123)*$K177)</f>
        <v/>
      </c>
      <c r="Q177" s="651" t="str">
        <f>IF(OR(N177="",Q$122=""),"",'I. Stream &amp; Compound Data'!W232/$J177*(1-Q$127)*(1-Q$123)*$K177)</f>
        <v/>
      </c>
      <c r="R177" s="651" t="str">
        <f>IF(OR(O177="",R$122=""),"",'I. Stream &amp; Compound Data'!Z232/$J177*(1-R$127)*(1-R$123)*$K177)</f>
        <v/>
      </c>
      <c r="S177" s="651" t="str">
        <f>IF(OR(P177="",S$122=""),"",'I. Stream &amp; Compound Data'!AC232/$J177*(1-S$127)*(1-S$123)*$K177)</f>
        <v/>
      </c>
      <c r="T177" s="651" t="str">
        <f>IF(OR(Q177="",T$122=""),"",'I. Stream &amp; Compound Data'!AF232/$J177*(1-T$127)*(1-T$123)*$K177)</f>
        <v/>
      </c>
      <c r="U177" s="651" t="str">
        <f>IF(OR(R177="",U$122=""),"",'I. Stream &amp; Compound Data'!AI232/$J177*(1-U$127)*(1-U$123)*$K177)</f>
        <v/>
      </c>
      <c r="V177" s="651" t="str">
        <f>IF(OR(V$122="",$I177=""),"",'I. Stream &amp; Compound Data'!AL232/$J177*(1-V$127)*(1-V$123)*$K177)</f>
        <v/>
      </c>
      <c r="W177" s="651" t="str">
        <f>IF(OR(W$122="",$I177=""),"",'I. Stream &amp; Compound Data'!AO232/$J177*(1-W$127)*(1-W$123)*$K177)</f>
        <v/>
      </c>
      <c r="X177" s="651" t="str">
        <f>IF(OR(X$122="",$I177=""),"",'I. Stream &amp; Compound Data'!AR232/$J177*(1-X$127)*(1-X$123)*$K177)</f>
        <v/>
      </c>
      <c r="Y177" s="651" t="str">
        <f>IF(OR(Y$122="",$I177=""),"",'I. Stream &amp; Compound Data'!AU232/$J177*(1-Y$127)*(1-Y$123)*$K177)</f>
        <v/>
      </c>
      <c r="Z177" s="651" t="str">
        <f>IF(OR(Z$122="",$I177=""),"",'I. Stream &amp; Compound Data'!AX232/$J177*(1-Z$127)*(1-Z$123)*$K177)</f>
        <v/>
      </c>
      <c r="AA177" s="651" t="str">
        <f>IF(OR(AA$122="",$I177=""),"",'I. Stream &amp; Compound Data'!BA232/$J177*(1-AA$127)*(1-AA$123)*$K177)</f>
        <v/>
      </c>
      <c r="AB177" s="651" t="str">
        <f>IF(OR(AB$122="",$I177=""),"",'I. Stream &amp; Compound Data'!BD232/$J177*(1-AB$127)*(1-AB$123)*$K177)</f>
        <v/>
      </c>
      <c r="AC177" s="651" t="str">
        <f>IF(OR(AC$122="",$I177=""),"",'I. Stream &amp; Compound Data'!BG232/$J177*(1-AC$127)*(1-AC$123)*$K177)</f>
        <v/>
      </c>
      <c r="AD177" s="651" t="str">
        <f>IF(OR(AD$122="",$I177=""),"",'I. Stream &amp; Compound Data'!BJ232/$J177*(1-AD$127)*(1-AD$123)*$K177)</f>
        <v/>
      </c>
      <c r="AE177" s="651" t="str">
        <f>IF(OR(AE$122="",$I177=""),"",'I. Stream &amp; Compound Data'!BM232/$J177*(1-AE$127)*(1-AE$123)*$K177)</f>
        <v/>
      </c>
      <c r="AF177" s="651" t="str">
        <f>IF(OR(AF$122="",$I177=""),"",'I. Stream &amp; Compound Data'!BP232/$J177*(1-AF$127)*(1-AF$123)*$K177)</f>
        <v/>
      </c>
      <c r="AG177" s="651" t="str">
        <f>IF(OR(AG$122="",$I177=""),"",'I. Stream &amp; Compound Data'!BS232/$J177*(1-AG$127)*(1-AG$123)*$K177)</f>
        <v/>
      </c>
      <c r="AH177" s="651" t="str">
        <f>IF(OR(AH$122="",$I177=""),"",'I. Stream &amp; Compound Data'!BV232/$J177*(1-AH$127)*(1-AH$123)*$K177)</f>
        <v/>
      </c>
      <c r="AI177" s="651" t="str">
        <f>IF(OR(AI$122="",$I177=""),"",'I. Stream &amp; Compound Data'!BY232/$J177*(1-AI$127)*(1-AI$123)*$K177)</f>
        <v/>
      </c>
      <c r="AJ177" s="651" t="str">
        <f>IF(OR(AJ$122="",$I177=""),"",'I. Stream &amp; Compound Data'!CB232/$J177*(1-AJ$127)*(1-AJ$123)*$K177)</f>
        <v/>
      </c>
      <c r="AK177" s="651" t="str">
        <f>IF(OR(AK$122="",$I177=""),"",'I. Stream &amp; Compound Data'!CE232/$J177*(1-AK$127)*(1-AK$123)*$K177)</f>
        <v/>
      </c>
      <c r="AL177" s="651" t="str">
        <f>IF(OR(AL$122="",$I177=""),"",'I. Stream &amp; Compound Data'!CH232/$J177*(1-AL$127)*(1-AL$123)*$K177)</f>
        <v/>
      </c>
      <c r="AM177" s="651" t="str">
        <f>IF(OR(AM$122="",$I177=""),"",'I. Stream &amp; Compound Data'!CK232/$J177*(1-AM$127)*(1-AM$123)*$K177)</f>
        <v/>
      </c>
      <c r="AN177" s="651" t="str">
        <f>IF(OR(AN$122="",$I177=""),"",'I. Stream &amp; Compound Data'!CN232/$J177*(1-AN$127)*(1-AN$123)*$K177)</f>
        <v/>
      </c>
      <c r="AO177" s="651" t="str">
        <f>IF(OR(AO$122="",$I177=""),"",'I. Stream &amp; Compound Data'!CQ232/$J177*(1-AO$127)*(1-AO$123)*$K177)</f>
        <v/>
      </c>
      <c r="AP177" s="651" t="str">
        <f>IF(OR(AP$122="",$I177=""),"",'I. Stream &amp; Compound Data'!CT232/$J177*(1-AP$127)*(1-AP$123)*$K177)</f>
        <v/>
      </c>
      <c r="AQ177" s="651" t="str">
        <f>IF(OR(AQ$122="",$I177=""),"",'I. Stream &amp; Compound Data'!CW232/$J177*(1-AQ$127)*(1-AQ$123)*$K177)</f>
        <v/>
      </c>
      <c r="AR177" s="651" t="str">
        <f>IF(OR(AR$122="",$I177=""),"",'I. Stream &amp; Compound Data'!CZ232/$J177*(1-AR$127)*(1-AR$123)*$K177)</f>
        <v/>
      </c>
      <c r="AS177" s="651" t="str">
        <f>IF(OR(AS$122="",$I177=""),"",'I. Stream &amp; Compound Data'!DC232/$J177*(1-AS$127)*(1-AS$123)*$K177)</f>
        <v/>
      </c>
      <c r="AT177" s="651" t="str">
        <f>IF(OR(AT$122="",$I177=""),"",'I. Stream &amp; Compound Data'!DF232/$J177*(1-AT$127)*(1-AT$123)*$K177)</f>
        <v/>
      </c>
      <c r="AU177" s="651" t="str">
        <f>IF(OR(AU$122="",$I177=""),"",'I. Stream &amp; Compound Data'!DI232/$J177*(1-AU$127)*(1-AU$123)*$K177)</f>
        <v/>
      </c>
      <c r="AV177" s="651" t="str">
        <f>IF(OR(AV$122="",$I177=""),"",'I. Stream &amp; Compound Data'!DL232/$J177*(1-AV$127)*(1-AV$123)*$K177)</f>
        <v/>
      </c>
      <c r="AW177" s="651" t="str">
        <f>IF(OR(AW$122="",$I177=""),"",'I. Stream &amp; Compound Data'!DO232/$J177*(1-AW$127)*(1-AW$123)*$K177)</f>
        <v/>
      </c>
      <c r="AX177" s="651" t="str">
        <f>IF(OR(AX$122="",$I177=""),"",'I. Stream &amp; Compound Data'!DR232/$J177*(1-AX$127)*(1-AX$123)*$K177)</f>
        <v/>
      </c>
      <c r="AY177" s="667" t="str">
        <f>IF(OR(AY$122="",$I177=""),"",'I. Stream &amp; Compound Data'!DU232/$J177*(1-AY$127)*(1-AY$123)*$K177)</f>
        <v/>
      </c>
      <c r="AZ177" s="336"/>
      <c r="BA177" s="632"/>
      <c r="BB177" s="632"/>
      <c r="BC177" s="632"/>
      <c r="BD177" s="632"/>
      <c r="BE177" s="632"/>
      <c r="BF177" s="632"/>
      <c r="BG177" s="632"/>
      <c r="BH177" s="632"/>
      <c r="BI177" s="632"/>
      <c r="BJ177" s="632"/>
      <c r="BK177" s="632"/>
      <c r="BL177" s="632"/>
      <c r="BM177" s="632"/>
      <c r="BN177" s="632"/>
      <c r="BO177" s="632"/>
      <c r="BP177" s="632"/>
      <c r="BQ177" s="632"/>
      <c r="BR177" s="632"/>
      <c r="BS177" s="632"/>
      <c r="BT177" s="632"/>
      <c r="BU177" s="632"/>
      <c r="BV177" s="632"/>
      <c r="BW177" s="632"/>
      <c r="BX177" s="632"/>
      <c r="BY177" s="632"/>
      <c r="BZ177" s="632"/>
      <c r="CA177" s="632"/>
      <c r="CB177" s="632"/>
      <c r="CC177" s="632"/>
      <c r="CD177" s="632"/>
      <c r="CE177" s="632"/>
      <c r="CF177" s="632"/>
      <c r="CG177" s="632"/>
      <c r="CH177" s="632"/>
      <c r="CI177" s="632"/>
      <c r="CJ177" s="632"/>
      <c r="CK177" s="632"/>
      <c r="CL177" s="632"/>
      <c r="CM177" s="632"/>
      <c r="CN177" s="631"/>
    </row>
    <row r="178" spans="2:92" ht="15.75" x14ac:dyDescent="0.2">
      <c r="B178" s="610"/>
      <c r="C178" s="336"/>
      <c r="D178" s="611"/>
      <c r="E178" s="612"/>
      <c r="F178" s="612"/>
      <c r="G178" s="612"/>
      <c r="H178" s="618">
        <f>'I. Stream &amp; Compound Data'!F309</f>
        <v>48</v>
      </c>
      <c r="I178" s="677" t="str">
        <f>IF('I. Stream &amp; Compound Data'!G309&lt;&gt;"",'I. Stream &amp; Compound Data'!G309,"")</f>
        <v/>
      </c>
      <c r="J178" s="676" t="str">
        <f>IF('I. Stream &amp; Compound Data'!BH309="","",'I. Stream &amp; Compound Data'!BH309)</f>
        <v/>
      </c>
      <c r="K178" s="652" t="str">
        <f>IF('I. Stream &amp; Compound Data'!G309="","",IF(OR('I. Stream &amp; Compound Data'!U309=1,'I. Stream &amp; Compound Data'!V309=1,'I. Stream &amp; Compound Data'!AY309&lt;25),0,1))</f>
        <v/>
      </c>
      <c r="L178" s="651" t="str">
        <f>IF(OR(I178="",L$122=""),"",'I. Stream &amp; Compound Data'!H233/$J178*(1-L$127)*(1-L$123)*$K178)</f>
        <v/>
      </c>
      <c r="M178" s="651" t="str">
        <f>IF(OR(J178="",M$122=""),"",'I. Stream &amp; Compound Data'!K233/$J178*(1-M$127)*(1-M$123)*$K178)</f>
        <v/>
      </c>
      <c r="N178" s="651" t="str">
        <f>IF(OR(K178="",N$122=""),"",'I. Stream &amp; Compound Data'!N233/$J178*(1-N$127)*(1-N$123)*$K178)</f>
        <v/>
      </c>
      <c r="O178" s="651" t="str">
        <f>IF(OR(L178="",O$122=""),"",'I. Stream &amp; Compound Data'!Q233/$J178*(1-O$127)*(1-O$123)*$K178)</f>
        <v/>
      </c>
      <c r="P178" s="651" t="str">
        <f>IF(OR(M178="",P$122=""),"",'I. Stream &amp; Compound Data'!T233/$J178*(1-P$127)*(1-P$123)*$K178)</f>
        <v/>
      </c>
      <c r="Q178" s="651" t="str">
        <f>IF(OR(N178="",Q$122=""),"",'I. Stream &amp; Compound Data'!W233/$J178*(1-Q$127)*(1-Q$123)*$K178)</f>
        <v/>
      </c>
      <c r="R178" s="651" t="str">
        <f>IF(OR(O178="",R$122=""),"",'I. Stream &amp; Compound Data'!Z233/$J178*(1-R$127)*(1-R$123)*$K178)</f>
        <v/>
      </c>
      <c r="S178" s="651" t="str">
        <f>IF(OR(P178="",S$122=""),"",'I. Stream &amp; Compound Data'!AC233/$J178*(1-S$127)*(1-S$123)*$K178)</f>
        <v/>
      </c>
      <c r="T178" s="651" t="str">
        <f>IF(OR(Q178="",T$122=""),"",'I. Stream &amp; Compound Data'!AF233/$J178*(1-T$127)*(1-T$123)*$K178)</f>
        <v/>
      </c>
      <c r="U178" s="651" t="str">
        <f>IF(OR(R178="",U$122=""),"",'I. Stream &amp; Compound Data'!AI233/$J178*(1-U$127)*(1-U$123)*$K178)</f>
        <v/>
      </c>
      <c r="V178" s="651" t="str">
        <f>IF(OR(V$122="",$I178=""),"",'I. Stream &amp; Compound Data'!AL233/$J178*(1-V$127)*(1-V$123)*$K178)</f>
        <v/>
      </c>
      <c r="W178" s="651" t="str">
        <f>IF(OR(W$122="",$I178=""),"",'I. Stream &amp; Compound Data'!AO233/$J178*(1-W$127)*(1-W$123)*$K178)</f>
        <v/>
      </c>
      <c r="X178" s="651" t="str">
        <f>IF(OR(X$122="",$I178=""),"",'I. Stream &amp; Compound Data'!AR233/$J178*(1-X$127)*(1-X$123)*$K178)</f>
        <v/>
      </c>
      <c r="Y178" s="651" t="str">
        <f>IF(OR(Y$122="",$I178=""),"",'I. Stream &amp; Compound Data'!AU233/$J178*(1-Y$127)*(1-Y$123)*$K178)</f>
        <v/>
      </c>
      <c r="Z178" s="651" t="str">
        <f>IF(OR(Z$122="",$I178=""),"",'I. Stream &amp; Compound Data'!AX233/$J178*(1-Z$127)*(1-Z$123)*$K178)</f>
        <v/>
      </c>
      <c r="AA178" s="651" t="str">
        <f>IF(OR(AA$122="",$I178=""),"",'I. Stream &amp; Compound Data'!BA233/$J178*(1-AA$127)*(1-AA$123)*$K178)</f>
        <v/>
      </c>
      <c r="AB178" s="651" t="str">
        <f>IF(OR(AB$122="",$I178=""),"",'I. Stream &amp; Compound Data'!BD233/$J178*(1-AB$127)*(1-AB$123)*$K178)</f>
        <v/>
      </c>
      <c r="AC178" s="651" t="str">
        <f>IF(OR(AC$122="",$I178=""),"",'I. Stream &amp; Compound Data'!BG233/$J178*(1-AC$127)*(1-AC$123)*$K178)</f>
        <v/>
      </c>
      <c r="AD178" s="651" t="str">
        <f>IF(OR(AD$122="",$I178=""),"",'I. Stream &amp; Compound Data'!BJ233/$J178*(1-AD$127)*(1-AD$123)*$K178)</f>
        <v/>
      </c>
      <c r="AE178" s="651" t="str">
        <f>IF(OR(AE$122="",$I178=""),"",'I. Stream &amp; Compound Data'!BM233/$J178*(1-AE$127)*(1-AE$123)*$K178)</f>
        <v/>
      </c>
      <c r="AF178" s="651" t="str">
        <f>IF(OR(AF$122="",$I178=""),"",'I. Stream &amp; Compound Data'!BP233/$J178*(1-AF$127)*(1-AF$123)*$K178)</f>
        <v/>
      </c>
      <c r="AG178" s="651" t="str">
        <f>IF(OR(AG$122="",$I178=""),"",'I. Stream &amp; Compound Data'!BS233/$J178*(1-AG$127)*(1-AG$123)*$K178)</f>
        <v/>
      </c>
      <c r="AH178" s="651" t="str">
        <f>IF(OR(AH$122="",$I178=""),"",'I. Stream &amp; Compound Data'!BV233/$J178*(1-AH$127)*(1-AH$123)*$K178)</f>
        <v/>
      </c>
      <c r="AI178" s="651" t="str">
        <f>IF(OR(AI$122="",$I178=""),"",'I. Stream &amp; Compound Data'!BY233/$J178*(1-AI$127)*(1-AI$123)*$K178)</f>
        <v/>
      </c>
      <c r="AJ178" s="651" t="str">
        <f>IF(OR(AJ$122="",$I178=""),"",'I. Stream &amp; Compound Data'!CB233/$J178*(1-AJ$127)*(1-AJ$123)*$K178)</f>
        <v/>
      </c>
      <c r="AK178" s="651" t="str">
        <f>IF(OR(AK$122="",$I178=""),"",'I. Stream &amp; Compound Data'!CE233/$J178*(1-AK$127)*(1-AK$123)*$K178)</f>
        <v/>
      </c>
      <c r="AL178" s="651" t="str">
        <f>IF(OR(AL$122="",$I178=""),"",'I. Stream &amp; Compound Data'!CH233/$J178*(1-AL$127)*(1-AL$123)*$K178)</f>
        <v/>
      </c>
      <c r="AM178" s="651" t="str">
        <f>IF(OR(AM$122="",$I178=""),"",'I. Stream &amp; Compound Data'!CK233/$J178*(1-AM$127)*(1-AM$123)*$K178)</f>
        <v/>
      </c>
      <c r="AN178" s="651" t="str">
        <f>IF(OR(AN$122="",$I178=""),"",'I. Stream &amp; Compound Data'!CN233/$J178*(1-AN$127)*(1-AN$123)*$K178)</f>
        <v/>
      </c>
      <c r="AO178" s="651" t="str">
        <f>IF(OR(AO$122="",$I178=""),"",'I. Stream &amp; Compound Data'!CQ233/$J178*(1-AO$127)*(1-AO$123)*$K178)</f>
        <v/>
      </c>
      <c r="AP178" s="651" t="str">
        <f>IF(OR(AP$122="",$I178=""),"",'I. Stream &amp; Compound Data'!CT233/$J178*(1-AP$127)*(1-AP$123)*$K178)</f>
        <v/>
      </c>
      <c r="AQ178" s="651" t="str">
        <f>IF(OR(AQ$122="",$I178=""),"",'I. Stream &amp; Compound Data'!CW233/$J178*(1-AQ$127)*(1-AQ$123)*$K178)</f>
        <v/>
      </c>
      <c r="AR178" s="651" t="str">
        <f>IF(OR(AR$122="",$I178=""),"",'I. Stream &amp; Compound Data'!CZ233/$J178*(1-AR$127)*(1-AR$123)*$K178)</f>
        <v/>
      </c>
      <c r="AS178" s="651" t="str">
        <f>IF(OR(AS$122="",$I178=""),"",'I. Stream &amp; Compound Data'!DC233/$J178*(1-AS$127)*(1-AS$123)*$K178)</f>
        <v/>
      </c>
      <c r="AT178" s="651" t="str">
        <f>IF(OR(AT$122="",$I178=""),"",'I. Stream &amp; Compound Data'!DF233/$J178*(1-AT$127)*(1-AT$123)*$K178)</f>
        <v/>
      </c>
      <c r="AU178" s="651" t="str">
        <f>IF(OR(AU$122="",$I178=""),"",'I. Stream &amp; Compound Data'!DI233/$J178*(1-AU$127)*(1-AU$123)*$K178)</f>
        <v/>
      </c>
      <c r="AV178" s="651" t="str">
        <f>IF(OR(AV$122="",$I178=""),"",'I. Stream &amp; Compound Data'!DL233/$J178*(1-AV$127)*(1-AV$123)*$K178)</f>
        <v/>
      </c>
      <c r="AW178" s="651" t="str">
        <f>IF(OR(AW$122="",$I178=""),"",'I. Stream &amp; Compound Data'!DO233/$J178*(1-AW$127)*(1-AW$123)*$K178)</f>
        <v/>
      </c>
      <c r="AX178" s="651" t="str">
        <f>IF(OR(AX$122="",$I178=""),"",'I. Stream &amp; Compound Data'!DR233/$J178*(1-AX$127)*(1-AX$123)*$K178)</f>
        <v/>
      </c>
      <c r="AY178" s="667" t="str">
        <f>IF(OR(AY$122="",$I178=""),"",'I. Stream &amp; Compound Data'!DU233/$J178*(1-AY$127)*(1-AY$123)*$K178)</f>
        <v/>
      </c>
      <c r="AZ178" s="336"/>
      <c r="BA178" s="632"/>
      <c r="BB178" s="632"/>
      <c r="BC178" s="632"/>
      <c r="BD178" s="632"/>
      <c r="BE178" s="632"/>
      <c r="BF178" s="632"/>
      <c r="BG178" s="632"/>
      <c r="BH178" s="632"/>
      <c r="BI178" s="632"/>
      <c r="BJ178" s="632"/>
      <c r="BK178" s="632"/>
      <c r="BL178" s="632"/>
      <c r="BM178" s="632"/>
      <c r="BN178" s="632"/>
      <c r="BO178" s="632"/>
      <c r="BP178" s="632"/>
      <c r="BQ178" s="632"/>
      <c r="BR178" s="632"/>
      <c r="BS178" s="632"/>
      <c r="BT178" s="632"/>
      <c r="BU178" s="632"/>
      <c r="BV178" s="632"/>
      <c r="BW178" s="632"/>
      <c r="BX178" s="632"/>
      <c r="BY178" s="632"/>
      <c r="BZ178" s="632"/>
      <c r="CA178" s="632"/>
      <c r="CB178" s="632"/>
      <c r="CC178" s="632"/>
      <c r="CD178" s="632"/>
      <c r="CE178" s="632"/>
      <c r="CF178" s="632"/>
      <c r="CG178" s="632"/>
      <c r="CH178" s="632"/>
      <c r="CI178" s="632"/>
      <c r="CJ178" s="632"/>
      <c r="CK178" s="632"/>
      <c r="CL178" s="632"/>
      <c r="CM178" s="632"/>
      <c r="CN178" s="631"/>
    </row>
    <row r="179" spans="2:92" ht="15.75" x14ac:dyDescent="0.2">
      <c r="B179" s="610"/>
      <c r="C179" s="336"/>
      <c r="D179" s="611"/>
      <c r="E179" s="612"/>
      <c r="F179" s="612"/>
      <c r="G179" s="612"/>
      <c r="H179" s="618">
        <f>'I. Stream &amp; Compound Data'!F310</f>
        <v>49</v>
      </c>
      <c r="I179" s="677" t="str">
        <f>IF('I. Stream &amp; Compound Data'!G310&lt;&gt;"",'I. Stream &amp; Compound Data'!G310,"")</f>
        <v/>
      </c>
      <c r="J179" s="676" t="str">
        <f>IF('I. Stream &amp; Compound Data'!BH310="","",'I. Stream &amp; Compound Data'!BH310)</f>
        <v/>
      </c>
      <c r="K179" s="652" t="str">
        <f>IF('I. Stream &amp; Compound Data'!G310="","",IF(OR('I. Stream &amp; Compound Data'!U310=1,'I. Stream &amp; Compound Data'!V310=1,'I. Stream &amp; Compound Data'!AY310&lt;25),0,1))</f>
        <v/>
      </c>
      <c r="L179" s="651" t="str">
        <f>IF(OR(I179="",L$122=""),"",'I. Stream &amp; Compound Data'!H234/$J179*(1-L$127)*(1-L$123)*$K179)</f>
        <v/>
      </c>
      <c r="M179" s="651" t="str">
        <f>IF(OR(J179="",M$122=""),"",'I. Stream &amp; Compound Data'!K234/$J179*(1-M$127)*(1-M$123)*$K179)</f>
        <v/>
      </c>
      <c r="N179" s="651" t="str">
        <f>IF(OR(K179="",N$122=""),"",'I. Stream &amp; Compound Data'!N234/$J179*(1-N$127)*(1-N$123)*$K179)</f>
        <v/>
      </c>
      <c r="O179" s="651" t="str">
        <f>IF(OR(L179="",O$122=""),"",'I. Stream &amp; Compound Data'!Q234/$J179*(1-O$127)*(1-O$123)*$K179)</f>
        <v/>
      </c>
      <c r="P179" s="651" t="str">
        <f>IF(OR(M179="",P$122=""),"",'I. Stream &amp; Compound Data'!T234/$J179*(1-P$127)*(1-P$123)*$K179)</f>
        <v/>
      </c>
      <c r="Q179" s="651" t="str">
        <f>IF(OR(N179="",Q$122=""),"",'I. Stream &amp; Compound Data'!W234/$J179*(1-Q$127)*(1-Q$123)*$K179)</f>
        <v/>
      </c>
      <c r="R179" s="651" t="str">
        <f>IF(OR(O179="",R$122=""),"",'I. Stream &amp; Compound Data'!Z234/$J179*(1-R$127)*(1-R$123)*$K179)</f>
        <v/>
      </c>
      <c r="S179" s="651" t="str">
        <f>IF(OR(P179="",S$122=""),"",'I. Stream &amp; Compound Data'!AC234/$J179*(1-S$127)*(1-S$123)*$K179)</f>
        <v/>
      </c>
      <c r="T179" s="651" t="str">
        <f>IF(OR(Q179="",T$122=""),"",'I. Stream &amp; Compound Data'!AF234/$J179*(1-T$127)*(1-T$123)*$K179)</f>
        <v/>
      </c>
      <c r="U179" s="651" t="str">
        <f>IF(OR(R179="",U$122=""),"",'I. Stream &amp; Compound Data'!AI234/$J179*(1-U$127)*(1-U$123)*$K179)</f>
        <v/>
      </c>
      <c r="V179" s="651" t="str">
        <f>IF(OR(V$122="",$I179=""),"",'I. Stream &amp; Compound Data'!AL234/$J179*(1-V$127)*(1-V$123)*$K179)</f>
        <v/>
      </c>
      <c r="W179" s="651" t="str">
        <f>IF(OR(W$122="",$I179=""),"",'I. Stream &amp; Compound Data'!AO234/$J179*(1-W$127)*(1-W$123)*$K179)</f>
        <v/>
      </c>
      <c r="X179" s="651" t="str">
        <f>IF(OR(X$122="",$I179=""),"",'I. Stream &amp; Compound Data'!AR234/$J179*(1-X$127)*(1-X$123)*$K179)</f>
        <v/>
      </c>
      <c r="Y179" s="651" t="str">
        <f>IF(OR(Y$122="",$I179=""),"",'I. Stream &amp; Compound Data'!AU234/$J179*(1-Y$127)*(1-Y$123)*$K179)</f>
        <v/>
      </c>
      <c r="Z179" s="651" t="str">
        <f>IF(OR(Z$122="",$I179=""),"",'I. Stream &amp; Compound Data'!AX234/$J179*(1-Z$127)*(1-Z$123)*$K179)</f>
        <v/>
      </c>
      <c r="AA179" s="651" t="str">
        <f>IF(OR(AA$122="",$I179=""),"",'I. Stream &amp; Compound Data'!BA234/$J179*(1-AA$127)*(1-AA$123)*$K179)</f>
        <v/>
      </c>
      <c r="AB179" s="651" t="str">
        <f>IF(OR(AB$122="",$I179=""),"",'I. Stream &amp; Compound Data'!BD234/$J179*(1-AB$127)*(1-AB$123)*$K179)</f>
        <v/>
      </c>
      <c r="AC179" s="651" t="str">
        <f>IF(OR(AC$122="",$I179=""),"",'I. Stream &amp; Compound Data'!BG234/$J179*(1-AC$127)*(1-AC$123)*$K179)</f>
        <v/>
      </c>
      <c r="AD179" s="651" t="str">
        <f>IF(OR(AD$122="",$I179=""),"",'I. Stream &amp; Compound Data'!BJ234/$J179*(1-AD$127)*(1-AD$123)*$K179)</f>
        <v/>
      </c>
      <c r="AE179" s="651" t="str">
        <f>IF(OR(AE$122="",$I179=""),"",'I. Stream &amp; Compound Data'!BM234/$J179*(1-AE$127)*(1-AE$123)*$K179)</f>
        <v/>
      </c>
      <c r="AF179" s="651" t="str">
        <f>IF(OR(AF$122="",$I179=""),"",'I. Stream &amp; Compound Data'!BP234/$J179*(1-AF$127)*(1-AF$123)*$K179)</f>
        <v/>
      </c>
      <c r="AG179" s="651" t="str">
        <f>IF(OR(AG$122="",$I179=""),"",'I. Stream &amp; Compound Data'!BS234/$J179*(1-AG$127)*(1-AG$123)*$K179)</f>
        <v/>
      </c>
      <c r="AH179" s="651" t="str">
        <f>IF(OR(AH$122="",$I179=""),"",'I. Stream &amp; Compound Data'!BV234/$J179*(1-AH$127)*(1-AH$123)*$K179)</f>
        <v/>
      </c>
      <c r="AI179" s="651" t="str">
        <f>IF(OR(AI$122="",$I179=""),"",'I. Stream &amp; Compound Data'!BY234/$J179*(1-AI$127)*(1-AI$123)*$K179)</f>
        <v/>
      </c>
      <c r="AJ179" s="651" t="str">
        <f>IF(OR(AJ$122="",$I179=""),"",'I. Stream &amp; Compound Data'!CB234/$J179*(1-AJ$127)*(1-AJ$123)*$K179)</f>
        <v/>
      </c>
      <c r="AK179" s="651" t="str">
        <f>IF(OR(AK$122="",$I179=""),"",'I. Stream &amp; Compound Data'!CE234/$J179*(1-AK$127)*(1-AK$123)*$K179)</f>
        <v/>
      </c>
      <c r="AL179" s="651" t="str">
        <f>IF(OR(AL$122="",$I179=""),"",'I. Stream &amp; Compound Data'!CH234/$J179*(1-AL$127)*(1-AL$123)*$K179)</f>
        <v/>
      </c>
      <c r="AM179" s="651" t="str">
        <f>IF(OR(AM$122="",$I179=""),"",'I. Stream &amp; Compound Data'!CK234/$J179*(1-AM$127)*(1-AM$123)*$K179)</f>
        <v/>
      </c>
      <c r="AN179" s="651" t="str">
        <f>IF(OR(AN$122="",$I179=""),"",'I. Stream &amp; Compound Data'!CN234/$J179*(1-AN$127)*(1-AN$123)*$K179)</f>
        <v/>
      </c>
      <c r="AO179" s="651" t="str">
        <f>IF(OR(AO$122="",$I179=""),"",'I. Stream &amp; Compound Data'!CQ234/$J179*(1-AO$127)*(1-AO$123)*$K179)</f>
        <v/>
      </c>
      <c r="AP179" s="651" t="str">
        <f>IF(OR(AP$122="",$I179=""),"",'I. Stream &amp; Compound Data'!CT234/$J179*(1-AP$127)*(1-AP$123)*$K179)</f>
        <v/>
      </c>
      <c r="AQ179" s="651" t="str">
        <f>IF(OR(AQ$122="",$I179=""),"",'I. Stream &amp; Compound Data'!CW234/$J179*(1-AQ$127)*(1-AQ$123)*$K179)</f>
        <v/>
      </c>
      <c r="AR179" s="651" t="str">
        <f>IF(OR(AR$122="",$I179=""),"",'I. Stream &amp; Compound Data'!CZ234/$J179*(1-AR$127)*(1-AR$123)*$K179)</f>
        <v/>
      </c>
      <c r="AS179" s="651" t="str">
        <f>IF(OR(AS$122="",$I179=""),"",'I. Stream &amp; Compound Data'!DC234/$J179*(1-AS$127)*(1-AS$123)*$K179)</f>
        <v/>
      </c>
      <c r="AT179" s="651" t="str">
        <f>IF(OR(AT$122="",$I179=""),"",'I. Stream &amp; Compound Data'!DF234/$J179*(1-AT$127)*(1-AT$123)*$K179)</f>
        <v/>
      </c>
      <c r="AU179" s="651" t="str">
        <f>IF(OR(AU$122="",$I179=""),"",'I. Stream &amp; Compound Data'!DI234/$J179*(1-AU$127)*(1-AU$123)*$K179)</f>
        <v/>
      </c>
      <c r="AV179" s="651" t="str">
        <f>IF(OR(AV$122="",$I179=""),"",'I. Stream &amp; Compound Data'!DL234/$J179*(1-AV$127)*(1-AV$123)*$K179)</f>
        <v/>
      </c>
      <c r="AW179" s="651" t="str">
        <f>IF(OR(AW$122="",$I179=""),"",'I. Stream &amp; Compound Data'!DO234/$J179*(1-AW$127)*(1-AW$123)*$K179)</f>
        <v/>
      </c>
      <c r="AX179" s="651" t="str">
        <f>IF(OR(AX$122="",$I179=""),"",'I. Stream &amp; Compound Data'!DR234/$J179*(1-AX$127)*(1-AX$123)*$K179)</f>
        <v/>
      </c>
      <c r="AY179" s="667" t="str">
        <f>IF(OR(AY$122="",$I179=""),"",'I. Stream &amp; Compound Data'!DU234/$J179*(1-AY$127)*(1-AY$123)*$K179)</f>
        <v/>
      </c>
      <c r="AZ179" s="336"/>
      <c r="BA179" s="632"/>
      <c r="BB179" s="632"/>
      <c r="BC179" s="632"/>
      <c r="BD179" s="632"/>
      <c r="BE179" s="632"/>
      <c r="BF179" s="632"/>
      <c r="BG179" s="632"/>
      <c r="BH179" s="632"/>
      <c r="BI179" s="632"/>
      <c r="BJ179" s="632"/>
      <c r="BK179" s="632"/>
      <c r="BL179" s="632"/>
      <c r="BM179" s="632"/>
      <c r="BN179" s="632"/>
      <c r="BO179" s="632"/>
      <c r="BP179" s="632"/>
      <c r="BQ179" s="632"/>
      <c r="BR179" s="632"/>
      <c r="BS179" s="632"/>
      <c r="BT179" s="632"/>
      <c r="BU179" s="632"/>
      <c r="BV179" s="632"/>
      <c r="BW179" s="632"/>
      <c r="BX179" s="632"/>
      <c r="BY179" s="632"/>
      <c r="BZ179" s="632"/>
      <c r="CA179" s="632"/>
      <c r="CB179" s="632"/>
      <c r="CC179" s="632"/>
      <c r="CD179" s="632"/>
      <c r="CE179" s="632"/>
      <c r="CF179" s="632"/>
      <c r="CG179" s="632"/>
      <c r="CH179" s="632"/>
      <c r="CI179" s="632"/>
      <c r="CJ179" s="632"/>
      <c r="CK179" s="632"/>
      <c r="CL179" s="632"/>
      <c r="CM179" s="632"/>
      <c r="CN179" s="631"/>
    </row>
    <row r="180" spans="2:92" ht="16.5" thickBot="1" x14ac:dyDescent="0.25">
      <c r="B180" s="610"/>
      <c r="C180" s="336"/>
      <c r="D180" s="611"/>
      <c r="E180" s="612"/>
      <c r="F180" s="612"/>
      <c r="G180" s="612"/>
      <c r="H180" s="618">
        <f>'I. Stream &amp; Compound Data'!F311</f>
        <v>50</v>
      </c>
      <c r="I180" s="675" t="str">
        <f>IF('I. Stream &amp; Compound Data'!G311&lt;&gt;"",'I. Stream &amp; Compound Data'!G311,"")</f>
        <v/>
      </c>
      <c r="J180" s="674" t="str">
        <f>IF('I. Stream &amp; Compound Data'!BH311="","",'I. Stream &amp; Compound Data'!BH311)</f>
        <v/>
      </c>
      <c r="K180" s="645" t="str">
        <f>IF('I. Stream &amp; Compound Data'!G311="","",IF(OR('I. Stream &amp; Compound Data'!U311=1,'I. Stream &amp; Compound Data'!V311=1,'I. Stream &amp; Compound Data'!AY311&lt;25),0,1))</f>
        <v/>
      </c>
      <c r="L180" s="645" t="str">
        <f>IF(OR(I180="",L$122=""),"",'I. Stream &amp; Compound Data'!H235/$J180*(1-L$127)*(1-L$123)*$K180)</f>
        <v/>
      </c>
      <c r="M180" s="645" t="str">
        <f>IF(OR(J180="",M$122=""),"",'I. Stream &amp; Compound Data'!K235/$J180*(1-M$127)*(1-M$123)*$K180)</f>
        <v/>
      </c>
      <c r="N180" s="645" t="str">
        <f>IF(OR(K180="",N$122=""),"",'I. Stream &amp; Compound Data'!N235/$J180*(1-N$127)*(1-N$123)*$K180)</f>
        <v/>
      </c>
      <c r="O180" s="645" t="str">
        <f>IF(OR(L180="",O$122=""),"",'I. Stream &amp; Compound Data'!Q235/$J180*(1-O$127)*(1-O$123)*$K180)</f>
        <v/>
      </c>
      <c r="P180" s="645" t="str">
        <f>IF(OR(M180="",P$122=""),"",'I. Stream &amp; Compound Data'!T235/$J180*(1-P$127)*(1-P$123)*$K180)</f>
        <v/>
      </c>
      <c r="Q180" s="645" t="str">
        <f>IF(OR(N180="",Q$122=""),"",'I. Stream &amp; Compound Data'!W235/$J180*(1-Q$127)*(1-Q$123)*$K180)</f>
        <v/>
      </c>
      <c r="R180" s="645" t="str">
        <f>IF(OR(O180="",R$122=""),"",'I. Stream &amp; Compound Data'!Z235/$J180*(1-R$127)*(1-R$123)*$K180)</f>
        <v/>
      </c>
      <c r="S180" s="645" t="str">
        <f>IF(OR(P180="",S$122=""),"",'I. Stream &amp; Compound Data'!AC235/$J180*(1-S$127)*(1-S$123)*$K180)</f>
        <v/>
      </c>
      <c r="T180" s="645" t="str">
        <f>IF(OR(Q180="",T$122=""),"",'I. Stream &amp; Compound Data'!AF235/$J180*(1-T$127)*(1-T$123)*$K180)</f>
        <v/>
      </c>
      <c r="U180" s="645" t="str">
        <f>IF(OR(R180="",U$122=""),"",'I. Stream &amp; Compound Data'!AI235/$J180*(1-U$127)*(1-U$123)*$K180)</f>
        <v/>
      </c>
      <c r="V180" s="645" t="str">
        <f>IF(OR(V$122="",$I180=""),"",'I. Stream &amp; Compound Data'!AL235/$J180*(1-V$127)*(1-V$123)*$K180)</f>
        <v/>
      </c>
      <c r="W180" s="645" t="str">
        <f>IF(OR(W$122="",$I180=""),"",'I. Stream &amp; Compound Data'!AO235/$J180*(1-W$127)*(1-W$123)*$K180)</f>
        <v/>
      </c>
      <c r="X180" s="645" t="str">
        <f>IF(OR(X$122="",$I180=""),"",'I. Stream &amp; Compound Data'!AR235/$J180*(1-X$127)*(1-X$123)*$K180)</f>
        <v/>
      </c>
      <c r="Y180" s="645" t="str">
        <f>IF(OR(Y$122="",$I180=""),"",'I. Stream &amp; Compound Data'!AU235/$J180*(1-Y$127)*(1-Y$123)*$K180)</f>
        <v/>
      </c>
      <c r="Z180" s="645" t="str">
        <f>IF(OR(Z$122="",$I180=""),"",'I. Stream &amp; Compound Data'!AX235/$J180*(1-Z$127)*(1-Z$123)*$K180)</f>
        <v/>
      </c>
      <c r="AA180" s="645" t="str">
        <f>IF(OR(AA$122="",$I180=""),"",'I. Stream &amp; Compound Data'!BA235/$J180*(1-AA$127)*(1-AA$123)*$K180)</f>
        <v/>
      </c>
      <c r="AB180" s="645" t="str">
        <f>IF(OR(AB$122="",$I180=""),"",'I. Stream &amp; Compound Data'!BD235/$J180*(1-AB$127)*(1-AB$123)*$K180)</f>
        <v/>
      </c>
      <c r="AC180" s="645" t="str">
        <f>IF(OR(AC$122="",$I180=""),"",'I. Stream &amp; Compound Data'!BG235/$J180*(1-AC$127)*(1-AC$123)*$K180)</f>
        <v/>
      </c>
      <c r="AD180" s="645" t="str">
        <f>IF(OR(AD$122="",$I180=""),"",'I. Stream &amp; Compound Data'!BJ235/$J180*(1-AD$127)*(1-AD$123)*$K180)</f>
        <v/>
      </c>
      <c r="AE180" s="645" t="str">
        <f>IF(OR(AE$122="",$I180=""),"",'I. Stream &amp; Compound Data'!BM235/$J180*(1-AE$127)*(1-AE$123)*$K180)</f>
        <v/>
      </c>
      <c r="AF180" s="645" t="str">
        <f>IF(OR(AF$122="",$I180=""),"",'I. Stream &amp; Compound Data'!BP235/$J180*(1-AF$127)*(1-AF$123)*$K180)</f>
        <v/>
      </c>
      <c r="AG180" s="645" t="str">
        <f>IF(OR(AG$122="",$I180=""),"",'I. Stream &amp; Compound Data'!BS235/$J180*(1-AG$127)*(1-AG$123)*$K180)</f>
        <v/>
      </c>
      <c r="AH180" s="645" t="str">
        <f>IF(OR(AH$122="",$I180=""),"",'I. Stream &amp; Compound Data'!BV235/$J180*(1-AH$127)*(1-AH$123)*$K180)</f>
        <v/>
      </c>
      <c r="AI180" s="645" t="str">
        <f>IF(OR(AI$122="",$I180=""),"",'I. Stream &amp; Compound Data'!BY235/$J180*(1-AI$127)*(1-AI$123)*$K180)</f>
        <v/>
      </c>
      <c r="AJ180" s="645" t="str">
        <f>IF(OR(AJ$122="",$I180=""),"",'I. Stream &amp; Compound Data'!CB235/$J180*(1-AJ$127)*(1-AJ$123)*$K180)</f>
        <v/>
      </c>
      <c r="AK180" s="645" t="str">
        <f>IF(OR(AK$122="",$I180=""),"",'I. Stream &amp; Compound Data'!CE235/$J180*(1-AK$127)*(1-AK$123)*$K180)</f>
        <v/>
      </c>
      <c r="AL180" s="645" t="str">
        <f>IF(OR(AL$122="",$I180=""),"",'I. Stream &amp; Compound Data'!CH235/$J180*(1-AL$127)*(1-AL$123)*$K180)</f>
        <v/>
      </c>
      <c r="AM180" s="645" t="str">
        <f>IF(OR(AM$122="",$I180=""),"",'I. Stream &amp; Compound Data'!CK235/$J180*(1-AM$127)*(1-AM$123)*$K180)</f>
        <v/>
      </c>
      <c r="AN180" s="645" t="str">
        <f>IF(OR(AN$122="",$I180=""),"",'I. Stream &amp; Compound Data'!CN235/$J180*(1-AN$127)*(1-AN$123)*$K180)</f>
        <v/>
      </c>
      <c r="AO180" s="645" t="str">
        <f>IF(OR(AO$122="",$I180=""),"",'I. Stream &amp; Compound Data'!CQ235/$J180*(1-AO$127)*(1-AO$123)*$K180)</f>
        <v/>
      </c>
      <c r="AP180" s="645" t="str">
        <f>IF(OR(AP$122="",$I180=""),"",'I. Stream &amp; Compound Data'!CT235/$J180*(1-AP$127)*(1-AP$123)*$K180)</f>
        <v/>
      </c>
      <c r="AQ180" s="645" t="str">
        <f>IF(OR(AQ$122="",$I180=""),"",'I. Stream &amp; Compound Data'!CW235/$J180*(1-AQ$127)*(1-AQ$123)*$K180)</f>
        <v/>
      </c>
      <c r="AR180" s="645" t="str">
        <f>IF(OR(AR$122="",$I180=""),"",'I. Stream &amp; Compound Data'!CZ235/$J180*(1-AR$127)*(1-AR$123)*$K180)</f>
        <v/>
      </c>
      <c r="AS180" s="645" t="str">
        <f>IF(OR(AS$122="",$I180=""),"",'I. Stream &amp; Compound Data'!DC235/$J180*(1-AS$127)*(1-AS$123)*$K180)</f>
        <v/>
      </c>
      <c r="AT180" s="645" t="str">
        <f>IF(OR(AT$122="",$I180=""),"",'I. Stream &amp; Compound Data'!DF235/$J180*(1-AT$127)*(1-AT$123)*$K180)</f>
        <v/>
      </c>
      <c r="AU180" s="645" t="str">
        <f>IF(OR(AU$122="",$I180=""),"",'I. Stream &amp; Compound Data'!DI235/$J180*(1-AU$127)*(1-AU$123)*$K180)</f>
        <v/>
      </c>
      <c r="AV180" s="645" t="str">
        <f>IF(OR(AV$122="",$I180=""),"",'I. Stream &amp; Compound Data'!DL235/$J180*(1-AV$127)*(1-AV$123)*$K180)</f>
        <v/>
      </c>
      <c r="AW180" s="645" t="str">
        <f>IF(OR(AW$122="",$I180=""),"",'I. Stream &amp; Compound Data'!DO235/$J180*(1-AW$127)*(1-AW$123)*$K180)</f>
        <v/>
      </c>
      <c r="AX180" s="645" t="str">
        <f>IF(OR(AX$122="",$I180=""),"",'I. Stream &amp; Compound Data'!DR235/$J180*(1-AX$127)*(1-AX$123)*$K180)</f>
        <v/>
      </c>
      <c r="AY180" s="673" t="str">
        <f>IF(OR(AY$122="",$I180=""),"",'I. Stream &amp; Compound Data'!DU235/$J180*(1-AY$127)*(1-AY$123)*$K180)</f>
        <v/>
      </c>
      <c r="AZ180" s="336"/>
      <c r="BA180" s="632"/>
      <c r="BB180" s="632"/>
      <c r="BC180" s="632"/>
      <c r="BD180" s="632"/>
      <c r="BE180" s="632"/>
      <c r="BF180" s="632"/>
      <c r="BG180" s="632"/>
      <c r="BH180" s="632"/>
      <c r="BI180" s="632"/>
      <c r="BJ180" s="632"/>
      <c r="BK180" s="632"/>
      <c r="BL180" s="632"/>
      <c r="BM180" s="632"/>
      <c r="BN180" s="632"/>
      <c r="BO180" s="632"/>
      <c r="BP180" s="632"/>
      <c r="BQ180" s="632"/>
      <c r="BR180" s="632"/>
      <c r="BS180" s="632"/>
      <c r="BT180" s="632"/>
      <c r="BU180" s="632"/>
      <c r="BV180" s="632"/>
      <c r="BW180" s="632"/>
      <c r="BX180" s="632"/>
      <c r="BY180" s="632"/>
      <c r="BZ180" s="632"/>
      <c r="CA180" s="632"/>
      <c r="CB180" s="632"/>
      <c r="CC180" s="632"/>
      <c r="CD180" s="632"/>
      <c r="CE180" s="632"/>
      <c r="CF180" s="632"/>
      <c r="CG180" s="632"/>
      <c r="CH180" s="632"/>
      <c r="CI180" s="632"/>
      <c r="CJ180" s="632"/>
      <c r="CK180" s="632"/>
      <c r="CL180" s="632"/>
      <c r="CM180" s="632"/>
      <c r="CN180" s="631"/>
    </row>
    <row r="181" spans="2:92" ht="30" x14ac:dyDescent="0.2">
      <c r="B181" s="610"/>
      <c r="C181" s="336"/>
      <c r="D181" s="611"/>
      <c r="E181" s="1006" t="s">
        <v>1341</v>
      </c>
      <c r="F181" s="1007"/>
      <c r="G181" s="672">
        <f>SUM(L181:AY181)</f>
        <v>6.1375770277067795E-2</v>
      </c>
      <c r="H181" s="611"/>
      <c r="I181" s="336"/>
      <c r="J181" s="336"/>
      <c r="K181" s="671" t="s">
        <v>1342</v>
      </c>
      <c r="L181" s="670">
        <f t="shared" ref="L181:AY181" si="16">IF(L$122="","",SUM(L131:L180))</f>
        <v>0</v>
      </c>
      <c r="M181" s="670">
        <f t="shared" si="16"/>
        <v>0</v>
      </c>
      <c r="N181" s="670">
        <f t="shared" si="16"/>
        <v>0</v>
      </c>
      <c r="O181" s="670">
        <f t="shared" si="16"/>
        <v>3.5865874251272815E-3</v>
      </c>
      <c r="P181" s="670">
        <f t="shared" si="16"/>
        <v>1.73090197956055E-2</v>
      </c>
      <c r="Q181" s="670">
        <f t="shared" si="16"/>
        <v>3.7993512321518271E-3</v>
      </c>
      <c r="R181" s="670">
        <f t="shared" si="16"/>
        <v>3.6680811824183181E-2</v>
      </c>
      <c r="S181" s="670">
        <f t="shared" si="16"/>
        <v>0</v>
      </c>
      <c r="T181" s="670" t="str">
        <f t="shared" si="16"/>
        <v/>
      </c>
      <c r="U181" s="670" t="str">
        <f t="shared" si="16"/>
        <v/>
      </c>
      <c r="V181" s="670" t="str">
        <f t="shared" si="16"/>
        <v/>
      </c>
      <c r="W181" s="670" t="str">
        <f t="shared" si="16"/>
        <v/>
      </c>
      <c r="X181" s="670" t="str">
        <f t="shared" si="16"/>
        <v/>
      </c>
      <c r="Y181" s="670" t="str">
        <f t="shared" si="16"/>
        <v/>
      </c>
      <c r="Z181" s="670" t="str">
        <f t="shared" si="16"/>
        <v/>
      </c>
      <c r="AA181" s="670" t="str">
        <f t="shared" si="16"/>
        <v/>
      </c>
      <c r="AB181" s="670" t="str">
        <f t="shared" si="16"/>
        <v/>
      </c>
      <c r="AC181" s="670" t="str">
        <f t="shared" si="16"/>
        <v/>
      </c>
      <c r="AD181" s="670" t="str">
        <f t="shared" si="16"/>
        <v/>
      </c>
      <c r="AE181" s="670" t="str">
        <f t="shared" si="16"/>
        <v/>
      </c>
      <c r="AF181" s="670" t="str">
        <f t="shared" si="16"/>
        <v/>
      </c>
      <c r="AG181" s="670" t="str">
        <f t="shared" si="16"/>
        <v/>
      </c>
      <c r="AH181" s="670" t="str">
        <f t="shared" si="16"/>
        <v/>
      </c>
      <c r="AI181" s="670" t="str">
        <f t="shared" si="16"/>
        <v/>
      </c>
      <c r="AJ181" s="670" t="str">
        <f t="shared" si="16"/>
        <v/>
      </c>
      <c r="AK181" s="670" t="str">
        <f t="shared" si="16"/>
        <v/>
      </c>
      <c r="AL181" s="670" t="str">
        <f t="shared" si="16"/>
        <v/>
      </c>
      <c r="AM181" s="670" t="str">
        <f t="shared" si="16"/>
        <v/>
      </c>
      <c r="AN181" s="670" t="str">
        <f t="shared" si="16"/>
        <v/>
      </c>
      <c r="AO181" s="670" t="str">
        <f t="shared" si="16"/>
        <v/>
      </c>
      <c r="AP181" s="670" t="str">
        <f t="shared" si="16"/>
        <v/>
      </c>
      <c r="AQ181" s="670" t="str">
        <f t="shared" si="16"/>
        <v/>
      </c>
      <c r="AR181" s="670" t="str">
        <f t="shared" si="16"/>
        <v/>
      </c>
      <c r="AS181" s="670" t="str">
        <f t="shared" si="16"/>
        <v/>
      </c>
      <c r="AT181" s="670" t="str">
        <f t="shared" si="16"/>
        <v/>
      </c>
      <c r="AU181" s="670" t="str">
        <f t="shared" si="16"/>
        <v/>
      </c>
      <c r="AV181" s="670" t="str">
        <f t="shared" si="16"/>
        <v/>
      </c>
      <c r="AW181" s="670" t="str">
        <f t="shared" si="16"/>
        <v/>
      </c>
      <c r="AX181" s="670" t="str">
        <f t="shared" si="16"/>
        <v/>
      </c>
      <c r="AY181" s="669" t="str">
        <f t="shared" si="16"/>
        <v/>
      </c>
      <c r="AZ181" s="336"/>
      <c r="BA181" s="632"/>
      <c r="BB181" s="632"/>
      <c r="BC181" s="632"/>
      <c r="BD181" s="632"/>
      <c r="BE181" s="632"/>
      <c r="BF181" s="632"/>
      <c r="BG181" s="632"/>
      <c r="BH181" s="632"/>
      <c r="BI181" s="632"/>
      <c r="BJ181" s="632"/>
      <c r="BK181" s="632"/>
      <c r="BL181" s="632"/>
      <c r="BM181" s="632"/>
      <c r="BN181" s="632"/>
      <c r="BO181" s="632"/>
      <c r="BP181" s="632"/>
      <c r="BQ181" s="632"/>
      <c r="BR181" s="632"/>
      <c r="BS181" s="632"/>
      <c r="BT181" s="632"/>
      <c r="BU181" s="632"/>
      <c r="BV181" s="632"/>
      <c r="BW181" s="632"/>
      <c r="BX181" s="632"/>
      <c r="BY181" s="632"/>
      <c r="BZ181" s="632"/>
      <c r="CA181" s="632"/>
      <c r="CB181" s="632"/>
      <c r="CC181" s="632"/>
      <c r="CD181" s="632"/>
      <c r="CE181" s="632"/>
      <c r="CF181" s="632"/>
      <c r="CG181" s="632"/>
      <c r="CH181" s="632"/>
      <c r="CI181" s="632"/>
      <c r="CJ181" s="632"/>
      <c r="CK181" s="632"/>
      <c r="CL181" s="632"/>
      <c r="CM181" s="632"/>
      <c r="CN181" s="631"/>
    </row>
    <row r="182" spans="2:92" ht="15" x14ac:dyDescent="0.2">
      <c r="B182" s="610"/>
      <c r="C182" s="336"/>
      <c r="D182" s="611"/>
      <c r="E182" s="1000" t="s">
        <v>1343</v>
      </c>
      <c r="F182" s="1001"/>
      <c r="G182" s="659">
        <f>SUMIF(L128:AY128,"=1",L181:AY181)</f>
        <v>0</v>
      </c>
      <c r="H182" s="611"/>
      <c r="I182" s="668"/>
      <c r="J182" s="336"/>
      <c r="K182" s="666" t="s">
        <v>1344</v>
      </c>
      <c r="L182" s="651">
        <f t="shared" ref="L182:AY182" si="17">IF(L$122="","",SUMPRODUCT($J131:$J180,L131:L180))</f>
        <v>0</v>
      </c>
      <c r="M182" s="651">
        <f t="shared" si="17"/>
        <v>0</v>
      </c>
      <c r="N182" s="651">
        <f t="shared" si="17"/>
        <v>0</v>
      </c>
      <c r="O182" s="651">
        <f t="shared" si="17"/>
        <v>6.3925999999999998</v>
      </c>
      <c r="P182" s="651">
        <f t="shared" si="17"/>
        <v>15.467399999999998</v>
      </c>
      <c r="Q182" s="651">
        <f t="shared" si="17"/>
        <v>7.0537999999999998</v>
      </c>
      <c r="R182" s="651">
        <f t="shared" si="17"/>
        <v>30.591600000000003</v>
      </c>
      <c r="S182" s="651">
        <f t="shared" si="17"/>
        <v>0</v>
      </c>
      <c r="T182" s="651" t="str">
        <f t="shared" si="17"/>
        <v/>
      </c>
      <c r="U182" s="651" t="str">
        <f t="shared" si="17"/>
        <v/>
      </c>
      <c r="V182" s="651" t="str">
        <f t="shared" si="17"/>
        <v/>
      </c>
      <c r="W182" s="651" t="str">
        <f t="shared" si="17"/>
        <v/>
      </c>
      <c r="X182" s="651" t="str">
        <f t="shared" si="17"/>
        <v/>
      </c>
      <c r="Y182" s="651" t="str">
        <f t="shared" si="17"/>
        <v/>
      </c>
      <c r="Z182" s="651" t="str">
        <f t="shared" si="17"/>
        <v/>
      </c>
      <c r="AA182" s="651" t="str">
        <f t="shared" si="17"/>
        <v/>
      </c>
      <c r="AB182" s="651" t="str">
        <f t="shared" si="17"/>
        <v/>
      </c>
      <c r="AC182" s="651" t="str">
        <f t="shared" si="17"/>
        <v/>
      </c>
      <c r="AD182" s="651" t="str">
        <f t="shared" si="17"/>
        <v/>
      </c>
      <c r="AE182" s="651" t="str">
        <f t="shared" si="17"/>
        <v/>
      </c>
      <c r="AF182" s="651" t="str">
        <f t="shared" si="17"/>
        <v/>
      </c>
      <c r="AG182" s="651" t="str">
        <f t="shared" si="17"/>
        <v/>
      </c>
      <c r="AH182" s="651" t="str">
        <f t="shared" si="17"/>
        <v/>
      </c>
      <c r="AI182" s="651" t="str">
        <f t="shared" si="17"/>
        <v/>
      </c>
      <c r="AJ182" s="651" t="str">
        <f t="shared" si="17"/>
        <v/>
      </c>
      <c r="AK182" s="651" t="str">
        <f t="shared" si="17"/>
        <v/>
      </c>
      <c r="AL182" s="651" t="str">
        <f t="shared" si="17"/>
        <v/>
      </c>
      <c r="AM182" s="651" t="str">
        <f t="shared" si="17"/>
        <v/>
      </c>
      <c r="AN182" s="651" t="str">
        <f t="shared" si="17"/>
        <v/>
      </c>
      <c r="AO182" s="651" t="str">
        <f t="shared" si="17"/>
        <v/>
      </c>
      <c r="AP182" s="651" t="str">
        <f t="shared" si="17"/>
        <v/>
      </c>
      <c r="AQ182" s="651" t="str">
        <f t="shared" si="17"/>
        <v/>
      </c>
      <c r="AR182" s="651" t="str">
        <f t="shared" si="17"/>
        <v/>
      </c>
      <c r="AS182" s="651" t="str">
        <f t="shared" si="17"/>
        <v/>
      </c>
      <c r="AT182" s="651" t="str">
        <f t="shared" si="17"/>
        <v/>
      </c>
      <c r="AU182" s="651" t="str">
        <f t="shared" si="17"/>
        <v/>
      </c>
      <c r="AV182" s="651" t="str">
        <f t="shared" si="17"/>
        <v/>
      </c>
      <c r="AW182" s="651" t="str">
        <f t="shared" si="17"/>
        <v/>
      </c>
      <c r="AX182" s="651" t="str">
        <f t="shared" si="17"/>
        <v/>
      </c>
      <c r="AY182" s="667" t="str">
        <f t="shared" si="17"/>
        <v/>
      </c>
      <c r="AZ182" s="336"/>
      <c r="BA182" s="632"/>
      <c r="BB182" s="632"/>
      <c r="BC182" s="632"/>
      <c r="BD182" s="632"/>
      <c r="BE182" s="632"/>
      <c r="BF182" s="632"/>
      <c r="BG182" s="632"/>
      <c r="BH182" s="632"/>
      <c r="BI182" s="632"/>
      <c r="BJ182" s="632"/>
      <c r="BK182" s="632"/>
      <c r="BL182" s="632"/>
      <c r="BM182" s="632"/>
      <c r="BN182" s="632"/>
      <c r="BO182" s="632"/>
      <c r="BP182" s="632"/>
      <c r="BQ182" s="632"/>
      <c r="BR182" s="632"/>
      <c r="BS182" s="632"/>
      <c r="BT182" s="632"/>
      <c r="BU182" s="632"/>
      <c r="BV182" s="632"/>
      <c r="BW182" s="632"/>
      <c r="BX182" s="632"/>
      <c r="BY182" s="632"/>
      <c r="BZ182" s="632"/>
      <c r="CA182" s="632"/>
      <c r="CB182" s="632"/>
      <c r="CC182" s="632"/>
      <c r="CD182" s="632"/>
      <c r="CE182" s="632"/>
      <c r="CF182" s="632"/>
      <c r="CG182" s="632"/>
      <c r="CH182" s="632"/>
      <c r="CI182" s="632"/>
      <c r="CJ182" s="632"/>
      <c r="CK182" s="632"/>
      <c r="CL182" s="632"/>
      <c r="CM182" s="632"/>
      <c r="CN182" s="631"/>
    </row>
    <row r="183" spans="2:92" ht="30" x14ac:dyDescent="0.2">
      <c r="B183" s="610"/>
      <c r="C183" s="336"/>
      <c r="D183" s="611"/>
      <c r="E183" s="1000" t="s">
        <v>1345</v>
      </c>
      <c r="F183" s="1001"/>
      <c r="G183" s="622">
        <f>SUMIF(L129:AY129,"=1",L181:AY181)</f>
        <v>3.7993512321518271E-3</v>
      </c>
      <c r="H183" s="611"/>
      <c r="I183" s="637"/>
      <c r="J183" s="336"/>
      <c r="K183" s="666" t="s">
        <v>1346</v>
      </c>
      <c r="L183" s="665">
        <f t="shared" ref="L183:AY183" si="18">IF(L182="","",IF(L129=1,L182,0))</f>
        <v>0</v>
      </c>
      <c r="M183" s="665">
        <f t="shared" si="18"/>
        <v>0</v>
      </c>
      <c r="N183" s="665">
        <f t="shared" si="18"/>
        <v>0</v>
      </c>
      <c r="O183" s="665">
        <f t="shared" si="18"/>
        <v>0</v>
      </c>
      <c r="P183" s="665">
        <f t="shared" si="18"/>
        <v>0</v>
      </c>
      <c r="Q183" s="665">
        <f t="shared" si="18"/>
        <v>7.0537999999999998</v>
      </c>
      <c r="R183" s="665">
        <f t="shared" si="18"/>
        <v>0</v>
      </c>
      <c r="S183" s="665">
        <f t="shared" si="18"/>
        <v>0</v>
      </c>
      <c r="T183" s="665" t="str">
        <f t="shared" si="18"/>
        <v/>
      </c>
      <c r="U183" s="665" t="str">
        <f t="shared" si="18"/>
        <v/>
      </c>
      <c r="V183" s="665" t="str">
        <f t="shared" si="18"/>
        <v/>
      </c>
      <c r="W183" s="665" t="str">
        <f t="shared" si="18"/>
        <v/>
      </c>
      <c r="X183" s="665" t="str">
        <f t="shared" si="18"/>
        <v/>
      </c>
      <c r="Y183" s="665" t="str">
        <f t="shared" si="18"/>
        <v/>
      </c>
      <c r="Z183" s="665" t="str">
        <f t="shared" si="18"/>
        <v/>
      </c>
      <c r="AA183" s="665" t="str">
        <f t="shared" si="18"/>
        <v/>
      </c>
      <c r="AB183" s="665" t="str">
        <f t="shared" si="18"/>
        <v/>
      </c>
      <c r="AC183" s="665" t="str">
        <f t="shared" si="18"/>
        <v/>
      </c>
      <c r="AD183" s="665" t="str">
        <f t="shared" si="18"/>
        <v/>
      </c>
      <c r="AE183" s="665" t="str">
        <f t="shared" si="18"/>
        <v/>
      </c>
      <c r="AF183" s="665" t="str">
        <f t="shared" si="18"/>
        <v/>
      </c>
      <c r="AG183" s="665" t="str">
        <f t="shared" si="18"/>
        <v/>
      </c>
      <c r="AH183" s="665" t="str">
        <f t="shared" si="18"/>
        <v/>
      </c>
      <c r="AI183" s="665" t="str">
        <f t="shared" si="18"/>
        <v/>
      </c>
      <c r="AJ183" s="665" t="str">
        <f t="shared" si="18"/>
        <v/>
      </c>
      <c r="AK183" s="665" t="str">
        <f t="shared" si="18"/>
        <v/>
      </c>
      <c r="AL183" s="665" t="str">
        <f t="shared" si="18"/>
        <v/>
      </c>
      <c r="AM183" s="665" t="str">
        <f t="shared" si="18"/>
        <v/>
      </c>
      <c r="AN183" s="665" t="str">
        <f t="shared" si="18"/>
        <v/>
      </c>
      <c r="AO183" s="665" t="str">
        <f t="shared" si="18"/>
        <v/>
      </c>
      <c r="AP183" s="665" t="str">
        <f t="shared" si="18"/>
        <v/>
      </c>
      <c r="AQ183" s="665" t="str">
        <f t="shared" si="18"/>
        <v/>
      </c>
      <c r="AR183" s="665" t="str">
        <f t="shared" si="18"/>
        <v/>
      </c>
      <c r="AS183" s="665" t="str">
        <f t="shared" si="18"/>
        <v/>
      </c>
      <c r="AT183" s="665" t="str">
        <f t="shared" si="18"/>
        <v/>
      </c>
      <c r="AU183" s="665" t="str">
        <f t="shared" si="18"/>
        <v/>
      </c>
      <c r="AV183" s="665" t="str">
        <f t="shared" si="18"/>
        <v/>
      </c>
      <c r="AW183" s="665" t="str">
        <f t="shared" si="18"/>
        <v/>
      </c>
      <c r="AX183" s="665" t="str">
        <f t="shared" si="18"/>
        <v/>
      </c>
      <c r="AY183" s="664" t="str">
        <f t="shared" si="18"/>
        <v/>
      </c>
      <c r="AZ183" s="336"/>
      <c r="BA183" s="632"/>
      <c r="BB183" s="632"/>
      <c r="BC183" s="632"/>
      <c r="BD183" s="632"/>
      <c r="BE183" s="632"/>
      <c r="BF183" s="632"/>
      <c r="BG183" s="632"/>
      <c r="BH183" s="632"/>
      <c r="BI183" s="632"/>
      <c r="BJ183" s="632"/>
      <c r="BK183" s="632"/>
      <c r="BL183" s="632"/>
      <c r="BM183" s="632"/>
      <c r="BN183" s="632"/>
      <c r="BO183" s="632"/>
      <c r="BP183" s="632"/>
      <c r="BQ183" s="632"/>
      <c r="BR183" s="632"/>
      <c r="BS183" s="632"/>
      <c r="BT183" s="632"/>
      <c r="BU183" s="632"/>
      <c r="BV183" s="632"/>
      <c r="BW183" s="632"/>
      <c r="BX183" s="632"/>
      <c r="BY183" s="632"/>
      <c r="BZ183" s="632"/>
      <c r="CA183" s="632"/>
      <c r="CB183" s="632"/>
      <c r="CC183" s="632"/>
      <c r="CD183" s="632"/>
      <c r="CE183" s="632"/>
      <c r="CF183" s="632"/>
      <c r="CG183" s="632"/>
      <c r="CH183" s="632"/>
      <c r="CI183" s="632"/>
      <c r="CJ183" s="632"/>
      <c r="CK183" s="632"/>
      <c r="CL183" s="632"/>
      <c r="CM183" s="632"/>
      <c r="CN183" s="631"/>
    </row>
    <row r="184" spans="2:92" ht="30.75" thickBot="1" x14ac:dyDescent="0.25">
      <c r="B184" s="610"/>
      <c r="C184" s="336"/>
      <c r="D184" s="611"/>
      <c r="E184" s="1000" t="s">
        <v>1347</v>
      </c>
      <c r="F184" s="1001"/>
      <c r="G184" s="659">
        <f>SUM(L182:AY182)</f>
        <v>59.505400000000002</v>
      </c>
      <c r="H184" s="663"/>
      <c r="I184" s="637"/>
      <c r="J184" s="336"/>
      <c r="K184" s="662" t="s">
        <v>1348</v>
      </c>
      <c r="L184" s="661">
        <f t="shared" ref="L184:AY184" si="19">IF(L122="","",IF(L127=1,L126,0))</f>
        <v>0</v>
      </c>
      <c r="M184" s="661">
        <f t="shared" si="19"/>
        <v>0</v>
      </c>
      <c r="N184" s="661">
        <f t="shared" si="19"/>
        <v>126.813</v>
      </c>
      <c r="O184" s="661">
        <f t="shared" si="19"/>
        <v>0</v>
      </c>
      <c r="P184" s="661">
        <f t="shared" si="19"/>
        <v>0</v>
      </c>
      <c r="Q184" s="661">
        <f t="shared" si="19"/>
        <v>0</v>
      </c>
      <c r="R184" s="661">
        <f t="shared" si="19"/>
        <v>0</v>
      </c>
      <c r="S184" s="661">
        <f t="shared" si="19"/>
        <v>0</v>
      </c>
      <c r="T184" s="661" t="str">
        <f t="shared" si="19"/>
        <v/>
      </c>
      <c r="U184" s="661" t="str">
        <f t="shared" si="19"/>
        <v/>
      </c>
      <c r="V184" s="661" t="str">
        <f t="shared" si="19"/>
        <v/>
      </c>
      <c r="W184" s="661" t="str">
        <f t="shared" si="19"/>
        <v/>
      </c>
      <c r="X184" s="661" t="str">
        <f t="shared" si="19"/>
        <v/>
      </c>
      <c r="Y184" s="661" t="str">
        <f t="shared" si="19"/>
        <v/>
      </c>
      <c r="Z184" s="661" t="str">
        <f t="shared" si="19"/>
        <v/>
      </c>
      <c r="AA184" s="661" t="str">
        <f t="shared" si="19"/>
        <v/>
      </c>
      <c r="AB184" s="661" t="str">
        <f t="shared" si="19"/>
        <v/>
      </c>
      <c r="AC184" s="661" t="str">
        <f t="shared" si="19"/>
        <v/>
      </c>
      <c r="AD184" s="661" t="str">
        <f t="shared" si="19"/>
        <v/>
      </c>
      <c r="AE184" s="661" t="str">
        <f t="shared" si="19"/>
        <v/>
      </c>
      <c r="AF184" s="661" t="str">
        <f t="shared" si="19"/>
        <v/>
      </c>
      <c r="AG184" s="661" t="str">
        <f t="shared" si="19"/>
        <v/>
      </c>
      <c r="AH184" s="661" t="str">
        <f t="shared" si="19"/>
        <v/>
      </c>
      <c r="AI184" s="661" t="str">
        <f t="shared" si="19"/>
        <v/>
      </c>
      <c r="AJ184" s="661" t="str">
        <f t="shared" si="19"/>
        <v/>
      </c>
      <c r="AK184" s="661" t="str">
        <f t="shared" si="19"/>
        <v/>
      </c>
      <c r="AL184" s="661" t="str">
        <f t="shared" si="19"/>
        <v/>
      </c>
      <c r="AM184" s="661" t="str">
        <f t="shared" si="19"/>
        <v/>
      </c>
      <c r="AN184" s="661" t="str">
        <f t="shared" si="19"/>
        <v/>
      </c>
      <c r="AO184" s="661" t="str">
        <f t="shared" si="19"/>
        <v/>
      </c>
      <c r="AP184" s="661" t="str">
        <f t="shared" si="19"/>
        <v/>
      </c>
      <c r="AQ184" s="661" t="str">
        <f t="shared" si="19"/>
        <v/>
      </c>
      <c r="AR184" s="661" t="str">
        <f t="shared" si="19"/>
        <v/>
      </c>
      <c r="AS184" s="661" t="str">
        <f t="shared" si="19"/>
        <v/>
      </c>
      <c r="AT184" s="661" t="str">
        <f t="shared" si="19"/>
        <v/>
      </c>
      <c r="AU184" s="661" t="str">
        <f t="shared" si="19"/>
        <v/>
      </c>
      <c r="AV184" s="661" t="str">
        <f t="shared" si="19"/>
        <v/>
      </c>
      <c r="AW184" s="661" t="str">
        <f t="shared" si="19"/>
        <v/>
      </c>
      <c r="AX184" s="661" t="str">
        <f t="shared" si="19"/>
        <v/>
      </c>
      <c r="AY184" s="660" t="str">
        <f t="shared" si="19"/>
        <v/>
      </c>
      <c r="AZ184" s="336"/>
      <c r="BA184" s="632"/>
      <c r="BB184" s="632"/>
      <c r="BC184" s="632"/>
      <c r="BD184" s="632"/>
      <c r="BE184" s="632"/>
      <c r="BF184" s="632"/>
      <c r="BG184" s="632"/>
      <c r="BH184" s="632"/>
      <c r="BI184" s="632"/>
      <c r="BJ184" s="632"/>
      <c r="BK184" s="632"/>
      <c r="BL184" s="632"/>
      <c r="BM184" s="632"/>
      <c r="BN184" s="632"/>
      <c r="BO184" s="632"/>
      <c r="BP184" s="632"/>
      <c r="BQ184" s="632"/>
      <c r="BR184" s="632"/>
      <c r="BS184" s="632"/>
      <c r="BT184" s="632"/>
      <c r="BU184" s="632"/>
      <c r="BV184" s="632"/>
      <c r="BW184" s="632"/>
      <c r="BX184" s="632"/>
      <c r="BY184" s="632"/>
      <c r="BZ184" s="632"/>
      <c r="CA184" s="632"/>
      <c r="CB184" s="632"/>
      <c r="CC184" s="632"/>
      <c r="CD184" s="632"/>
      <c r="CE184" s="632"/>
      <c r="CF184" s="632"/>
      <c r="CG184" s="632"/>
      <c r="CH184" s="632"/>
      <c r="CI184" s="632"/>
      <c r="CJ184" s="632"/>
      <c r="CK184" s="632"/>
      <c r="CL184" s="632"/>
      <c r="CM184" s="632"/>
      <c r="CN184" s="631"/>
    </row>
    <row r="185" spans="2:92" ht="15.75" x14ac:dyDescent="0.25">
      <c r="B185" s="610"/>
      <c r="C185" s="336"/>
      <c r="D185" s="611"/>
      <c r="E185" s="1000" t="s">
        <v>1346</v>
      </c>
      <c r="F185" s="1001"/>
      <c r="G185" s="659">
        <f>SUM(L183:AY183)</f>
        <v>7.0537999999999998</v>
      </c>
      <c r="H185" s="611"/>
      <c r="I185" s="637"/>
      <c r="J185" s="336"/>
      <c r="K185" s="611"/>
      <c r="L185" s="636"/>
      <c r="M185" s="612"/>
      <c r="N185" s="635"/>
      <c r="O185" s="611"/>
      <c r="P185" s="611"/>
      <c r="Q185" s="336"/>
      <c r="R185" s="628"/>
      <c r="S185" s="634"/>
      <c r="T185" s="634"/>
      <c r="U185" s="633"/>
      <c r="V185" s="336"/>
      <c r="W185" s="336"/>
      <c r="X185" s="336"/>
      <c r="Y185" s="336"/>
      <c r="Z185" s="336"/>
      <c r="AA185" s="336"/>
      <c r="AB185" s="336"/>
      <c r="AC185" s="336"/>
      <c r="AD185" s="336"/>
      <c r="AE185" s="336"/>
      <c r="AF185" s="336"/>
      <c r="AG185" s="336"/>
      <c r="AH185" s="336"/>
      <c r="AI185" s="336"/>
      <c r="AJ185" s="336"/>
      <c r="AK185" s="336"/>
      <c r="AL185" s="336"/>
      <c r="AM185" s="336"/>
      <c r="AN185" s="336"/>
      <c r="AO185" s="336"/>
      <c r="AP185" s="336"/>
      <c r="AQ185" s="336"/>
      <c r="AR185" s="336"/>
      <c r="AS185" s="336"/>
      <c r="AT185" s="336"/>
      <c r="AU185" s="336"/>
      <c r="AV185" s="336"/>
      <c r="AW185" s="336"/>
      <c r="AX185" s="336"/>
      <c r="AY185" s="336"/>
      <c r="AZ185" s="336"/>
      <c r="BA185" s="632"/>
      <c r="BB185" s="632"/>
      <c r="BC185" s="632"/>
      <c r="BD185" s="632"/>
      <c r="BE185" s="632"/>
      <c r="BF185" s="632"/>
      <c r="BG185" s="632"/>
      <c r="BH185" s="632"/>
      <c r="BI185" s="632"/>
      <c r="BJ185" s="632"/>
      <c r="BK185" s="632"/>
      <c r="BL185" s="632"/>
      <c r="BM185" s="632"/>
      <c r="BN185" s="632"/>
      <c r="BO185" s="632"/>
      <c r="BP185" s="632"/>
      <c r="BQ185" s="632"/>
      <c r="BR185" s="632"/>
      <c r="BS185" s="632"/>
      <c r="BT185" s="632"/>
      <c r="BU185" s="632"/>
      <c r="BV185" s="632"/>
      <c r="BW185" s="632"/>
      <c r="BX185" s="632"/>
      <c r="BY185" s="632"/>
      <c r="BZ185" s="632"/>
      <c r="CA185" s="632"/>
      <c r="CB185" s="632"/>
      <c r="CC185" s="632"/>
      <c r="CD185" s="632"/>
      <c r="CE185" s="632"/>
      <c r="CF185" s="632"/>
      <c r="CG185" s="632"/>
      <c r="CH185" s="632"/>
      <c r="CI185" s="632"/>
      <c r="CJ185" s="632"/>
      <c r="CK185" s="632"/>
      <c r="CL185" s="632"/>
      <c r="CM185" s="632"/>
      <c r="CN185" s="631"/>
    </row>
    <row r="186" spans="2:92" ht="15.75" x14ac:dyDescent="0.25">
      <c r="B186" s="610"/>
      <c r="C186" s="336"/>
      <c r="D186" s="611"/>
      <c r="E186" s="1008" t="s">
        <v>1352</v>
      </c>
      <c r="F186" s="1009"/>
      <c r="G186" s="622">
        <f>SUM(L242:AY242)</f>
        <v>0.20730841481526219</v>
      </c>
      <c r="H186" s="611"/>
      <c r="I186" s="637"/>
      <c r="J186" s="336"/>
      <c r="K186" s="611"/>
      <c r="L186" s="636"/>
      <c r="M186" s="612"/>
      <c r="N186" s="635"/>
      <c r="O186" s="611"/>
      <c r="P186" s="611"/>
      <c r="Q186" s="336"/>
      <c r="R186" s="628"/>
      <c r="S186" s="634"/>
      <c r="T186" s="634"/>
      <c r="U186" s="633"/>
      <c r="V186" s="336"/>
      <c r="W186" s="336"/>
      <c r="X186" s="336"/>
      <c r="Y186" s="336"/>
      <c r="Z186" s="336"/>
      <c r="AA186" s="336"/>
      <c r="AB186" s="336"/>
      <c r="AC186" s="336"/>
      <c r="AD186" s="336"/>
      <c r="AE186" s="336"/>
      <c r="AF186" s="336"/>
      <c r="AG186" s="336"/>
      <c r="AH186" s="336"/>
      <c r="AI186" s="336"/>
      <c r="AJ186" s="336"/>
      <c r="AK186" s="336"/>
      <c r="AL186" s="336"/>
      <c r="AM186" s="336"/>
      <c r="AN186" s="336"/>
      <c r="AO186" s="336"/>
      <c r="AP186" s="336"/>
      <c r="AQ186" s="336"/>
      <c r="AR186" s="336"/>
      <c r="AS186" s="336"/>
      <c r="AT186" s="336"/>
      <c r="AU186" s="336"/>
      <c r="AV186" s="336"/>
      <c r="AW186" s="336"/>
      <c r="AX186" s="336"/>
      <c r="AY186" s="336"/>
      <c r="AZ186" s="336"/>
      <c r="BA186" s="632"/>
      <c r="BB186" s="632"/>
      <c r="BC186" s="632"/>
      <c r="BD186" s="632"/>
      <c r="BE186" s="632"/>
      <c r="BF186" s="632"/>
      <c r="BG186" s="632"/>
      <c r="BH186" s="632"/>
      <c r="BI186" s="632"/>
      <c r="BJ186" s="632"/>
      <c r="BK186" s="632"/>
      <c r="BL186" s="632"/>
      <c r="BM186" s="632"/>
      <c r="BN186" s="632"/>
      <c r="BO186" s="632"/>
      <c r="BP186" s="632"/>
      <c r="BQ186" s="632"/>
      <c r="BR186" s="632"/>
      <c r="BS186" s="632"/>
      <c r="BT186" s="632"/>
      <c r="BU186" s="632"/>
      <c r="BV186" s="632"/>
      <c r="BW186" s="632"/>
      <c r="BX186" s="632"/>
      <c r="BY186" s="632"/>
      <c r="BZ186" s="632"/>
      <c r="CA186" s="632"/>
      <c r="CB186" s="632"/>
      <c r="CC186" s="632"/>
      <c r="CD186" s="632"/>
      <c r="CE186" s="632"/>
      <c r="CF186" s="632"/>
      <c r="CG186" s="632"/>
      <c r="CH186" s="632"/>
      <c r="CI186" s="632"/>
      <c r="CJ186" s="632"/>
      <c r="CK186" s="632"/>
      <c r="CL186" s="632"/>
      <c r="CM186" s="632"/>
      <c r="CN186" s="631"/>
    </row>
    <row r="187" spans="2:92" ht="16.5" thickBot="1" x14ac:dyDescent="0.3">
      <c r="B187" s="610"/>
      <c r="C187" s="336"/>
      <c r="D187" s="611"/>
      <c r="E187" s="1002" t="s">
        <v>1351</v>
      </c>
      <c r="F187" s="1003"/>
      <c r="G187" s="658">
        <f>SUM(L184:AY184)</f>
        <v>126.813</v>
      </c>
      <c r="H187" s="611"/>
      <c r="I187" s="637"/>
      <c r="J187" s="336"/>
      <c r="K187" s="611"/>
      <c r="L187" s="636"/>
      <c r="M187" s="612"/>
      <c r="N187" s="635"/>
      <c r="O187" s="611"/>
      <c r="P187" s="611"/>
      <c r="Q187" s="336"/>
      <c r="R187" s="628"/>
      <c r="S187" s="634"/>
      <c r="T187" s="634"/>
      <c r="U187" s="633"/>
      <c r="V187" s="336"/>
      <c r="W187" s="336"/>
      <c r="X187" s="336"/>
      <c r="Y187" s="336"/>
      <c r="Z187" s="336"/>
      <c r="AA187" s="336"/>
      <c r="AB187" s="336"/>
      <c r="AC187" s="336"/>
      <c r="AD187" s="336"/>
      <c r="AE187" s="336"/>
      <c r="AF187" s="336"/>
      <c r="AG187" s="336"/>
      <c r="AH187" s="336"/>
      <c r="AI187" s="336"/>
      <c r="AJ187" s="336"/>
      <c r="AK187" s="336"/>
      <c r="AL187" s="336"/>
      <c r="AM187" s="336"/>
      <c r="AN187" s="336"/>
      <c r="AO187" s="336"/>
      <c r="AP187" s="336"/>
      <c r="AQ187" s="336"/>
      <c r="AR187" s="336"/>
      <c r="AS187" s="336"/>
      <c r="AT187" s="336"/>
      <c r="AU187" s="336"/>
      <c r="AV187" s="336"/>
      <c r="AW187" s="336"/>
      <c r="AX187" s="336"/>
      <c r="AY187" s="336"/>
      <c r="AZ187" s="336"/>
      <c r="BA187" s="632"/>
      <c r="BB187" s="632"/>
      <c r="BC187" s="632"/>
      <c r="BD187" s="632"/>
      <c r="BE187" s="632"/>
      <c r="BF187" s="632"/>
      <c r="BG187" s="632"/>
      <c r="BH187" s="632"/>
      <c r="BI187" s="632"/>
      <c r="BJ187" s="632"/>
      <c r="BK187" s="632"/>
      <c r="BL187" s="632"/>
      <c r="BM187" s="632"/>
      <c r="BN187" s="632"/>
      <c r="BO187" s="632"/>
      <c r="BP187" s="632"/>
      <c r="BQ187" s="632"/>
      <c r="BR187" s="632"/>
      <c r="BS187" s="632"/>
      <c r="BT187" s="632"/>
      <c r="BU187" s="632"/>
      <c r="BV187" s="632"/>
      <c r="BW187" s="632"/>
      <c r="BX187" s="632"/>
      <c r="BY187" s="632"/>
      <c r="BZ187" s="632"/>
      <c r="CA187" s="632"/>
      <c r="CB187" s="632"/>
      <c r="CC187" s="632"/>
      <c r="CD187" s="632"/>
      <c r="CE187" s="632"/>
      <c r="CF187" s="632"/>
      <c r="CG187" s="632"/>
      <c r="CH187" s="632"/>
      <c r="CI187" s="632"/>
      <c r="CJ187" s="632"/>
      <c r="CK187" s="632"/>
      <c r="CL187" s="632"/>
      <c r="CM187" s="632"/>
      <c r="CN187" s="631"/>
    </row>
    <row r="188" spans="2:92" ht="15.75" x14ac:dyDescent="0.25">
      <c r="B188" s="610"/>
      <c r="C188" s="336"/>
      <c r="D188" s="611"/>
      <c r="E188" s="611"/>
      <c r="F188" s="611"/>
      <c r="G188" s="611"/>
      <c r="H188" s="611"/>
      <c r="I188" s="637"/>
      <c r="J188" s="336"/>
      <c r="K188" s="611"/>
      <c r="L188" s="636"/>
      <c r="M188" s="612"/>
      <c r="N188" s="635"/>
      <c r="O188" s="611"/>
      <c r="P188" s="611"/>
      <c r="Q188" s="336"/>
      <c r="R188" s="628"/>
      <c r="S188" s="634"/>
      <c r="T188" s="634"/>
      <c r="U188" s="633"/>
      <c r="V188" s="336"/>
      <c r="W188" s="336"/>
      <c r="X188" s="336"/>
      <c r="Y188" s="336"/>
      <c r="Z188" s="336"/>
      <c r="AA188" s="336"/>
      <c r="AB188" s="336"/>
      <c r="AC188" s="336"/>
      <c r="AD188" s="336"/>
      <c r="AE188" s="336"/>
      <c r="AF188" s="336"/>
      <c r="AG188" s="336"/>
      <c r="AH188" s="336"/>
      <c r="AI188" s="336"/>
      <c r="AJ188" s="336"/>
      <c r="AK188" s="336"/>
      <c r="AL188" s="336"/>
      <c r="AM188" s="336"/>
      <c r="AN188" s="336"/>
      <c r="AO188" s="336"/>
      <c r="AP188" s="336"/>
      <c r="AQ188" s="336"/>
      <c r="AR188" s="336"/>
      <c r="AS188" s="336"/>
      <c r="AT188" s="336"/>
      <c r="AU188" s="336"/>
      <c r="AV188" s="336"/>
      <c r="AW188" s="336"/>
      <c r="AX188" s="336"/>
      <c r="AY188" s="336"/>
      <c r="AZ188" s="336"/>
      <c r="BA188" s="632"/>
      <c r="BB188" s="632"/>
      <c r="BC188" s="632"/>
      <c r="BD188" s="632"/>
      <c r="BE188" s="632"/>
      <c r="BF188" s="632"/>
      <c r="BG188" s="632"/>
      <c r="BH188" s="632"/>
      <c r="BI188" s="632"/>
      <c r="BJ188" s="632"/>
      <c r="BK188" s="632"/>
      <c r="BL188" s="632"/>
      <c r="BM188" s="632"/>
      <c r="BN188" s="632"/>
      <c r="BO188" s="632"/>
      <c r="BP188" s="632"/>
      <c r="BQ188" s="632"/>
      <c r="BR188" s="632"/>
      <c r="BS188" s="632"/>
      <c r="BT188" s="632"/>
      <c r="BU188" s="632"/>
      <c r="BV188" s="632"/>
      <c r="BW188" s="632"/>
      <c r="BX188" s="632"/>
      <c r="BY188" s="632"/>
      <c r="BZ188" s="632"/>
      <c r="CA188" s="632"/>
      <c r="CB188" s="632"/>
      <c r="CC188" s="632"/>
      <c r="CD188" s="632"/>
      <c r="CE188" s="632"/>
      <c r="CF188" s="632"/>
      <c r="CG188" s="632"/>
      <c r="CH188" s="632"/>
      <c r="CI188" s="632"/>
      <c r="CJ188" s="632"/>
      <c r="CK188" s="632"/>
      <c r="CL188" s="632"/>
      <c r="CM188" s="632"/>
      <c r="CN188" s="631"/>
    </row>
    <row r="189" spans="2:92" ht="15.75" x14ac:dyDescent="0.25">
      <c r="B189" s="610"/>
      <c r="C189" s="336"/>
      <c r="D189" s="611"/>
      <c r="E189" s="612"/>
      <c r="F189" s="612"/>
      <c r="G189" s="612"/>
      <c r="H189" s="611"/>
      <c r="I189" s="637"/>
      <c r="J189" s="336"/>
      <c r="K189" s="611"/>
      <c r="L189" s="636"/>
      <c r="M189" s="612"/>
      <c r="N189" s="635"/>
      <c r="O189" s="611"/>
      <c r="P189" s="611"/>
      <c r="Q189" s="336"/>
      <c r="R189" s="628"/>
      <c r="S189" s="634"/>
      <c r="T189" s="634"/>
      <c r="U189" s="633"/>
      <c r="V189" s="336"/>
      <c r="W189" s="336"/>
      <c r="X189" s="336"/>
      <c r="Y189" s="336"/>
      <c r="Z189" s="336"/>
      <c r="AA189" s="336"/>
      <c r="AB189" s="336"/>
      <c r="AC189" s="336"/>
      <c r="AD189" s="336"/>
      <c r="AE189" s="336"/>
      <c r="AF189" s="336"/>
      <c r="AG189" s="336"/>
      <c r="AH189" s="336"/>
      <c r="AI189" s="336"/>
      <c r="AJ189" s="336"/>
      <c r="AK189" s="336"/>
      <c r="AL189" s="336"/>
      <c r="AM189" s="336"/>
      <c r="AN189" s="336"/>
      <c r="AO189" s="336"/>
      <c r="AP189" s="336"/>
      <c r="AQ189" s="336"/>
      <c r="AR189" s="336"/>
      <c r="AS189" s="336"/>
      <c r="AT189" s="336"/>
      <c r="AU189" s="336"/>
      <c r="AV189" s="336"/>
      <c r="AW189" s="336"/>
      <c r="AX189" s="336"/>
      <c r="AY189" s="336"/>
      <c r="AZ189" s="336"/>
      <c r="BA189" s="632"/>
      <c r="BB189" s="632"/>
      <c r="BC189" s="632"/>
      <c r="BD189" s="632"/>
      <c r="BE189" s="632"/>
      <c r="BF189" s="632"/>
      <c r="BG189" s="632"/>
      <c r="BH189" s="632"/>
      <c r="BI189" s="632"/>
      <c r="BJ189" s="632"/>
      <c r="BK189" s="632"/>
      <c r="BL189" s="632"/>
      <c r="BM189" s="632"/>
      <c r="BN189" s="632"/>
      <c r="BO189" s="632"/>
      <c r="BP189" s="632"/>
      <c r="BQ189" s="632"/>
      <c r="BR189" s="632"/>
      <c r="BS189" s="632"/>
      <c r="BT189" s="632"/>
      <c r="BU189" s="632"/>
      <c r="BV189" s="632"/>
      <c r="BW189" s="632"/>
      <c r="BX189" s="632"/>
      <c r="BY189" s="632"/>
      <c r="BZ189" s="632"/>
      <c r="CA189" s="632"/>
      <c r="CB189" s="632"/>
      <c r="CC189" s="632"/>
      <c r="CD189" s="632"/>
      <c r="CE189" s="632"/>
      <c r="CF189" s="632"/>
      <c r="CG189" s="632"/>
      <c r="CH189" s="632"/>
      <c r="CI189" s="632"/>
      <c r="CJ189" s="632"/>
      <c r="CK189" s="632"/>
      <c r="CL189" s="632"/>
      <c r="CM189" s="632"/>
      <c r="CN189" s="631"/>
    </row>
    <row r="190" spans="2:92" ht="16.5" thickBot="1" x14ac:dyDescent="0.3">
      <c r="B190" s="610"/>
      <c r="C190" s="336"/>
      <c r="D190" s="611"/>
      <c r="E190" s="612"/>
      <c r="F190" s="612"/>
      <c r="G190" s="612"/>
      <c r="H190" s="611"/>
      <c r="I190" s="637"/>
      <c r="J190" s="336"/>
      <c r="K190" s="611"/>
      <c r="L190" s="636"/>
      <c r="M190" s="612"/>
      <c r="N190" s="635"/>
      <c r="O190" s="611"/>
      <c r="P190" s="611"/>
      <c r="Q190" s="336"/>
      <c r="R190" s="628"/>
      <c r="S190" s="634"/>
      <c r="T190" s="634"/>
      <c r="U190" s="633"/>
      <c r="V190" s="336"/>
      <c r="W190" s="336"/>
      <c r="X190" s="336"/>
      <c r="Y190" s="336"/>
      <c r="Z190" s="336"/>
      <c r="AA190" s="336"/>
      <c r="AB190" s="336"/>
      <c r="AC190" s="336"/>
      <c r="AD190" s="336"/>
      <c r="AE190" s="336"/>
      <c r="AF190" s="336"/>
      <c r="AG190" s="336"/>
      <c r="AH190" s="336"/>
      <c r="AI190" s="336"/>
      <c r="AJ190" s="336"/>
      <c r="AK190" s="336"/>
      <c r="AL190" s="336"/>
      <c r="AM190" s="336"/>
      <c r="AN190" s="336"/>
      <c r="AO190" s="336"/>
      <c r="AP190" s="336"/>
      <c r="AQ190" s="336"/>
      <c r="AR190" s="336"/>
      <c r="AS190" s="336"/>
      <c r="AT190" s="336"/>
      <c r="AU190" s="336"/>
      <c r="AV190" s="336"/>
      <c r="AW190" s="336"/>
      <c r="AX190" s="336"/>
      <c r="AY190" s="336"/>
      <c r="AZ190" s="336"/>
      <c r="BA190" s="632"/>
      <c r="BB190" s="632"/>
      <c r="BC190" s="632"/>
      <c r="BD190" s="632"/>
      <c r="BE190" s="632"/>
      <c r="BF190" s="632"/>
      <c r="BG190" s="632"/>
      <c r="BH190" s="632"/>
      <c r="BI190" s="632"/>
      <c r="BJ190" s="632"/>
      <c r="BK190" s="632"/>
      <c r="BL190" s="632"/>
      <c r="BM190" s="632"/>
      <c r="BN190" s="632"/>
      <c r="BO190" s="632"/>
      <c r="BP190" s="632"/>
      <c r="BQ190" s="632"/>
      <c r="BR190" s="632"/>
      <c r="BS190" s="632"/>
      <c r="BT190" s="632"/>
      <c r="BU190" s="632"/>
      <c r="BV190" s="632"/>
      <c r="BW190" s="632"/>
      <c r="BX190" s="632"/>
      <c r="BY190" s="632"/>
      <c r="BZ190" s="632"/>
      <c r="CA190" s="632"/>
      <c r="CB190" s="632"/>
      <c r="CC190" s="632"/>
      <c r="CD190" s="632"/>
      <c r="CE190" s="632"/>
      <c r="CF190" s="632"/>
      <c r="CG190" s="632"/>
      <c r="CH190" s="632"/>
      <c r="CI190" s="632"/>
      <c r="CJ190" s="632"/>
      <c r="CK190" s="632"/>
      <c r="CL190" s="632"/>
      <c r="CM190" s="632"/>
      <c r="CN190" s="631"/>
    </row>
    <row r="191" spans="2:92" ht="57" x14ac:dyDescent="0.2">
      <c r="B191" s="610"/>
      <c r="C191" s="336"/>
      <c r="D191" s="611"/>
      <c r="E191" s="612"/>
      <c r="F191" s="612"/>
      <c r="G191" s="612"/>
      <c r="H191" s="611"/>
      <c r="I191" s="637"/>
      <c r="J191" s="613" t="s">
        <v>768</v>
      </c>
      <c r="K191" s="657" t="s">
        <v>1349</v>
      </c>
      <c r="L191" s="656" t="s">
        <v>1350</v>
      </c>
      <c r="M191" s="656" t="s">
        <v>1350</v>
      </c>
      <c r="N191" s="656" t="s">
        <v>1350</v>
      </c>
      <c r="O191" s="656" t="s">
        <v>1350</v>
      </c>
      <c r="P191" s="656" t="s">
        <v>1350</v>
      </c>
      <c r="Q191" s="656" t="s">
        <v>1350</v>
      </c>
      <c r="R191" s="656" t="s">
        <v>1350</v>
      </c>
      <c r="S191" s="656" t="s">
        <v>1350</v>
      </c>
      <c r="T191" s="656" t="s">
        <v>1350</v>
      </c>
      <c r="U191" s="655" t="s">
        <v>1350</v>
      </c>
      <c r="V191" s="655" t="s">
        <v>1350</v>
      </c>
      <c r="W191" s="655" t="s">
        <v>1350</v>
      </c>
      <c r="X191" s="655" t="s">
        <v>1350</v>
      </c>
      <c r="Y191" s="655" t="s">
        <v>1350</v>
      </c>
      <c r="Z191" s="655" t="s">
        <v>1350</v>
      </c>
      <c r="AA191" s="655" t="s">
        <v>1350</v>
      </c>
      <c r="AB191" s="655" t="s">
        <v>1350</v>
      </c>
      <c r="AC191" s="655" t="s">
        <v>1350</v>
      </c>
      <c r="AD191" s="655" t="s">
        <v>1350</v>
      </c>
      <c r="AE191" s="655" t="s">
        <v>1350</v>
      </c>
      <c r="AF191" s="655" t="s">
        <v>1350</v>
      </c>
      <c r="AG191" s="655" t="s">
        <v>1350</v>
      </c>
      <c r="AH191" s="655" t="s">
        <v>1350</v>
      </c>
      <c r="AI191" s="655" t="s">
        <v>1350</v>
      </c>
      <c r="AJ191" s="655" t="s">
        <v>1350</v>
      </c>
      <c r="AK191" s="655" t="s">
        <v>1350</v>
      </c>
      <c r="AL191" s="655" t="s">
        <v>1350</v>
      </c>
      <c r="AM191" s="655" t="s">
        <v>1350</v>
      </c>
      <c r="AN191" s="655" t="s">
        <v>1350</v>
      </c>
      <c r="AO191" s="655" t="s">
        <v>1350</v>
      </c>
      <c r="AP191" s="655" t="s">
        <v>1350</v>
      </c>
      <c r="AQ191" s="655" t="s">
        <v>1350</v>
      </c>
      <c r="AR191" s="655" t="s">
        <v>1350</v>
      </c>
      <c r="AS191" s="655" t="s">
        <v>1350</v>
      </c>
      <c r="AT191" s="655" t="s">
        <v>1350</v>
      </c>
      <c r="AU191" s="655" t="s">
        <v>1350</v>
      </c>
      <c r="AV191" s="655" t="s">
        <v>1350</v>
      </c>
      <c r="AW191" s="655" t="s">
        <v>1350</v>
      </c>
      <c r="AX191" s="655" t="s">
        <v>1350</v>
      </c>
      <c r="AY191" s="654" t="s">
        <v>1350</v>
      </c>
      <c r="AZ191" s="336"/>
      <c r="BA191" s="632"/>
      <c r="BB191" s="632"/>
      <c r="BC191" s="632"/>
      <c r="BD191" s="632"/>
      <c r="BE191" s="632"/>
      <c r="BF191" s="632"/>
      <c r="BG191" s="632"/>
      <c r="BH191" s="632"/>
      <c r="BI191" s="632"/>
      <c r="BJ191" s="632"/>
      <c r="BK191" s="632"/>
      <c r="BL191" s="632"/>
      <c r="BM191" s="632"/>
      <c r="BN191" s="632"/>
      <c r="BO191" s="632"/>
      <c r="BP191" s="632"/>
      <c r="BQ191" s="632"/>
      <c r="BR191" s="632"/>
      <c r="BS191" s="632"/>
      <c r="BT191" s="632"/>
      <c r="BU191" s="632"/>
      <c r="BV191" s="632"/>
      <c r="BW191" s="632"/>
      <c r="BX191" s="632"/>
      <c r="BY191" s="632"/>
      <c r="BZ191" s="632"/>
      <c r="CA191" s="632"/>
      <c r="CB191" s="632"/>
      <c r="CC191" s="632"/>
      <c r="CD191" s="632"/>
      <c r="CE191" s="632"/>
      <c r="CF191" s="632"/>
      <c r="CG191" s="632"/>
      <c r="CH191" s="632"/>
      <c r="CI191" s="632"/>
      <c r="CJ191" s="632"/>
      <c r="CK191" s="632"/>
      <c r="CL191" s="632"/>
      <c r="CM191" s="632"/>
      <c r="CN191" s="631"/>
    </row>
    <row r="192" spans="2:92" ht="15.75" x14ac:dyDescent="0.2">
      <c r="B192" s="610"/>
      <c r="C192" s="336"/>
      <c r="D192" s="611"/>
      <c r="E192" s="612"/>
      <c r="F192" s="612"/>
      <c r="G192" s="612"/>
      <c r="H192" s="611"/>
      <c r="I192" s="637"/>
      <c r="J192" s="653">
        <f>'I. Stream &amp; Compound Data'!F262</f>
        <v>1</v>
      </c>
      <c r="K192" s="651">
        <f>IF('I. Stream &amp; Compound Data'!G262="","",IF('I. Stream &amp; Compound Data'!V262=1,0,1))</f>
        <v>1</v>
      </c>
      <c r="L192" s="651">
        <f>IF(OR(L$122="",I131=""),"",'I. Stream &amp; Compound Data'!H186/$J131*(1-L$127)*(1-L$123)*$K192)</f>
        <v>0</v>
      </c>
      <c r="M192" s="651">
        <f>IF(OR(M$122="",I131=""),"",'I. Stream &amp; Compound Data'!K186/$J131*(1-M$127)*(1-M$123)*$K192)</f>
        <v>0</v>
      </c>
      <c r="N192" s="652">
        <f>IF(OR(N$122="",I131=""),"",'I. Stream &amp; Compound Data'!N186/$J131*(1-N$127)*(1-N$123)*$K192)</f>
        <v>0</v>
      </c>
      <c r="O192" s="651">
        <f>IF(OR(O$122="",I131=""),"",'I. Stream &amp; Compound Data'!Q186/$J131*(1-O$127)*(1-O$123)*$K192)</f>
        <v>6.3777983015812334E-4</v>
      </c>
      <c r="P192" s="651">
        <f>IF(OR(P$122="",I131=""),"",'I. Stream &amp; Compound Data'!T186/$J131*(1-P$127)*(1-P$123)*$K192)</f>
        <v>2.4132209789766825E-6</v>
      </c>
      <c r="Q192" s="650">
        <f>IF(OR(Q$122="",I131=""),"",'I. Stream &amp; Compound Data'!W186/$J131*(1-Q$127)*(1-Q$123)*$K192)</f>
        <v>0</v>
      </c>
      <c r="R192" s="649">
        <f>IF(OR(R$122="",I131=""),"",'I. Stream &amp; Compound Data'!Z186/$J131*(1-R$127)*(1-R$123)*$K192)</f>
        <v>4.4430845681502126E-3</v>
      </c>
      <c r="S192" s="649">
        <f>IF(OR(S$122="",I131=""),"",'I. Stream &amp; Compound Data'!AC186/$J131*(1-S$127)*(1-S$123)*$K192)</f>
        <v>0</v>
      </c>
      <c r="T192" s="649" t="str">
        <f>IF(OR(T$122="",I131=""),"",'I. Stream &amp; Compound Data'!AF186/$J131*(1-T$127)*(1-T$123)*$K192)</f>
        <v/>
      </c>
      <c r="U192" s="648" t="str">
        <f>IF(OR(U$122="",I131=""),"",'I. Stream &amp; Compound Data'!AI186/$J131*(1-U$127)*(1-U$123)*$K192)</f>
        <v/>
      </c>
      <c r="V192" s="648" t="str">
        <f>IF(OR(V$122="",I131=""),"",'I. Stream &amp; Compound Data'!AL186/$J131*(1-V$127)*(1-V$123)*$K192)</f>
        <v/>
      </c>
      <c r="W192" s="648" t="str">
        <f>IF(OR(W$122="",I131=""),"",'I. Stream &amp; Compound Data'!AO186/$J131*(1-W$127)*(1-W$123)*$K192)</f>
        <v/>
      </c>
      <c r="X192" s="648" t="str">
        <f>IF(OR(X$122="",I131=""),"",'I. Stream &amp; Compound Data'!AR186/$J131*(1-X$127)*(1-X$123)*$K192)</f>
        <v/>
      </c>
      <c r="Y192" s="648" t="str">
        <f>IF(OR(Y$122="",I131=""),"",'I. Stream &amp; Compound Data'!AU186/$J131*(1-Y$127)*(1-Y$123)*$K192)</f>
        <v/>
      </c>
      <c r="Z192" s="648" t="str">
        <f>IF(OR(Z$122="",I131=""),"",'I. Stream &amp; Compound Data'!AX186/$J131*(1-Z$127)*(1-Z$123)*$K192)</f>
        <v/>
      </c>
      <c r="AA192" s="648" t="str">
        <f>IF(OR(AA$122="",I131=""),"",'I. Stream &amp; Compound Data'!BA186/$J131*(1-AA$127)*(1-AA$123)*$K192)</f>
        <v/>
      </c>
      <c r="AB192" s="648" t="str">
        <f>IF(OR(AB$122="",I131=""),"",'I. Stream &amp; Compound Data'!BD186/$J131*(1-AB$127)*(1-AB$123)*$K192)</f>
        <v/>
      </c>
      <c r="AC192" s="648" t="str">
        <f>IF(OR(AC$122="",I131=""),"",'I. Stream &amp; Compound Data'!BG186/$J131*(1-AC$127)*(1-AC$123)*$K192)</f>
        <v/>
      </c>
      <c r="AD192" s="648" t="str">
        <f>IF(OR(AD$122="",I131=""),"",'I. Stream &amp; Compound Data'!BJ186/$J131*(1-AD$127)*(1-AD$123)*$K192)</f>
        <v/>
      </c>
      <c r="AE192" s="648" t="str">
        <f>IF(OR(AE$122="",I131=""),"",'I. Stream &amp; Compound Data'!BM186/$J131*(1-AE$127)*(1-AE$123)*$K192)</f>
        <v/>
      </c>
      <c r="AF192" s="648" t="str">
        <f>IF(OR(AF$122="",I131=""),"",'I. Stream &amp; Compound Data'!BP186/$J131*(1-AF$127)*(1-AF$123)*$K192)</f>
        <v/>
      </c>
      <c r="AG192" s="648" t="str">
        <f>IF(OR(AG$122="",I131=""),"",'I. Stream &amp; Compound Data'!BS186/$J131*(1-AG$127)*(1-AG$123)*$K192)</f>
        <v/>
      </c>
      <c r="AH192" s="648" t="str">
        <f>IF(OR(AH$122="",I131=""),"",'I. Stream &amp; Compound Data'!BV186/$J131*(1-AH$127)*(1-AH$123)*$K192)</f>
        <v/>
      </c>
      <c r="AI192" s="648" t="str">
        <f>IF(OR(AI$122="",I131=""),"",'I. Stream &amp; Compound Data'!BY186/$J131*(1-AI$127)*(1-AI$123)*$K192)</f>
        <v/>
      </c>
      <c r="AJ192" s="648" t="str">
        <f>IF(OR(AJ$122="",I131=""),"",'I. Stream &amp; Compound Data'!CB186/$J131*(1-AJ$127)*(1-AJ$123)*$K192)</f>
        <v/>
      </c>
      <c r="AK192" s="648" t="str">
        <f>IF(OR(AK$122="",I131=""),"",'I. Stream &amp; Compound Data'!CE186/$J131*(1-AK$127)*(1-AK$123)*$K192)</f>
        <v/>
      </c>
      <c r="AL192" s="648" t="str">
        <f>IF(OR(AL$122="",I131=""),"",'I. Stream &amp; Compound Data'!CH186/$J131*(1-AL$127)*(1-AL$123)*$K192)</f>
        <v/>
      </c>
      <c r="AM192" s="648" t="str">
        <f>IF(OR(AM$122="",I131=""),"",'I. Stream &amp; Compound Data'!CK186/$J131*(1-AM$127)*(1-AM$123)*$K192)</f>
        <v/>
      </c>
      <c r="AN192" s="648" t="str">
        <f>IF(OR(AN$122="",I131=""),"",'I. Stream &amp; Compound Data'!CN186/$J131*(1-AN$127)*(1-AN$123)*$K192)</f>
        <v/>
      </c>
      <c r="AO192" s="648" t="str">
        <f>IF(OR(AO$122="",I131=""),"",'I. Stream &amp; Compound Data'!CQ186/$J131*(1-AO$127)*(1-AO$123)*$K192)</f>
        <v/>
      </c>
      <c r="AP192" s="648" t="str">
        <f>IF(OR(AP$122="",I131=""),"",'I. Stream &amp; Compound Data'!CT186/$J131*(1-AP$127)*(1-AP$123)*$K192)</f>
        <v/>
      </c>
      <c r="AQ192" s="648" t="str">
        <f>IF(OR(AQ$122="",I131=""),"",'I. Stream &amp; Compound Data'!CW186/$J131*(1-AQ$127)*(1-AQ$123)*$K192)</f>
        <v/>
      </c>
      <c r="AR192" s="648" t="str">
        <f>IF(OR(AR$122="",I131=""),"",'I. Stream &amp; Compound Data'!CZ186/$J131*(1-AR$127)*(1-AR$123)*$K192)</f>
        <v/>
      </c>
      <c r="AS192" s="648" t="str">
        <f>IF(OR(AS$122="",I131=""),"",'I. Stream &amp; Compound Data'!DC186/$J131*(1-AS$127)*(1-AS$123)*$K192)</f>
        <v/>
      </c>
      <c r="AT192" s="648" t="str">
        <f>IF(OR(AT$122="",I131=""),"",'I. Stream &amp; Compound Data'!DF186/$J131*(1-AT$127)*(1-AT$123)*$K192)</f>
        <v/>
      </c>
      <c r="AU192" s="648" t="str">
        <f>IF(OR(AU$122="",I131=""),"",'I. Stream &amp; Compound Data'!DI186/$J131*(1-AU$127)*(1-AU$123)*$K192)</f>
        <v/>
      </c>
      <c r="AV192" s="648" t="str">
        <f>IF(OR(AV$122="",I131=""),"",'I. Stream &amp; Compound Data'!DL186/$J131*(1-AV$127)*(1-AV$123)*$K192)</f>
        <v/>
      </c>
      <c r="AW192" s="648" t="str">
        <f>IF(OR(AW$122="",I131=""),"",'I. Stream &amp; Compound Data'!DO186/$J131*(1-AW$127)*(1-AW$123)*$K192)</f>
        <v/>
      </c>
      <c r="AX192" s="648" t="str">
        <f>IF(OR(AX$122="",I131=""),"",'I. Stream &amp; Compound Data'!DR186/$J131*(1-AX$127)*(1-AX$123)*$K192)</f>
        <v/>
      </c>
      <c r="AY192" s="647" t="str">
        <f>IF(OR(AY$122="",I131=""),"",'I. Stream &amp; Compound Data'!DU186/$J131*(1-AY$127)*(1-AY$123)*$K192)</f>
        <v/>
      </c>
      <c r="AZ192" s="336"/>
      <c r="BA192" s="632"/>
      <c r="BB192" s="632"/>
      <c r="BC192" s="632"/>
      <c r="BD192" s="632"/>
      <c r="BE192" s="632"/>
      <c r="BF192" s="632"/>
      <c r="BG192" s="632"/>
      <c r="BH192" s="632"/>
      <c r="BI192" s="632"/>
      <c r="BJ192" s="632"/>
      <c r="BK192" s="632"/>
      <c r="BL192" s="632"/>
      <c r="BM192" s="632"/>
      <c r="BN192" s="632"/>
      <c r="BO192" s="632"/>
      <c r="BP192" s="632"/>
      <c r="BQ192" s="632"/>
      <c r="BR192" s="632"/>
      <c r="BS192" s="632"/>
      <c r="BT192" s="632"/>
      <c r="BU192" s="632"/>
      <c r="BV192" s="632"/>
      <c r="BW192" s="632"/>
      <c r="BX192" s="632"/>
      <c r="BY192" s="632"/>
      <c r="BZ192" s="632"/>
      <c r="CA192" s="632"/>
      <c r="CB192" s="632"/>
      <c r="CC192" s="632"/>
      <c r="CD192" s="632"/>
      <c r="CE192" s="632"/>
      <c r="CF192" s="632"/>
      <c r="CG192" s="632"/>
      <c r="CH192" s="632"/>
      <c r="CI192" s="632"/>
      <c r="CJ192" s="632"/>
      <c r="CK192" s="632"/>
      <c r="CL192" s="632"/>
      <c r="CM192" s="632"/>
      <c r="CN192" s="631"/>
    </row>
    <row r="193" spans="2:92" ht="15.75" x14ac:dyDescent="0.2">
      <c r="B193" s="610"/>
      <c r="C193" s="336"/>
      <c r="D193" s="611"/>
      <c r="E193" s="612"/>
      <c r="F193" s="612"/>
      <c r="G193" s="612"/>
      <c r="H193" s="611"/>
      <c r="I193" s="637"/>
      <c r="J193" s="653">
        <f>'I. Stream &amp; Compound Data'!F263</f>
        <v>2</v>
      </c>
      <c r="K193" s="651">
        <f>IF('I. Stream &amp; Compound Data'!G263="","",IF('I. Stream &amp; Compound Data'!V263=1,0,1))</f>
        <v>1</v>
      </c>
      <c r="L193" s="651">
        <f>IF(OR(L$122="",I132=""),"",'I. Stream &amp; Compound Data'!H187/$J132*(1-L$127)*(1-L$123)*$K193)</f>
        <v>0</v>
      </c>
      <c r="M193" s="651">
        <f>IF(OR(M$122="",I132=""),"",'I. Stream &amp; Compound Data'!K187/$J132*(1-M$127)*(1-M$123)*$K193)</f>
        <v>0</v>
      </c>
      <c r="N193" s="652">
        <f>IF(OR(N$122="",I132=""),"",'I. Stream &amp; Compound Data'!N187/$J132*(1-N$127)*(1-N$123)*$K193)</f>
        <v>0</v>
      </c>
      <c r="O193" s="651">
        <f>IF(OR(O$122="",I132=""),"",'I. Stream &amp; Compound Data'!Q187/$J132*(1-O$127)*(1-O$123)*$K193)</f>
        <v>0</v>
      </c>
      <c r="P193" s="651">
        <f>IF(OR(P$122="",I132=""),"",'I. Stream &amp; Compound Data'!T187/$J132*(1-P$127)*(1-P$123)*$K193)</f>
        <v>8.1871741059832821E-6</v>
      </c>
      <c r="Q193" s="650">
        <f>IF(OR(Q$122="",I132=""),"",'I. Stream &amp; Compound Data'!W187/$J132*(1-Q$127)*(1-Q$123)*$K193)</f>
        <v>0</v>
      </c>
      <c r="R193" s="649">
        <f>IF(OR(R$122="",I132=""),"",'I. Stream &amp; Compound Data'!Z187/$J132*(1-R$127)*(1-R$123)*$K193)</f>
        <v>8.7435839966811743E-2</v>
      </c>
      <c r="S193" s="649">
        <f>IF(OR(S$122="",I132=""),"",'I. Stream &amp; Compound Data'!AC187/$J132*(1-S$127)*(1-S$123)*$K193)</f>
        <v>0</v>
      </c>
      <c r="T193" s="649" t="str">
        <f>IF(OR(T$122="",I132=""),"",'I. Stream &amp; Compound Data'!AF187/$J132*(1-T$127)*(1-T$123)*$K193)</f>
        <v/>
      </c>
      <c r="U193" s="648" t="str">
        <f>IF(OR(U$122="",I132=""),"",'I. Stream &amp; Compound Data'!AI187/$J132*(1-U$127)*(1-U$123)*$K193)</f>
        <v/>
      </c>
      <c r="V193" s="648" t="str">
        <f>IF(OR(V$122="",I132=""),"",'I. Stream &amp; Compound Data'!AL187/$J132*(1-V$127)*(1-V$123)*$K193)</f>
        <v/>
      </c>
      <c r="W193" s="648" t="str">
        <f>IF(OR(W$122="",I132=""),"",'I. Stream &amp; Compound Data'!AO187/$J132*(1-W$127)*(1-W$123)*$K193)</f>
        <v/>
      </c>
      <c r="X193" s="648" t="str">
        <f>IF(OR(X$122="",I132=""),"",'I. Stream &amp; Compound Data'!AR187/$J132*(1-X$127)*(1-X$123)*$K193)</f>
        <v/>
      </c>
      <c r="Y193" s="648" t="str">
        <f>IF(OR(Y$122="",I132=""),"",'I. Stream &amp; Compound Data'!AU187/$J132*(1-Y$127)*(1-Y$123)*$K193)</f>
        <v/>
      </c>
      <c r="Z193" s="648" t="str">
        <f>IF(OR(Z$122="",I132=""),"",'I. Stream &amp; Compound Data'!AX187/$J132*(1-Z$127)*(1-Z$123)*$K193)</f>
        <v/>
      </c>
      <c r="AA193" s="648" t="str">
        <f>IF(OR(AA$122="",I132=""),"",'I. Stream &amp; Compound Data'!BA187/$J132*(1-AA$127)*(1-AA$123)*$K193)</f>
        <v/>
      </c>
      <c r="AB193" s="648" t="str">
        <f>IF(OR(AB$122="",I132=""),"",'I. Stream &amp; Compound Data'!BD187/$J132*(1-AB$127)*(1-AB$123)*$K193)</f>
        <v/>
      </c>
      <c r="AC193" s="648" t="str">
        <f>IF(OR(AC$122="",I132=""),"",'I. Stream &amp; Compound Data'!BG187/$J132*(1-AC$127)*(1-AC$123)*$K193)</f>
        <v/>
      </c>
      <c r="AD193" s="648" t="str">
        <f>IF(OR(AD$122="",I132=""),"",'I. Stream &amp; Compound Data'!BJ187/$J132*(1-AD$127)*(1-AD$123)*$K193)</f>
        <v/>
      </c>
      <c r="AE193" s="648" t="str">
        <f>IF(OR(AE$122="",I132=""),"",'I. Stream &amp; Compound Data'!BM187/$J132*(1-AE$127)*(1-AE$123)*$K193)</f>
        <v/>
      </c>
      <c r="AF193" s="648" t="str">
        <f>IF(OR(AF$122="",I132=""),"",'I. Stream &amp; Compound Data'!BP187/$J132*(1-AF$127)*(1-AF$123)*$K193)</f>
        <v/>
      </c>
      <c r="AG193" s="648" t="str">
        <f>IF(OR(AG$122="",I132=""),"",'I. Stream &amp; Compound Data'!BS187/$J132*(1-AG$127)*(1-AG$123)*$K193)</f>
        <v/>
      </c>
      <c r="AH193" s="648" t="str">
        <f>IF(OR(AH$122="",I132=""),"",'I. Stream &amp; Compound Data'!BV187/$J132*(1-AH$127)*(1-AH$123)*$K193)</f>
        <v/>
      </c>
      <c r="AI193" s="648" t="str">
        <f>IF(OR(AI$122="",I132=""),"",'I. Stream &amp; Compound Data'!BY187/$J132*(1-AI$127)*(1-AI$123)*$K193)</f>
        <v/>
      </c>
      <c r="AJ193" s="648" t="str">
        <f>IF(OR(AJ$122="",I132=""),"",'I. Stream &amp; Compound Data'!CB187/$J132*(1-AJ$127)*(1-AJ$123)*$K193)</f>
        <v/>
      </c>
      <c r="AK193" s="648" t="str">
        <f>IF(OR(AK$122="",I132=""),"",'I. Stream &amp; Compound Data'!CE187/$J132*(1-AK$127)*(1-AK$123)*$K193)</f>
        <v/>
      </c>
      <c r="AL193" s="648" t="str">
        <f>IF(OR(AL$122="",I132=""),"",'I. Stream &amp; Compound Data'!CH187/$J132*(1-AL$127)*(1-AL$123)*$K193)</f>
        <v/>
      </c>
      <c r="AM193" s="648" t="str">
        <f>IF(OR(AM$122="",I132=""),"",'I. Stream &amp; Compound Data'!CK187/$J132*(1-AM$127)*(1-AM$123)*$K193)</f>
        <v/>
      </c>
      <c r="AN193" s="648" t="str">
        <f>IF(OR(AN$122="",I132=""),"",'I. Stream &amp; Compound Data'!CN187/$J132*(1-AN$127)*(1-AN$123)*$K193)</f>
        <v/>
      </c>
      <c r="AO193" s="648" t="str">
        <f>IF(OR(AO$122="",I132=""),"",'I. Stream &amp; Compound Data'!CQ187/$J132*(1-AO$127)*(1-AO$123)*$K193)</f>
        <v/>
      </c>
      <c r="AP193" s="648" t="str">
        <f>IF(OR(AP$122="",I132=""),"",'I. Stream &amp; Compound Data'!CT187/$J132*(1-AP$127)*(1-AP$123)*$K193)</f>
        <v/>
      </c>
      <c r="AQ193" s="648" t="str">
        <f>IF(OR(AQ$122="",I132=""),"",'I. Stream &amp; Compound Data'!CW187/$J132*(1-AQ$127)*(1-AQ$123)*$K193)</f>
        <v/>
      </c>
      <c r="AR193" s="648" t="str">
        <f>IF(OR(AR$122="",I132=""),"",'I. Stream &amp; Compound Data'!CZ187/$J132*(1-AR$127)*(1-AR$123)*$K193)</f>
        <v/>
      </c>
      <c r="AS193" s="648" t="str">
        <f>IF(OR(AS$122="",I132=""),"",'I. Stream &amp; Compound Data'!DC187/$J132*(1-AS$127)*(1-AS$123)*$K193)</f>
        <v/>
      </c>
      <c r="AT193" s="648" t="str">
        <f>IF(OR(AT$122="",I132=""),"",'I. Stream &amp; Compound Data'!DF187/$J132*(1-AT$127)*(1-AT$123)*$K193)</f>
        <v/>
      </c>
      <c r="AU193" s="648" t="str">
        <f>IF(OR(AU$122="",I132=""),"",'I. Stream &amp; Compound Data'!DI187/$J132*(1-AU$127)*(1-AU$123)*$K193)</f>
        <v/>
      </c>
      <c r="AV193" s="648" t="str">
        <f>IF(OR(AV$122="",I132=""),"",'I. Stream &amp; Compound Data'!DL187/$J132*(1-AV$127)*(1-AV$123)*$K193)</f>
        <v/>
      </c>
      <c r="AW193" s="648" t="str">
        <f>IF(OR(AW$122="",I132=""),"",'I. Stream &amp; Compound Data'!DO187/$J132*(1-AW$127)*(1-AW$123)*$K193)</f>
        <v/>
      </c>
      <c r="AX193" s="648" t="str">
        <f>IF(OR(AX$122="",I132=""),"",'I. Stream &amp; Compound Data'!DR187/$J132*(1-AX$127)*(1-AX$123)*$K193)</f>
        <v/>
      </c>
      <c r="AY193" s="647" t="str">
        <f>IF(OR(AY$122="",I132=""),"",'I. Stream &amp; Compound Data'!DU187/$J132*(1-AY$127)*(1-AY$123)*$K193)</f>
        <v/>
      </c>
      <c r="AZ193" s="336"/>
      <c r="BA193" s="632"/>
      <c r="BB193" s="632"/>
      <c r="BC193" s="632"/>
      <c r="BD193" s="632"/>
      <c r="BE193" s="632"/>
      <c r="BF193" s="632"/>
      <c r="BG193" s="632"/>
      <c r="BH193" s="632"/>
      <c r="BI193" s="632"/>
      <c r="BJ193" s="632"/>
      <c r="BK193" s="632"/>
      <c r="BL193" s="632"/>
      <c r="BM193" s="632"/>
      <c r="BN193" s="632"/>
      <c r="BO193" s="632"/>
      <c r="BP193" s="632"/>
      <c r="BQ193" s="632"/>
      <c r="BR193" s="632"/>
      <c r="BS193" s="632"/>
      <c r="BT193" s="632"/>
      <c r="BU193" s="632"/>
      <c r="BV193" s="632"/>
      <c r="BW193" s="632"/>
      <c r="BX193" s="632"/>
      <c r="BY193" s="632"/>
      <c r="BZ193" s="632"/>
      <c r="CA193" s="632"/>
      <c r="CB193" s="632"/>
      <c r="CC193" s="632"/>
      <c r="CD193" s="632"/>
      <c r="CE193" s="632"/>
      <c r="CF193" s="632"/>
      <c r="CG193" s="632"/>
      <c r="CH193" s="632"/>
      <c r="CI193" s="632"/>
      <c r="CJ193" s="632"/>
      <c r="CK193" s="632"/>
      <c r="CL193" s="632"/>
      <c r="CM193" s="632"/>
      <c r="CN193" s="631"/>
    </row>
    <row r="194" spans="2:92" ht="15.75" x14ac:dyDescent="0.2">
      <c r="B194" s="610"/>
      <c r="C194" s="336"/>
      <c r="D194" s="611"/>
      <c r="E194" s="612"/>
      <c r="F194" s="612"/>
      <c r="G194" s="612"/>
      <c r="H194" s="611"/>
      <c r="I194" s="637"/>
      <c r="J194" s="653">
        <f>'I. Stream &amp; Compound Data'!F264</f>
        <v>3</v>
      </c>
      <c r="K194" s="651">
        <f>IF('I. Stream &amp; Compound Data'!G264="","",IF('I. Stream &amp; Compound Data'!V264=1,0,1))</f>
        <v>1</v>
      </c>
      <c r="L194" s="651">
        <f>IF(OR(L$122="",I133=""),"",'I. Stream &amp; Compound Data'!H188/$J133*(1-L$127)*(1-L$123)*$K194)</f>
        <v>0</v>
      </c>
      <c r="M194" s="651">
        <f>IF(OR(M$122="",I133=""),"",'I. Stream &amp; Compound Data'!K188/$J133*(1-M$127)*(1-M$123)*$K194)</f>
        <v>0</v>
      </c>
      <c r="N194" s="652">
        <f>IF(OR(N$122="",I133=""),"",'I. Stream &amp; Compound Data'!N188/$J133*(1-N$127)*(1-N$123)*$K194)</f>
        <v>0</v>
      </c>
      <c r="O194" s="651">
        <f>IF(OR(O$122="",I133=""),"",'I. Stream &amp; Compound Data'!Q188/$J133*(1-O$127)*(1-O$123)*$K194)</f>
        <v>0</v>
      </c>
      <c r="P194" s="651">
        <f>IF(OR(P$122="",I133=""),"",'I. Stream &amp; Compound Data'!T188/$J133*(1-P$127)*(1-P$123)*$K194)</f>
        <v>8.6313504060290553E-3</v>
      </c>
      <c r="Q194" s="650">
        <f>IF(OR(Q$122="",I133=""),"",'I. Stream &amp; Compound Data'!W188/$J133*(1-Q$127)*(1-Q$123)*$K194)</f>
        <v>0</v>
      </c>
      <c r="R194" s="649">
        <f>IF(OR(R$122="",I133=""),"",'I. Stream &amp; Compound Data'!Z188/$J133*(1-R$127)*(1-R$123)*$K194)</f>
        <v>2.893833916978665E-2</v>
      </c>
      <c r="S194" s="649">
        <f>IF(OR(S$122="",I133=""),"",'I. Stream &amp; Compound Data'!AC188/$J133*(1-S$127)*(1-S$123)*$K194)</f>
        <v>0</v>
      </c>
      <c r="T194" s="649" t="str">
        <f>IF(OR(T$122="",I133=""),"",'I. Stream &amp; Compound Data'!AF188/$J133*(1-T$127)*(1-T$123)*$K194)</f>
        <v/>
      </c>
      <c r="U194" s="648" t="str">
        <f>IF(OR(U$122="",I133=""),"",'I. Stream &amp; Compound Data'!AI188/$J133*(1-U$127)*(1-U$123)*$K194)</f>
        <v/>
      </c>
      <c r="V194" s="648" t="str">
        <f>IF(OR(V$122="",I133=""),"",'I. Stream &amp; Compound Data'!AL188/$J133*(1-V$127)*(1-V$123)*$K194)</f>
        <v/>
      </c>
      <c r="W194" s="648" t="str">
        <f>IF(OR(W$122="",I133=""),"",'I. Stream &amp; Compound Data'!AO188/$J133*(1-W$127)*(1-W$123)*$K194)</f>
        <v/>
      </c>
      <c r="X194" s="648" t="str">
        <f>IF(OR(X$122="",I133=""),"",'I. Stream &amp; Compound Data'!AR188/$J133*(1-X$127)*(1-X$123)*$K194)</f>
        <v/>
      </c>
      <c r="Y194" s="648" t="str">
        <f>IF(OR(Y$122="",I133=""),"",'I. Stream &amp; Compound Data'!AU188/$J133*(1-Y$127)*(1-Y$123)*$K194)</f>
        <v/>
      </c>
      <c r="Z194" s="648" t="str">
        <f>IF(OR(Z$122="",I133=""),"",'I. Stream &amp; Compound Data'!AX188/$J133*(1-Z$127)*(1-Z$123)*$K194)</f>
        <v/>
      </c>
      <c r="AA194" s="648" t="str">
        <f>IF(OR(AA$122="",I133=""),"",'I. Stream &amp; Compound Data'!BA188/$J133*(1-AA$127)*(1-AA$123)*$K194)</f>
        <v/>
      </c>
      <c r="AB194" s="648" t="str">
        <f>IF(OR(AB$122="",I133=""),"",'I. Stream &amp; Compound Data'!BD188/$J133*(1-AB$127)*(1-AB$123)*$K194)</f>
        <v/>
      </c>
      <c r="AC194" s="648" t="str">
        <f>IF(OR(AC$122="",I133=""),"",'I. Stream &amp; Compound Data'!BG188/$J133*(1-AC$127)*(1-AC$123)*$K194)</f>
        <v/>
      </c>
      <c r="AD194" s="648" t="str">
        <f>IF(OR(AD$122="",I133=""),"",'I. Stream &amp; Compound Data'!BJ188/$J133*(1-AD$127)*(1-AD$123)*$K194)</f>
        <v/>
      </c>
      <c r="AE194" s="648" t="str">
        <f>IF(OR(AE$122="",I133=""),"",'I. Stream &amp; Compound Data'!BM188/$J133*(1-AE$127)*(1-AE$123)*$K194)</f>
        <v/>
      </c>
      <c r="AF194" s="648" t="str">
        <f>IF(OR(AF$122="",I133=""),"",'I. Stream &amp; Compound Data'!BP188/$J133*(1-AF$127)*(1-AF$123)*$K194)</f>
        <v/>
      </c>
      <c r="AG194" s="648" t="str">
        <f>IF(OR(AG$122="",I133=""),"",'I. Stream &amp; Compound Data'!BS188/$J133*(1-AG$127)*(1-AG$123)*$K194)</f>
        <v/>
      </c>
      <c r="AH194" s="648" t="str">
        <f>IF(OR(AH$122="",I133=""),"",'I. Stream &amp; Compound Data'!BV188/$J133*(1-AH$127)*(1-AH$123)*$K194)</f>
        <v/>
      </c>
      <c r="AI194" s="648" t="str">
        <f>IF(OR(AI$122="",I133=""),"",'I. Stream &amp; Compound Data'!BY188/$J133*(1-AI$127)*(1-AI$123)*$K194)</f>
        <v/>
      </c>
      <c r="AJ194" s="648" t="str">
        <f>IF(OR(AJ$122="",I133=""),"",'I. Stream &amp; Compound Data'!CB188/$J133*(1-AJ$127)*(1-AJ$123)*$K194)</f>
        <v/>
      </c>
      <c r="AK194" s="648" t="str">
        <f>IF(OR(AK$122="",I133=""),"",'I. Stream &amp; Compound Data'!CE188/$J133*(1-AK$127)*(1-AK$123)*$K194)</f>
        <v/>
      </c>
      <c r="AL194" s="648" t="str">
        <f>IF(OR(AL$122="",I133=""),"",'I. Stream &amp; Compound Data'!CH188/$J133*(1-AL$127)*(1-AL$123)*$K194)</f>
        <v/>
      </c>
      <c r="AM194" s="648" t="str">
        <f>IF(OR(AM$122="",I133=""),"",'I. Stream &amp; Compound Data'!CK188/$J133*(1-AM$127)*(1-AM$123)*$K194)</f>
        <v/>
      </c>
      <c r="AN194" s="648" t="str">
        <f>IF(OR(AN$122="",I133=""),"",'I. Stream &amp; Compound Data'!CN188/$J133*(1-AN$127)*(1-AN$123)*$K194)</f>
        <v/>
      </c>
      <c r="AO194" s="648" t="str">
        <f>IF(OR(AO$122="",I133=""),"",'I. Stream &amp; Compound Data'!CQ188/$J133*(1-AO$127)*(1-AO$123)*$K194)</f>
        <v/>
      </c>
      <c r="AP194" s="648" t="str">
        <f>IF(OR(AP$122="",I133=""),"",'I. Stream &amp; Compound Data'!CT188/$J133*(1-AP$127)*(1-AP$123)*$K194)</f>
        <v/>
      </c>
      <c r="AQ194" s="648" t="str">
        <f>IF(OR(AQ$122="",I133=""),"",'I. Stream &amp; Compound Data'!CW188/$J133*(1-AQ$127)*(1-AQ$123)*$K194)</f>
        <v/>
      </c>
      <c r="AR194" s="648" t="str">
        <f>IF(OR(AR$122="",I133=""),"",'I. Stream &amp; Compound Data'!CZ188/$J133*(1-AR$127)*(1-AR$123)*$K194)</f>
        <v/>
      </c>
      <c r="AS194" s="648" t="str">
        <f>IF(OR(AS$122="",I133=""),"",'I. Stream &amp; Compound Data'!DC188/$J133*(1-AS$127)*(1-AS$123)*$K194)</f>
        <v/>
      </c>
      <c r="AT194" s="648" t="str">
        <f>IF(OR(AT$122="",I133=""),"",'I. Stream &amp; Compound Data'!DF188/$J133*(1-AT$127)*(1-AT$123)*$K194)</f>
        <v/>
      </c>
      <c r="AU194" s="648" t="str">
        <f>IF(OR(AU$122="",I133=""),"",'I. Stream &amp; Compound Data'!DI188/$J133*(1-AU$127)*(1-AU$123)*$K194)</f>
        <v/>
      </c>
      <c r="AV194" s="648" t="str">
        <f>IF(OR(AV$122="",I133=""),"",'I. Stream &amp; Compound Data'!DL188/$J133*(1-AV$127)*(1-AV$123)*$K194)</f>
        <v/>
      </c>
      <c r="AW194" s="648" t="str">
        <f>IF(OR(AW$122="",I133=""),"",'I. Stream &amp; Compound Data'!DO188/$J133*(1-AW$127)*(1-AW$123)*$K194)</f>
        <v/>
      </c>
      <c r="AX194" s="648" t="str">
        <f>IF(OR(AX$122="",I133=""),"",'I. Stream &amp; Compound Data'!DR188/$J133*(1-AX$127)*(1-AX$123)*$K194)</f>
        <v/>
      </c>
      <c r="AY194" s="647" t="str">
        <f>IF(OR(AY$122="",I133=""),"",'I. Stream &amp; Compound Data'!DU188/$J133*(1-AY$127)*(1-AY$123)*$K194)</f>
        <v/>
      </c>
      <c r="AZ194" s="336"/>
      <c r="BA194" s="632"/>
      <c r="BB194" s="632"/>
      <c r="BC194" s="632"/>
      <c r="BD194" s="632"/>
      <c r="BE194" s="632"/>
      <c r="BF194" s="632"/>
      <c r="BG194" s="632"/>
      <c r="BH194" s="632"/>
      <c r="BI194" s="632"/>
      <c r="BJ194" s="632"/>
      <c r="BK194" s="632"/>
      <c r="BL194" s="632"/>
      <c r="BM194" s="632"/>
      <c r="BN194" s="632"/>
      <c r="BO194" s="632"/>
      <c r="BP194" s="632"/>
      <c r="BQ194" s="632"/>
      <c r="BR194" s="632"/>
      <c r="BS194" s="632"/>
      <c r="BT194" s="632"/>
      <c r="BU194" s="632"/>
      <c r="BV194" s="632"/>
      <c r="BW194" s="632"/>
      <c r="BX194" s="632"/>
      <c r="BY194" s="632"/>
      <c r="BZ194" s="632"/>
      <c r="CA194" s="632"/>
      <c r="CB194" s="632"/>
      <c r="CC194" s="632"/>
      <c r="CD194" s="632"/>
      <c r="CE194" s="632"/>
      <c r="CF194" s="632"/>
      <c r="CG194" s="632"/>
      <c r="CH194" s="632"/>
      <c r="CI194" s="632"/>
      <c r="CJ194" s="632"/>
      <c r="CK194" s="632"/>
      <c r="CL194" s="632"/>
      <c r="CM194" s="632"/>
      <c r="CN194" s="631"/>
    </row>
    <row r="195" spans="2:92" ht="15.75" x14ac:dyDescent="0.2">
      <c r="B195" s="610"/>
      <c r="C195" s="336"/>
      <c r="D195" s="611"/>
      <c r="E195" s="612"/>
      <c r="F195" s="612"/>
      <c r="G195" s="612"/>
      <c r="H195" s="611"/>
      <c r="I195" s="637"/>
      <c r="J195" s="653">
        <f>'I. Stream &amp; Compound Data'!F265</f>
        <v>4</v>
      </c>
      <c r="K195" s="651">
        <f>IF('I. Stream &amp; Compound Data'!G265="","",IF('I. Stream &amp; Compound Data'!V265=1,0,1))</f>
        <v>1</v>
      </c>
      <c r="L195" s="651">
        <f>IF(OR(L$122="",I134=""),"",'I. Stream &amp; Compound Data'!H189/$J134*(1-L$127)*(1-L$123)*$K195)</f>
        <v>0</v>
      </c>
      <c r="M195" s="651">
        <f>IF(OR(M$122="",I134=""),"",'I. Stream &amp; Compound Data'!K189/$J134*(1-M$127)*(1-M$123)*$K195)</f>
        <v>0</v>
      </c>
      <c r="N195" s="652">
        <f>IF(OR(N$122="",I134=""),"",'I. Stream &amp; Compound Data'!N189/$J134*(1-N$127)*(1-N$123)*$K195)</f>
        <v>0</v>
      </c>
      <c r="O195" s="651">
        <f>IF(OR(O$122="",I134=""),"",'I. Stream &amp; Compound Data'!Q189/$J134*(1-O$127)*(1-O$123)*$K195)</f>
        <v>0</v>
      </c>
      <c r="P195" s="651">
        <f>IF(OR(P$122="",I134=""),"",'I. Stream &amp; Compound Data'!T189/$J134*(1-P$127)*(1-P$123)*$K195)</f>
        <v>0</v>
      </c>
      <c r="Q195" s="650">
        <f>IF(OR(Q$122="",I134=""),"",'I. Stream &amp; Compound Data'!W189/$J134*(1-Q$127)*(1-Q$123)*$K195)</f>
        <v>3.7993512321518271E-3</v>
      </c>
      <c r="R195" s="649">
        <f>IF(OR(R$122="",I134=""),"",'I. Stream &amp; Compound Data'!Z189/$J134*(1-R$127)*(1-R$123)*$K195)</f>
        <v>0</v>
      </c>
      <c r="S195" s="649">
        <f>IF(OR(S$122="",I134=""),"",'I. Stream &amp; Compound Data'!AC189/$J134*(1-S$127)*(1-S$123)*$K195)</f>
        <v>0</v>
      </c>
      <c r="T195" s="649" t="str">
        <f>IF(OR(T$122="",I134=""),"",'I. Stream &amp; Compound Data'!AF189/$J134*(1-T$127)*(1-T$123)*$K195)</f>
        <v/>
      </c>
      <c r="U195" s="648" t="str">
        <f>IF(OR(U$122="",I134=""),"",'I. Stream &amp; Compound Data'!AI189/$J134*(1-U$127)*(1-U$123)*$K195)</f>
        <v/>
      </c>
      <c r="V195" s="648" t="str">
        <f>IF(OR(V$122="",I134=""),"",'I. Stream &amp; Compound Data'!AL189/$J134*(1-V$127)*(1-V$123)*$K195)</f>
        <v/>
      </c>
      <c r="W195" s="648" t="str">
        <f>IF(OR(W$122="",I134=""),"",'I. Stream &amp; Compound Data'!AO189/$J134*(1-W$127)*(1-W$123)*$K195)</f>
        <v/>
      </c>
      <c r="X195" s="648" t="str">
        <f>IF(OR(X$122="",I134=""),"",'I. Stream &amp; Compound Data'!AR189/$J134*(1-X$127)*(1-X$123)*$K195)</f>
        <v/>
      </c>
      <c r="Y195" s="648" t="str">
        <f>IF(OR(Y$122="",I134=""),"",'I. Stream &amp; Compound Data'!AU189/$J134*(1-Y$127)*(1-Y$123)*$K195)</f>
        <v/>
      </c>
      <c r="Z195" s="648" t="str">
        <f>IF(OR(Z$122="",I134=""),"",'I. Stream &amp; Compound Data'!AX189/$J134*(1-Z$127)*(1-Z$123)*$K195)</f>
        <v/>
      </c>
      <c r="AA195" s="648" t="str">
        <f>IF(OR(AA$122="",I134=""),"",'I. Stream &amp; Compound Data'!BA189/$J134*(1-AA$127)*(1-AA$123)*$K195)</f>
        <v/>
      </c>
      <c r="AB195" s="648" t="str">
        <f>IF(OR(AB$122="",I134=""),"",'I. Stream &amp; Compound Data'!BD189/$J134*(1-AB$127)*(1-AB$123)*$K195)</f>
        <v/>
      </c>
      <c r="AC195" s="648" t="str">
        <f>IF(OR(AC$122="",I134=""),"",'I. Stream &amp; Compound Data'!BG189/$J134*(1-AC$127)*(1-AC$123)*$K195)</f>
        <v/>
      </c>
      <c r="AD195" s="648" t="str">
        <f>IF(OR(AD$122="",I134=""),"",'I. Stream &amp; Compound Data'!BJ189/$J134*(1-AD$127)*(1-AD$123)*$K195)</f>
        <v/>
      </c>
      <c r="AE195" s="648" t="str">
        <f>IF(OR(AE$122="",I134=""),"",'I. Stream &amp; Compound Data'!BM189/$J134*(1-AE$127)*(1-AE$123)*$K195)</f>
        <v/>
      </c>
      <c r="AF195" s="648" t="str">
        <f>IF(OR(AF$122="",I134=""),"",'I. Stream &amp; Compound Data'!BP189/$J134*(1-AF$127)*(1-AF$123)*$K195)</f>
        <v/>
      </c>
      <c r="AG195" s="648" t="str">
        <f>IF(OR(AG$122="",I134=""),"",'I. Stream &amp; Compound Data'!BS189/$J134*(1-AG$127)*(1-AG$123)*$K195)</f>
        <v/>
      </c>
      <c r="AH195" s="648" t="str">
        <f>IF(OR(AH$122="",I134=""),"",'I. Stream &amp; Compound Data'!BV189/$J134*(1-AH$127)*(1-AH$123)*$K195)</f>
        <v/>
      </c>
      <c r="AI195" s="648" t="str">
        <f>IF(OR(AI$122="",I134=""),"",'I. Stream &amp; Compound Data'!BY189/$J134*(1-AI$127)*(1-AI$123)*$K195)</f>
        <v/>
      </c>
      <c r="AJ195" s="648" t="str">
        <f>IF(OR(AJ$122="",I134=""),"",'I. Stream &amp; Compound Data'!CB189/$J134*(1-AJ$127)*(1-AJ$123)*$K195)</f>
        <v/>
      </c>
      <c r="AK195" s="648" t="str">
        <f>IF(OR(AK$122="",I134=""),"",'I. Stream &amp; Compound Data'!CE189/$J134*(1-AK$127)*(1-AK$123)*$K195)</f>
        <v/>
      </c>
      <c r="AL195" s="648" t="str">
        <f>IF(OR(AL$122="",I134=""),"",'I. Stream &amp; Compound Data'!CH189/$J134*(1-AL$127)*(1-AL$123)*$K195)</f>
        <v/>
      </c>
      <c r="AM195" s="648" t="str">
        <f>IF(OR(AM$122="",I134=""),"",'I. Stream &amp; Compound Data'!CK189/$J134*(1-AM$127)*(1-AM$123)*$K195)</f>
        <v/>
      </c>
      <c r="AN195" s="648" t="str">
        <f>IF(OR(AN$122="",I134=""),"",'I. Stream &amp; Compound Data'!CN189/$J134*(1-AN$127)*(1-AN$123)*$K195)</f>
        <v/>
      </c>
      <c r="AO195" s="648" t="str">
        <f>IF(OR(AO$122="",I134=""),"",'I. Stream &amp; Compound Data'!CQ189/$J134*(1-AO$127)*(1-AO$123)*$K195)</f>
        <v/>
      </c>
      <c r="AP195" s="648" t="str">
        <f>IF(OR(AP$122="",I134=""),"",'I. Stream &amp; Compound Data'!CT189/$J134*(1-AP$127)*(1-AP$123)*$K195)</f>
        <v/>
      </c>
      <c r="AQ195" s="648" t="str">
        <f>IF(OR(AQ$122="",I134=""),"",'I. Stream &amp; Compound Data'!CW189/$J134*(1-AQ$127)*(1-AQ$123)*$K195)</f>
        <v/>
      </c>
      <c r="AR195" s="648" t="str">
        <f>IF(OR(AR$122="",I134=""),"",'I. Stream &amp; Compound Data'!CZ189/$J134*(1-AR$127)*(1-AR$123)*$K195)</f>
        <v/>
      </c>
      <c r="AS195" s="648" t="str">
        <f>IF(OR(AS$122="",I134=""),"",'I. Stream &amp; Compound Data'!DC189/$J134*(1-AS$127)*(1-AS$123)*$K195)</f>
        <v/>
      </c>
      <c r="AT195" s="648" t="str">
        <f>IF(OR(AT$122="",I134=""),"",'I. Stream &amp; Compound Data'!DF189/$J134*(1-AT$127)*(1-AT$123)*$K195)</f>
        <v/>
      </c>
      <c r="AU195" s="648" t="str">
        <f>IF(OR(AU$122="",I134=""),"",'I. Stream &amp; Compound Data'!DI189/$J134*(1-AU$127)*(1-AU$123)*$K195)</f>
        <v/>
      </c>
      <c r="AV195" s="648" t="str">
        <f>IF(OR(AV$122="",I134=""),"",'I. Stream &amp; Compound Data'!DL189/$J134*(1-AV$127)*(1-AV$123)*$K195)</f>
        <v/>
      </c>
      <c r="AW195" s="648" t="str">
        <f>IF(OR(AW$122="",I134=""),"",'I. Stream &amp; Compound Data'!DO189/$J134*(1-AW$127)*(1-AW$123)*$K195)</f>
        <v/>
      </c>
      <c r="AX195" s="648" t="str">
        <f>IF(OR(AX$122="",I134=""),"",'I. Stream &amp; Compound Data'!DR189/$J134*(1-AX$127)*(1-AX$123)*$K195)</f>
        <v/>
      </c>
      <c r="AY195" s="647" t="str">
        <f>IF(OR(AY$122="",I134=""),"",'I. Stream &amp; Compound Data'!DU189/$J134*(1-AY$127)*(1-AY$123)*$K195)</f>
        <v/>
      </c>
      <c r="AZ195" s="336"/>
      <c r="BA195" s="632"/>
      <c r="BB195" s="632"/>
      <c r="BC195" s="632"/>
      <c r="BD195" s="632"/>
      <c r="BE195" s="632"/>
      <c r="BF195" s="632"/>
      <c r="BG195" s="632"/>
      <c r="BH195" s="632"/>
      <c r="BI195" s="632"/>
      <c r="BJ195" s="632"/>
      <c r="BK195" s="632"/>
      <c r="BL195" s="632"/>
      <c r="BM195" s="632"/>
      <c r="BN195" s="632"/>
      <c r="BO195" s="632"/>
      <c r="BP195" s="632"/>
      <c r="BQ195" s="632"/>
      <c r="BR195" s="632"/>
      <c r="BS195" s="632"/>
      <c r="BT195" s="632"/>
      <c r="BU195" s="632"/>
      <c r="BV195" s="632"/>
      <c r="BW195" s="632"/>
      <c r="BX195" s="632"/>
      <c r="BY195" s="632"/>
      <c r="BZ195" s="632"/>
      <c r="CA195" s="632"/>
      <c r="CB195" s="632"/>
      <c r="CC195" s="632"/>
      <c r="CD195" s="632"/>
      <c r="CE195" s="632"/>
      <c r="CF195" s="632"/>
      <c r="CG195" s="632"/>
      <c r="CH195" s="632"/>
      <c r="CI195" s="632"/>
      <c r="CJ195" s="632"/>
      <c r="CK195" s="632"/>
      <c r="CL195" s="632"/>
      <c r="CM195" s="632"/>
      <c r="CN195" s="631"/>
    </row>
    <row r="196" spans="2:92" ht="15.75" x14ac:dyDescent="0.2">
      <c r="B196" s="610"/>
      <c r="C196" s="336"/>
      <c r="D196" s="611"/>
      <c r="E196" s="612"/>
      <c r="F196" s="612"/>
      <c r="G196" s="612"/>
      <c r="H196" s="611"/>
      <c r="I196" s="637"/>
      <c r="J196" s="653">
        <f>'I. Stream &amp; Compound Data'!F266</f>
        <v>5</v>
      </c>
      <c r="K196" s="651">
        <f>IF('I. Stream &amp; Compound Data'!G266="","",IF('I. Stream &amp; Compound Data'!V266=1,0,1))</f>
        <v>0</v>
      </c>
      <c r="L196" s="651">
        <f>IF(OR(L$122="",I135=""),"",'I. Stream &amp; Compound Data'!H190/$J135*(1-L$127)*(1-L$123)*$K196)</f>
        <v>0</v>
      </c>
      <c r="M196" s="651">
        <f>IF(OR(M$122="",I135=""),"",'I. Stream &amp; Compound Data'!K190/$J135*(1-M$127)*(1-M$123)*$K196)</f>
        <v>0</v>
      </c>
      <c r="N196" s="652">
        <f>IF(OR(N$122="",I135=""),"",'I. Stream &amp; Compound Data'!N190/$J135*(1-N$127)*(1-N$123)*$K196)</f>
        <v>0</v>
      </c>
      <c r="O196" s="651">
        <f>IF(OR(O$122="",I135=""),"",'I. Stream &amp; Compound Data'!Q190/$J135*(1-O$127)*(1-O$123)*$K196)</f>
        <v>0</v>
      </c>
      <c r="P196" s="651">
        <f>IF(OR(P$122="",I135=""),"",'I. Stream &amp; Compound Data'!T190/$J135*(1-P$127)*(1-P$123)*$K196)</f>
        <v>0</v>
      </c>
      <c r="Q196" s="650">
        <f>IF(OR(Q$122="",I135=""),"",'I. Stream &amp; Compound Data'!W190/$J135*(1-Q$127)*(1-Q$123)*$K196)</f>
        <v>0</v>
      </c>
      <c r="R196" s="649">
        <f>IF(OR(R$122="",I135=""),"",'I. Stream &amp; Compound Data'!Z190/$J135*(1-R$127)*(1-R$123)*$K196)</f>
        <v>0</v>
      </c>
      <c r="S196" s="649">
        <f>IF(OR(S$122="",I135=""),"",'I. Stream &amp; Compound Data'!AC190/$J135*(1-S$127)*(1-S$123)*$K196)</f>
        <v>0</v>
      </c>
      <c r="T196" s="649" t="str">
        <f>IF(OR(T$122="",I135=""),"",'I. Stream &amp; Compound Data'!AF190/$J135*(1-T$127)*(1-T$123)*$K196)</f>
        <v/>
      </c>
      <c r="U196" s="648" t="str">
        <f>IF(OR(U$122="",I135=""),"",'I. Stream &amp; Compound Data'!AI190/$J135*(1-U$127)*(1-U$123)*$K196)</f>
        <v/>
      </c>
      <c r="V196" s="648" t="str">
        <f>IF(OR(V$122="",I135=""),"",'I. Stream &amp; Compound Data'!AL190/$J135*(1-V$127)*(1-V$123)*$K196)</f>
        <v/>
      </c>
      <c r="W196" s="648" t="str">
        <f>IF(OR(W$122="",I135=""),"",'I. Stream &amp; Compound Data'!AO190/$J135*(1-W$127)*(1-W$123)*$K196)</f>
        <v/>
      </c>
      <c r="X196" s="648" t="str">
        <f>IF(OR(X$122="",I135=""),"",'I. Stream &amp; Compound Data'!AR190/$J135*(1-X$127)*(1-X$123)*$K196)</f>
        <v/>
      </c>
      <c r="Y196" s="648" t="str">
        <f>IF(OR(Y$122="",I135=""),"",'I. Stream &amp; Compound Data'!AU190/$J135*(1-Y$127)*(1-Y$123)*$K196)</f>
        <v/>
      </c>
      <c r="Z196" s="648" t="str">
        <f>IF(OR(Z$122="",I135=""),"",'I. Stream &amp; Compound Data'!AX190/$J135*(1-Z$127)*(1-Z$123)*$K196)</f>
        <v/>
      </c>
      <c r="AA196" s="648" t="str">
        <f>IF(OR(AA$122="",I135=""),"",'I. Stream &amp; Compound Data'!BA190/$J135*(1-AA$127)*(1-AA$123)*$K196)</f>
        <v/>
      </c>
      <c r="AB196" s="648" t="str">
        <f>IF(OR(AB$122="",I135=""),"",'I. Stream &amp; Compound Data'!BD190/$J135*(1-AB$127)*(1-AB$123)*$K196)</f>
        <v/>
      </c>
      <c r="AC196" s="648" t="str">
        <f>IF(OR(AC$122="",I135=""),"",'I. Stream &amp; Compound Data'!BG190/$J135*(1-AC$127)*(1-AC$123)*$K196)</f>
        <v/>
      </c>
      <c r="AD196" s="648" t="str">
        <f>IF(OR(AD$122="",I135=""),"",'I. Stream &amp; Compound Data'!BJ190/$J135*(1-AD$127)*(1-AD$123)*$K196)</f>
        <v/>
      </c>
      <c r="AE196" s="648" t="str">
        <f>IF(OR(AE$122="",I135=""),"",'I. Stream &amp; Compound Data'!BM190/$J135*(1-AE$127)*(1-AE$123)*$K196)</f>
        <v/>
      </c>
      <c r="AF196" s="648" t="str">
        <f>IF(OR(AF$122="",I135=""),"",'I. Stream &amp; Compound Data'!BP190/$J135*(1-AF$127)*(1-AF$123)*$K196)</f>
        <v/>
      </c>
      <c r="AG196" s="648" t="str">
        <f>IF(OR(AG$122="",I135=""),"",'I. Stream &amp; Compound Data'!BS190/$J135*(1-AG$127)*(1-AG$123)*$K196)</f>
        <v/>
      </c>
      <c r="AH196" s="648" t="str">
        <f>IF(OR(AH$122="",I135=""),"",'I. Stream &amp; Compound Data'!BV190/$J135*(1-AH$127)*(1-AH$123)*$K196)</f>
        <v/>
      </c>
      <c r="AI196" s="648" t="str">
        <f>IF(OR(AI$122="",I135=""),"",'I. Stream &amp; Compound Data'!BY190/$J135*(1-AI$127)*(1-AI$123)*$K196)</f>
        <v/>
      </c>
      <c r="AJ196" s="648" t="str">
        <f>IF(OR(AJ$122="",I135=""),"",'I. Stream &amp; Compound Data'!CB190/$J135*(1-AJ$127)*(1-AJ$123)*$K196)</f>
        <v/>
      </c>
      <c r="AK196" s="648" t="str">
        <f>IF(OR(AK$122="",I135=""),"",'I. Stream &amp; Compound Data'!CE190/$J135*(1-AK$127)*(1-AK$123)*$K196)</f>
        <v/>
      </c>
      <c r="AL196" s="648" t="str">
        <f>IF(OR(AL$122="",I135=""),"",'I. Stream &amp; Compound Data'!CH190/$J135*(1-AL$127)*(1-AL$123)*$K196)</f>
        <v/>
      </c>
      <c r="AM196" s="648" t="str">
        <f>IF(OR(AM$122="",I135=""),"",'I. Stream &amp; Compound Data'!CK190/$J135*(1-AM$127)*(1-AM$123)*$K196)</f>
        <v/>
      </c>
      <c r="AN196" s="648" t="str">
        <f>IF(OR(AN$122="",I135=""),"",'I. Stream &amp; Compound Data'!CN190/$J135*(1-AN$127)*(1-AN$123)*$K196)</f>
        <v/>
      </c>
      <c r="AO196" s="648" t="str">
        <f>IF(OR(AO$122="",I135=""),"",'I. Stream &amp; Compound Data'!CQ190/$J135*(1-AO$127)*(1-AO$123)*$K196)</f>
        <v/>
      </c>
      <c r="AP196" s="648" t="str">
        <f>IF(OR(AP$122="",I135=""),"",'I. Stream &amp; Compound Data'!CT190/$J135*(1-AP$127)*(1-AP$123)*$K196)</f>
        <v/>
      </c>
      <c r="AQ196" s="648" t="str">
        <f>IF(OR(AQ$122="",I135=""),"",'I. Stream &amp; Compound Data'!CW190/$J135*(1-AQ$127)*(1-AQ$123)*$K196)</f>
        <v/>
      </c>
      <c r="AR196" s="648" t="str">
        <f>IF(OR(AR$122="",I135=""),"",'I. Stream &amp; Compound Data'!CZ190/$J135*(1-AR$127)*(1-AR$123)*$K196)</f>
        <v/>
      </c>
      <c r="AS196" s="648" t="str">
        <f>IF(OR(AS$122="",I135=""),"",'I. Stream &amp; Compound Data'!DC190/$J135*(1-AS$127)*(1-AS$123)*$K196)</f>
        <v/>
      </c>
      <c r="AT196" s="648" t="str">
        <f>IF(OR(AT$122="",I135=""),"",'I. Stream &amp; Compound Data'!DF190/$J135*(1-AT$127)*(1-AT$123)*$K196)</f>
        <v/>
      </c>
      <c r="AU196" s="648" t="str">
        <f>IF(OR(AU$122="",I135=""),"",'I. Stream &amp; Compound Data'!DI190/$J135*(1-AU$127)*(1-AU$123)*$K196)</f>
        <v/>
      </c>
      <c r="AV196" s="648" t="str">
        <f>IF(OR(AV$122="",I135=""),"",'I. Stream &amp; Compound Data'!DL190/$J135*(1-AV$127)*(1-AV$123)*$K196)</f>
        <v/>
      </c>
      <c r="AW196" s="648" t="str">
        <f>IF(OR(AW$122="",I135=""),"",'I. Stream &amp; Compound Data'!DO190/$J135*(1-AW$127)*(1-AW$123)*$K196)</f>
        <v/>
      </c>
      <c r="AX196" s="648" t="str">
        <f>IF(OR(AX$122="",I135=""),"",'I. Stream &amp; Compound Data'!DR190/$J135*(1-AX$127)*(1-AX$123)*$K196)</f>
        <v/>
      </c>
      <c r="AY196" s="647" t="str">
        <f>IF(OR(AY$122="",I135=""),"",'I. Stream &amp; Compound Data'!DU190/$J135*(1-AY$127)*(1-AY$123)*$K196)</f>
        <v/>
      </c>
      <c r="AZ196" s="336"/>
      <c r="BA196" s="632"/>
      <c r="BB196" s="632"/>
      <c r="BC196" s="632"/>
      <c r="BD196" s="632"/>
      <c r="BE196" s="632"/>
      <c r="BF196" s="632"/>
      <c r="BG196" s="632"/>
      <c r="BH196" s="632"/>
      <c r="BI196" s="632"/>
      <c r="BJ196" s="632"/>
      <c r="BK196" s="632"/>
      <c r="BL196" s="632"/>
      <c r="BM196" s="632"/>
      <c r="BN196" s="632"/>
      <c r="BO196" s="632"/>
      <c r="BP196" s="632"/>
      <c r="BQ196" s="632"/>
      <c r="BR196" s="632"/>
      <c r="BS196" s="632"/>
      <c r="BT196" s="632"/>
      <c r="BU196" s="632"/>
      <c r="BV196" s="632"/>
      <c r="BW196" s="632"/>
      <c r="BX196" s="632"/>
      <c r="BY196" s="632"/>
      <c r="BZ196" s="632"/>
      <c r="CA196" s="632"/>
      <c r="CB196" s="632"/>
      <c r="CC196" s="632"/>
      <c r="CD196" s="632"/>
      <c r="CE196" s="632"/>
      <c r="CF196" s="632"/>
      <c r="CG196" s="632"/>
      <c r="CH196" s="632"/>
      <c r="CI196" s="632"/>
      <c r="CJ196" s="632"/>
      <c r="CK196" s="632"/>
      <c r="CL196" s="632"/>
      <c r="CM196" s="632"/>
      <c r="CN196" s="631"/>
    </row>
    <row r="197" spans="2:92" ht="15.75" x14ac:dyDescent="0.2">
      <c r="B197" s="610"/>
      <c r="C197" s="336"/>
      <c r="D197" s="611"/>
      <c r="E197" s="612"/>
      <c r="F197" s="612"/>
      <c r="G197" s="612"/>
      <c r="H197" s="611"/>
      <c r="I197" s="637"/>
      <c r="J197" s="653">
        <f>'I. Stream &amp; Compound Data'!F267</f>
        <v>6</v>
      </c>
      <c r="K197" s="651">
        <f>IF('I. Stream &amp; Compound Data'!G267="","",IF('I. Stream &amp; Compound Data'!V267=1,0,1))</f>
        <v>1</v>
      </c>
      <c r="L197" s="651">
        <f>IF(OR(L$122="",I136=""),"",'I. Stream &amp; Compound Data'!H191/$J136*(1-L$127)*(1-L$123)*$K197)</f>
        <v>0</v>
      </c>
      <c r="M197" s="651">
        <f>IF(OR(M$122="",I136=""),"",'I. Stream &amp; Compound Data'!K191/$J136*(1-M$127)*(1-M$123)*$K197)</f>
        <v>0</v>
      </c>
      <c r="N197" s="652">
        <f>IF(OR(N$122="",I136=""),"",'I. Stream &amp; Compound Data'!N191/$J136*(1-N$127)*(1-N$123)*$K197)</f>
        <v>0</v>
      </c>
      <c r="O197" s="651">
        <f>IF(OR(O$122="",I136=""),"",'I. Stream &amp; Compound Data'!Q191/$J136*(1-O$127)*(1-O$123)*$K197)</f>
        <v>5.340533977798935E-2</v>
      </c>
      <c r="P197" s="651">
        <f>IF(OR(P$122="",I136=""),"",'I. Stream &amp; Compound Data'!T191/$J136*(1-P$127)*(1-P$123)*$K197)</f>
        <v>0</v>
      </c>
      <c r="Q197" s="650">
        <f>IF(OR(Q$122="",I136=""),"",'I. Stream &amp; Compound Data'!W191/$J136*(1-Q$127)*(1-Q$123)*$K197)</f>
        <v>0</v>
      </c>
      <c r="R197" s="649">
        <f>IF(OR(R$122="",I136=""),"",'I. Stream &amp; Compound Data'!Z191/$J136*(1-R$127)*(1-R$123)*$K197)</f>
        <v>0</v>
      </c>
      <c r="S197" s="649">
        <f>IF(OR(S$122="",I136=""),"",'I. Stream &amp; Compound Data'!AC191/$J136*(1-S$127)*(1-S$123)*$K197)</f>
        <v>0</v>
      </c>
      <c r="T197" s="649" t="str">
        <f>IF(OR(T$122="",I136=""),"",'I. Stream &amp; Compound Data'!AF191/$J136*(1-T$127)*(1-T$123)*$K197)</f>
        <v/>
      </c>
      <c r="U197" s="648" t="str">
        <f>IF(OR(U$122="",I136=""),"",'I. Stream &amp; Compound Data'!AI191/$J136*(1-U$127)*(1-U$123)*$K197)</f>
        <v/>
      </c>
      <c r="V197" s="648" t="str">
        <f>IF(OR(V$122="",I136=""),"",'I. Stream &amp; Compound Data'!AL191/$J136*(1-V$127)*(1-V$123)*$K197)</f>
        <v/>
      </c>
      <c r="W197" s="648" t="str">
        <f>IF(OR(W$122="",I136=""),"",'I. Stream &amp; Compound Data'!AO191/$J136*(1-W$127)*(1-W$123)*$K197)</f>
        <v/>
      </c>
      <c r="X197" s="648" t="str">
        <f>IF(OR(X$122="",I136=""),"",'I. Stream &amp; Compound Data'!AR191/$J136*(1-X$127)*(1-X$123)*$K197)</f>
        <v/>
      </c>
      <c r="Y197" s="648" t="str">
        <f>IF(OR(Y$122="",I136=""),"",'I. Stream &amp; Compound Data'!AU191/$J136*(1-Y$127)*(1-Y$123)*$K197)</f>
        <v/>
      </c>
      <c r="Z197" s="648" t="str">
        <f>IF(OR(Z$122="",I136=""),"",'I. Stream &amp; Compound Data'!AX191/$J136*(1-Z$127)*(1-Z$123)*$K197)</f>
        <v/>
      </c>
      <c r="AA197" s="648" t="str">
        <f>IF(OR(AA$122="",I136=""),"",'I. Stream &amp; Compound Data'!BA191/$J136*(1-AA$127)*(1-AA$123)*$K197)</f>
        <v/>
      </c>
      <c r="AB197" s="648" t="str">
        <f>IF(OR(AB$122="",I136=""),"",'I. Stream &amp; Compound Data'!BD191/$J136*(1-AB$127)*(1-AB$123)*$K197)</f>
        <v/>
      </c>
      <c r="AC197" s="648" t="str">
        <f>IF(OR(AC$122="",I136=""),"",'I. Stream &amp; Compound Data'!BG191/$J136*(1-AC$127)*(1-AC$123)*$K197)</f>
        <v/>
      </c>
      <c r="AD197" s="648" t="str">
        <f>IF(OR(AD$122="",I136=""),"",'I. Stream &amp; Compound Data'!BJ191/$J136*(1-AD$127)*(1-AD$123)*$K197)</f>
        <v/>
      </c>
      <c r="AE197" s="648" t="str">
        <f>IF(OR(AE$122="",I136=""),"",'I. Stream &amp; Compound Data'!BM191/$J136*(1-AE$127)*(1-AE$123)*$K197)</f>
        <v/>
      </c>
      <c r="AF197" s="648" t="str">
        <f>IF(OR(AF$122="",I136=""),"",'I. Stream &amp; Compound Data'!BP191/$J136*(1-AF$127)*(1-AF$123)*$K197)</f>
        <v/>
      </c>
      <c r="AG197" s="648" t="str">
        <f>IF(OR(AG$122="",I136=""),"",'I. Stream &amp; Compound Data'!BS191/$J136*(1-AG$127)*(1-AG$123)*$K197)</f>
        <v/>
      </c>
      <c r="AH197" s="648" t="str">
        <f>IF(OR(AH$122="",I136=""),"",'I. Stream &amp; Compound Data'!BV191/$J136*(1-AH$127)*(1-AH$123)*$K197)</f>
        <v/>
      </c>
      <c r="AI197" s="648" t="str">
        <f>IF(OR(AI$122="",I136=""),"",'I. Stream &amp; Compound Data'!BY191/$J136*(1-AI$127)*(1-AI$123)*$K197)</f>
        <v/>
      </c>
      <c r="AJ197" s="648" t="str">
        <f>IF(OR(AJ$122="",I136=""),"",'I. Stream &amp; Compound Data'!CB191/$J136*(1-AJ$127)*(1-AJ$123)*$K197)</f>
        <v/>
      </c>
      <c r="AK197" s="648" t="str">
        <f>IF(OR(AK$122="",I136=""),"",'I. Stream &amp; Compound Data'!CE191/$J136*(1-AK$127)*(1-AK$123)*$K197)</f>
        <v/>
      </c>
      <c r="AL197" s="648" t="str">
        <f>IF(OR(AL$122="",I136=""),"",'I. Stream &amp; Compound Data'!CH191/$J136*(1-AL$127)*(1-AL$123)*$K197)</f>
        <v/>
      </c>
      <c r="AM197" s="648" t="str">
        <f>IF(OR(AM$122="",I136=""),"",'I. Stream &amp; Compound Data'!CK191/$J136*(1-AM$127)*(1-AM$123)*$K197)</f>
        <v/>
      </c>
      <c r="AN197" s="648" t="str">
        <f>IF(OR(AN$122="",I136=""),"",'I. Stream &amp; Compound Data'!CN191/$J136*(1-AN$127)*(1-AN$123)*$K197)</f>
        <v/>
      </c>
      <c r="AO197" s="648" t="str">
        <f>IF(OR(AO$122="",I136=""),"",'I. Stream &amp; Compound Data'!CQ191/$J136*(1-AO$127)*(1-AO$123)*$K197)</f>
        <v/>
      </c>
      <c r="AP197" s="648" t="str">
        <f>IF(OR(AP$122="",I136=""),"",'I. Stream &amp; Compound Data'!CT191/$J136*(1-AP$127)*(1-AP$123)*$K197)</f>
        <v/>
      </c>
      <c r="AQ197" s="648" t="str">
        <f>IF(OR(AQ$122="",I136=""),"",'I. Stream &amp; Compound Data'!CW191/$J136*(1-AQ$127)*(1-AQ$123)*$K197)</f>
        <v/>
      </c>
      <c r="AR197" s="648" t="str">
        <f>IF(OR(AR$122="",I136=""),"",'I. Stream &amp; Compound Data'!CZ191/$J136*(1-AR$127)*(1-AR$123)*$K197)</f>
        <v/>
      </c>
      <c r="AS197" s="648" t="str">
        <f>IF(OR(AS$122="",I136=""),"",'I. Stream &amp; Compound Data'!DC191/$J136*(1-AS$127)*(1-AS$123)*$K197)</f>
        <v/>
      </c>
      <c r="AT197" s="648" t="str">
        <f>IF(OR(AT$122="",I136=""),"",'I. Stream &amp; Compound Data'!DF191/$J136*(1-AT$127)*(1-AT$123)*$K197)</f>
        <v/>
      </c>
      <c r="AU197" s="648" t="str">
        <f>IF(OR(AU$122="",I136=""),"",'I. Stream &amp; Compound Data'!DI191/$J136*(1-AU$127)*(1-AU$123)*$K197)</f>
        <v/>
      </c>
      <c r="AV197" s="648" t="str">
        <f>IF(OR(AV$122="",I136=""),"",'I. Stream &amp; Compound Data'!DL191/$J136*(1-AV$127)*(1-AV$123)*$K197)</f>
        <v/>
      </c>
      <c r="AW197" s="648" t="str">
        <f>IF(OR(AW$122="",I136=""),"",'I. Stream &amp; Compound Data'!DO191/$J136*(1-AW$127)*(1-AW$123)*$K197)</f>
        <v/>
      </c>
      <c r="AX197" s="648" t="str">
        <f>IF(OR(AX$122="",I136=""),"",'I. Stream &amp; Compound Data'!DR191/$J136*(1-AX$127)*(1-AX$123)*$K197)</f>
        <v/>
      </c>
      <c r="AY197" s="647" t="str">
        <f>IF(OR(AY$122="",I136=""),"",'I. Stream &amp; Compound Data'!DU191/$J136*(1-AY$127)*(1-AY$123)*$K197)</f>
        <v/>
      </c>
      <c r="AZ197" s="336"/>
      <c r="BA197" s="632"/>
      <c r="BB197" s="632"/>
      <c r="BC197" s="632"/>
      <c r="BD197" s="632"/>
      <c r="BE197" s="632"/>
      <c r="BF197" s="632"/>
      <c r="BG197" s="632"/>
      <c r="BH197" s="632"/>
      <c r="BI197" s="632"/>
      <c r="BJ197" s="632"/>
      <c r="BK197" s="632"/>
      <c r="BL197" s="632"/>
      <c r="BM197" s="632"/>
      <c r="BN197" s="632"/>
      <c r="BO197" s="632"/>
      <c r="BP197" s="632"/>
      <c r="BQ197" s="632"/>
      <c r="BR197" s="632"/>
      <c r="BS197" s="632"/>
      <c r="BT197" s="632"/>
      <c r="BU197" s="632"/>
      <c r="BV197" s="632"/>
      <c r="BW197" s="632"/>
      <c r="BX197" s="632"/>
      <c r="BY197" s="632"/>
      <c r="BZ197" s="632"/>
      <c r="CA197" s="632"/>
      <c r="CB197" s="632"/>
      <c r="CC197" s="632"/>
      <c r="CD197" s="632"/>
      <c r="CE197" s="632"/>
      <c r="CF197" s="632"/>
      <c r="CG197" s="632"/>
      <c r="CH197" s="632"/>
      <c r="CI197" s="632"/>
      <c r="CJ197" s="632"/>
      <c r="CK197" s="632"/>
      <c r="CL197" s="632"/>
      <c r="CM197" s="632"/>
      <c r="CN197" s="631"/>
    </row>
    <row r="198" spans="2:92" ht="15.75" x14ac:dyDescent="0.2">
      <c r="B198" s="610"/>
      <c r="C198" s="336"/>
      <c r="D198" s="611"/>
      <c r="E198" s="612"/>
      <c r="F198" s="612"/>
      <c r="G198" s="612"/>
      <c r="H198" s="611"/>
      <c r="I198" s="637"/>
      <c r="J198" s="653">
        <f>'I. Stream &amp; Compound Data'!F268</f>
        <v>7</v>
      </c>
      <c r="K198" s="651">
        <f>IF('I. Stream &amp; Compound Data'!G268="","",IF('I. Stream &amp; Compound Data'!V268=1,0,1))</f>
        <v>1</v>
      </c>
      <c r="L198" s="651">
        <f>IF(OR(L$122="",I137=""),"",'I. Stream &amp; Compound Data'!H192/$J137*(1-L$127)*(1-L$123)*$K198)</f>
        <v>0</v>
      </c>
      <c r="M198" s="651">
        <f>IF(OR(M$122="",I137=""),"",'I. Stream &amp; Compound Data'!K192/$J137*(1-M$127)*(1-M$123)*$K198)</f>
        <v>0</v>
      </c>
      <c r="N198" s="652">
        <f>IF(OR(N$122="",I137=""),"",'I. Stream &amp; Compound Data'!N192/$J137*(1-N$127)*(1-N$123)*$K198)</f>
        <v>0</v>
      </c>
      <c r="O198" s="651">
        <f>IF(OR(O$122="",I137=""),"",'I. Stream &amp; Compound Data'!Q192/$J137*(1-O$127)*(1-O$123)*$K198)</f>
        <v>0</v>
      </c>
      <c r="P198" s="651">
        <f>IF(OR(P$122="",I137=""),"",'I. Stream &amp; Compound Data'!T192/$J137*(1-P$127)*(1-P$123)*$K198)</f>
        <v>8.6776693895764447E-3</v>
      </c>
      <c r="Q198" s="650">
        <f>IF(OR(Q$122="",I137=""),"",'I. Stream &amp; Compound Data'!W192/$J137*(1-Q$127)*(1-Q$123)*$K198)</f>
        <v>0</v>
      </c>
      <c r="R198" s="649">
        <f>IF(OR(R$122="",I137=""),"",'I. Stream &amp; Compound Data'!Z192/$J137*(1-R$127)*(1-R$123)*$K198)</f>
        <v>7.7144200042610026E-3</v>
      </c>
      <c r="S198" s="649">
        <f>IF(OR(S$122="",I137=""),"",'I. Stream &amp; Compound Data'!AC192/$J137*(1-S$127)*(1-S$123)*$K198)</f>
        <v>0</v>
      </c>
      <c r="T198" s="649" t="str">
        <f>IF(OR(T$122="",I137=""),"",'I. Stream &amp; Compound Data'!AF192/$J137*(1-T$127)*(1-T$123)*$K198)</f>
        <v/>
      </c>
      <c r="U198" s="648" t="str">
        <f>IF(OR(U$122="",I137=""),"",'I. Stream &amp; Compound Data'!AI192/$J137*(1-U$127)*(1-U$123)*$K198)</f>
        <v/>
      </c>
      <c r="V198" s="648" t="str">
        <f>IF(OR(V$122="",I137=""),"",'I. Stream &amp; Compound Data'!AL192/$J137*(1-V$127)*(1-V$123)*$K198)</f>
        <v/>
      </c>
      <c r="W198" s="648" t="str">
        <f>IF(OR(W$122="",I137=""),"",'I. Stream &amp; Compound Data'!AO192/$J137*(1-W$127)*(1-W$123)*$K198)</f>
        <v/>
      </c>
      <c r="X198" s="648" t="str">
        <f>IF(OR(X$122="",I137=""),"",'I. Stream &amp; Compound Data'!AR192/$J137*(1-X$127)*(1-X$123)*$K198)</f>
        <v/>
      </c>
      <c r="Y198" s="648" t="str">
        <f>IF(OR(Y$122="",I137=""),"",'I. Stream &amp; Compound Data'!AU192/$J137*(1-Y$127)*(1-Y$123)*$K198)</f>
        <v/>
      </c>
      <c r="Z198" s="648" t="str">
        <f>IF(OR(Z$122="",I137=""),"",'I. Stream &amp; Compound Data'!AX192/$J137*(1-Z$127)*(1-Z$123)*$K198)</f>
        <v/>
      </c>
      <c r="AA198" s="648" t="str">
        <f>IF(OR(AA$122="",I137=""),"",'I. Stream &amp; Compound Data'!BA192/$J137*(1-AA$127)*(1-AA$123)*$K198)</f>
        <v/>
      </c>
      <c r="AB198" s="648" t="str">
        <f>IF(OR(AB$122="",I137=""),"",'I. Stream &amp; Compound Data'!BD192/$J137*(1-AB$127)*(1-AB$123)*$K198)</f>
        <v/>
      </c>
      <c r="AC198" s="648" t="str">
        <f>IF(OR(AC$122="",I137=""),"",'I. Stream &amp; Compound Data'!BG192/$J137*(1-AC$127)*(1-AC$123)*$K198)</f>
        <v/>
      </c>
      <c r="AD198" s="648" t="str">
        <f>IF(OR(AD$122="",I137=""),"",'I. Stream &amp; Compound Data'!BJ192/$J137*(1-AD$127)*(1-AD$123)*$K198)</f>
        <v/>
      </c>
      <c r="AE198" s="648" t="str">
        <f>IF(OR(AE$122="",I137=""),"",'I. Stream &amp; Compound Data'!BM192/$J137*(1-AE$127)*(1-AE$123)*$K198)</f>
        <v/>
      </c>
      <c r="AF198" s="648" t="str">
        <f>IF(OR(AF$122="",I137=""),"",'I. Stream &amp; Compound Data'!BP192/$J137*(1-AF$127)*(1-AF$123)*$K198)</f>
        <v/>
      </c>
      <c r="AG198" s="648" t="str">
        <f>IF(OR(AG$122="",I137=""),"",'I. Stream &amp; Compound Data'!BS192/$J137*(1-AG$127)*(1-AG$123)*$K198)</f>
        <v/>
      </c>
      <c r="AH198" s="648" t="str">
        <f>IF(OR(AH$122="",I137=""),"",'I. Stream &amp; Compound Data'!BV192/$J137*(1-AH$127)*(1-AH$123)*$K198)</f>
        <v/>
      </c>
      <c r="AI198" s="648" t="str">
        <f>IF(OR(AI$122="",I137=""),"",'I. Stream &amp; Compound Data'!BY192/$J137*(1-AI$127)*(1-AI$123)*$K198)</f>
        <v/>
      </c>
      <c r="AJ198" s="648" t="str">
        <f>IF(OR(AJ$122="",I137=""),"",'I. Stream &amp; Compound Data'!CB192/$J137*(1-AJ$127)*(1-AJ$123)*$K198)</f>
        <v/>
      </c>
      <c r="AK198" s="648" t="str">
        <f>IF(OR(AK$122="",I137=""),"",'I. Stream &amp; Compound Data'!CE192/$J137*(1-AK$127)*(1-AK$123)*$K198)</f>
        <v/>
      </c>
      <c r="AL198" s="648" t="str">
        <f>IF(OR(AL$122="",I137=""),"",'I. Stream &amp; Compound Data'!CH192/$J137*(1-AL$127)*(1-AL$123)*$K198)</f>
        <v/>
      </c>
      <c r="AM198" s="648" t="str">
        <f>IF(OR(AM$122="",I137=""),"",'I. Stream &amp; Compound Data'!CK192/$J137*(1-AM$127)*(1-AM$123)*$K198)</f>
        <v/>
      </c>
      <c r="AN198" s="648" t="str">
        <f>IF(OR(AN$122="",I137=""),"",'I. Stream &amp; Compound Data'!CN192/$J137*(1-AN$127)*(1-AN$123)*$K198)</f>
        <v/>
      </c>
      <c r="AO198" s="648" t="str">
        <f>IF(OR(AO$122="",I137=""),"",'I. Stream &amp; Compound Data'!CQ192/$J137*(1-AO$127)*(1-AO$123)*$K198)</f>
        <v/>
      </c>
      <c r="AP198" s="648" t="str">
        <f>IF(OR(AP$122="",I137=""),"",'I. Stream &amp; Compound Data'!CT192/$J137*(1-AP$127)*(1-AP$123)*$K198)</f>
        <v/>
      </c>
      <c r="AQ198" s="648" t="str">
        <f>IF(OR(AQ$122="",I137=""),"",'I. Stream &amp; Compound Data'!CW192/$J137*(1-AQ$127)*(1-AQ$123)*$K198)</f>
        <v/>
      </c>
      <c r="AR198" s="648" t="str">
        <f>IF(OR(AR$122="",I137=""),"",'I. Stream &amp; Compound Data'!CZ192/$J137*(1-AR$127)*(1-AR$123)*$K198)</f>
        <v/>
      </c>
      <c r="AS198" s="648" t="str">
        <f>IF(OR(AS$122="",I137=""),"",'I. Stream &amp; Compound Data'!DC192/$J137*(1-AS$127)*(1-AS$123)*$K198)</f>
        <v/>
      </c>
      <c r="AT198" s="648" t="str">
        <f>IF(OR(AT$122="",I137=""),"",'I. Stream &amp; Compound Data'!DF192/$J137*(1-AT$127)*(1-AT$123)*$K198)</f>
        <v/>
      </c>
      <c r="AU198" s="648" t="str">
        <f>IF(OR(AU$122="",I137=""),"",'I. Stream &amp; Compound Data'!DI192/$J137*(1-AU$127)*(1-AU$123)*$K198)</f>
        <v/>
      </c>
      <c r="AV198" s="648" t="str">
        <f>IF(OR(AV$122="",I137=""),"",'I. Stream &amp; Compound Data'!DL192/$J137*(1-AV$127)*(1-AV$123)*$K198)</f>
        <v/>
      </c>
      <c r="AW198" s="648" t="str">
        <f>IF(OR(AW$122="",I137=""),"",'I. Stream &amp; Compound Data'!DO192/$J137*(1-AW$127)*(1-AW$123)*$K198)</f>
        <v/>
      </c>
      <c r="AX198" s="648" t="str">
        <f>IF(OR(AX$122="",I137=""),"",'I. Stream &amp; Compound Data'!DR192/$J137*(1-AX$127)*(1-AX$123)*$K198)</f>
        <v/>
      </c>
      <c r="AY198" s="647" t="str">
        <f>IF(OR(AY$122="",I137=""),"",'I. Stream &amp; Compound Data'!DU192/$J137*(1-AY$127)*(1-AY$123)*$K198)</f>
        <v/>
      </c>
      <c r="AZ198" s="336"/>
      <c r="BA198" s="632"/>
      <c r="BB198" s="632"/>
      <c r="BC198" s="632"/>
      <c r="BD198" s="632"/>
      <c r="BE198" s="632"/>
      <c r="BF198" s="632"/>
      <c r="BG198" s="632"/>
      <c r="BH198" s="632"/>
      <c r="BI198" s="632"/>
      <c r="BJ198" s="632"/>
      <c r="BK198" s="632"/>
      <c r="BL198" s="632"/>
      <c r="BM198" s="632"/>
      <c r="BN198" s="632"/>
      <c r="BO198" s="632"/>
      <c r="BP198" s="632"/>
      <c r="BQ198" s="632"/>
      <c r="BR198" s="632"/>
      <c r="BS198" s="632"/>
      <c r="BT198" s="632"/>
      <c r="BU198" s="632"/>
      <c r="BV198" s="632"/>
      <c r="BW198" s="632"/>
      <c r="BX198" s="632"/>
      <c r="BY198" s="632"/>
      <c r="BZ198" s="632"/>
      <c r="CA198" s="632"/>
      <c r="CB198" s="632"/>
      <c r="CC198" s="632"/>
      <c r="CD198" s="632"/>
      <c r="CE198" s="632"/>
      <c r="CF198" s="632"/>
      <c r="CG198" s="632"/>
      <c r="CH198" s="632"/>
      <c r="CI198" s="632"/>
      <c r="CJ198" s="632"/>
      <c r="CK198" s="632"/>
      <c r="CL198" s="632"/>
      <c r="CM198" s="632"/>
      <c r="CN198" s="631"/>
    </row>
    <row r="199" spans="2:92" ht="15.75" x14ac:dyDescent="0.2">
      <c r="B199" s="610"/>
      <c r="C199" s="336"/>
      <c r="D199" s="611"/>
      <c r="E199" s="612"/>
      <c r="F199" s="612"/>
      <c r="G199" s="612"/>
      <c r="H199" s="611"/>
      <c r="I199" s="637"/>
      <c r="J199" s="653">
        <f>'I. Stream &amp; Compound Data'!F269</f>
        <v>8</v>
      </c>
      <c r="K199" s="651">
        <f>IF('I. Stream &amp; Compound Data'!G269="","",IF('I. Stream &amp; Compound Data'!V269=1,0,1))</f>
        <v>1</v>
      </c>
      <c r="L199" s="651">
        <f>IF(OR(L$122="",I138=""),"",'I. Stream &amp; Compound Data'!H193/$J138*(1-L$127)*(1-L$123)*$K199)</f>
        <v>0</v>
      </c>
      <c r="M199" s="651">
        <f>IF(OR(M$122="",I138=""),"",'I. Stream &amp; Compound Data'!K193/$J138*(1-M$127)*(1-M$123)*$K199)</f>
        <v>0</v>
      </c>
      <c r="N199" s="652">
        <f>IF(OR(N$122="",I138=""),"",'I. Stream &amp; Compound Data'!N193/$J138*(1-N$127)*(1-N$123)*$K199)</f>
        <v>0</v>
      </c>
      <c r="O199" s="651">
        <f>IF(OR(O$122="",I138=""),"",'I. Stream &amp; Compound Data'!Q193/$J138*(1-O$127)*(1-O$123)*$K199)</f>
        <v>3.5865874251272815E-3</v>
      </c>
      <c r="P199" s="651">
        <f>IF(OR(P$122="",I138=""),"",'I. Stream &amp; Compound Data'!T193/$J138*(1-P$127)*(1-P$123)*$K199)</f>
        <v>0</v>
      </c>
      <c r="Q199" s="650">
        <f>IF(OR(Q$122="",I138=""),"",'I. Stream &amp; Compound Data'!W193/$J138*(1-Q$127)*(1-Q$123)*$K199)</f>
        <v>0</v>
      </c>
      <c r="R199" s="649">
        <f>IF(OR(R$122="",I138=""),"",'I. Stream &amp; Compound Data'!Z193/$J138*(1-R$127)*(1-R$123)*$K199)</f>
        <v>2.8052650135526091E-5</v>
      </c>
      <c r="S199" s="649">
        <f>IF(OR(S$122="",I138=""),"",'I. Stream &amp; Compound Data'!AC193/$J138*(1-S$127)*(1-S$123)*$K199)</f>
        <v>0</v>
      </c>
      <c r="T199" s="649" t="str">
        <f>IF(OR(T$122="",I138=""),"",'I. Stream &amp; Compound Data'!AF193/$J138*(1-T$127)*(1-T$123)*$K199)</f>
        <v/>
      </c>
      <c r="U199" s="648" t="str">
        <f>IF(OR(U$122="",I138=""),"",'I. Stream &amp; Compound Data'!AI193/$J138*(1-U$127)*(1-U$123)*$K199)</f>
        <v/>
      </c>
      <c r="V199" s="648" t="str">
        <f>IF(OR(V$122="",I138=""),"",'I. Stream &amp; Compound Data'!AL193/$J138*(1-V$127)*(1-V$123)*$K199)</f>
        <v/>
      </c>
      <c r="W199" s="648" t="str">
        <f>IF(OR(W$122="",I138=""),"",'I. Stream &amp; Compound Data'!AO193/$J138*(1-W$127)*(1-W$123)*$K199)</f>
        <v/>
      </c>
      <c r="X199" s="648" t="str">
        <f>IF(OR(X$122="",I138=""),"",'I. Stream &amp; Compound Data'!AR193/$J138*(1-X$127)*(1-X$123)*$K199)</f>
        <v/>
      </c>
      <c r="Y199" s="648" t="str">
        <f>IF(OR(Y$122="",I138=""),"",'I. Stream &amp; Compound Data'!AU193/$J138*(1-Y$127)*(1-Y$123)*$K199)</f>
        <v/>
      </c>
      <c r="Z199" s="648" t="str">
        <f>IF(OR(Z$122="",I138=""),"",'I. Stream &amp; Compound Data'!AX193/$J138*(1-Z$127)*(1-Z$123)*$K199)</f>
        <v/>
      </c>
      <c r="AA199" s="648" t="str">
        <f>IF(OR(AA$122="",I138=""),"",'I. Stream &amp; Compound Data'!BA193/$J138*(1-AA$127)*(1-AA$123)*$K199)</f>
        <v/>
      </c>
      <c r="AB199" s="648" t="str">
        <f>IF(OR(AB$122="",I138=""),"",'I. Stream &amp; Compound Data'!BD193/$J138*(1-AB$127)*(1-AB$123)*$K199)</f>
        <v/>
      </c>
      <c r="AC199" s="648" t="str">
        <f>IF(OR(AC$122="",I138=""),"",'I. Stream &amp; Compound Data'!BG193/$J138*(1-AC$127)*(1-AC$123)*$K199)</f>
        <v/>
      </c>
      <c r="AD199" s="648" t="str">
        <f>IF(OR(AD$122="",I138=""),"",'I. Stream &amp; Compound Data'!BJ193/$J138*(1-AD$127)*(1-AD$123)*$K199)</f>
        <v/>
      </c>
      <c r="AE199" s="648" t="str">
        <f>IF(OR(AE$122="",I138=""),"",'I. Stream &amp; Compound Data'!BM193/$J138*(1-AE$127)*(1-AE$123)*$K199)</f>
        <v/>
      </c>
      <c r="AF199" s="648" t="str">
        <f>IF(OR(AF$122="",I138=""),"",'I. Stream &amp; Compound Data'!BP193/$J138*(1-AF$127)*(1-AF$123)*$K199)</f>
        <v/>
      </c>
      <c r="AG199" s="648" t="str">
        <f>IF(OR(AG$122="",I138=""),"",'I. Stream &amp; Compound Data'!BS193/$J138*(1-AG$127)*(1-AG$123)*$K199)</f>
        <v/>
      </c>
      <c r="AH199" s="648" t="str">
        <f>IF(OR(AH$122="",I138=""),"",'I. Stream &amp; Compound Data'!BV193/$J138*(1-AH$127)*(1-AH$123)*$K199)</f>
        <v/>
      </c>
      <c r="AI199" s="648" t="str">
        <f>IF(OR(AI$122="",I138=""),"",'I. Stream &amp; Compound Data'!BY193/$J138*(1-AI$127)*(1-AI$123)*$K199)</f>
        <v/>
      </c>
      <c r="AJ199" s="648" t="str">
        <f>IF(OR(AJ$122="",I138=""),"",'I. Stream &amp; Compound Data'!CB193/$J138*(1-AJ$127)*(1-AJ$123)*$K199)</f>
        <v/>
      </c>
      <c r="AK199" s="648" t="str">
        <f>IF(OR(AK$122="",I138=""),"",'I. Stream &amp; Compound Data'!CE193/$J138*(1-AK$127)*(1-AK$123)*$K199)</f>
        <v/>
      </c>
      <c r="AL199" s="648" t="str">
        <f>IF(OR(AL$122="",I138=""),"",'I. Stream &amp; Compound Data'!CH193/$J138*(1-AL$127)*(1-AL$123)*$K199)</f>
        <v/>
      </c>
      <c r="AM199" s="648" t="str">
        <f>IF(OR(AM$122="",I138=""),"",'I. Stream &amp; Compound Data'!CK193/$J138*(1-AM$127)*(1-AM$123)*$K199)</f>
        <v/>
      </c>
      <c r="AN199" s="648" t="str">
        <f>IF(OR(AN$122="",I138=""),"",'I. Stream &amp; Compound Data'!CN193/$J138*(1-AN$127)*(1-AN$123)*$K199)</f>
        <v/>
      </c>
      <c r="AO199" s="648" t="str">
        <f>IF(OR(AO$122="",I138=""),"",'I. Stream &amp; Compound Data'!CQ193/$J138*(1-AO$127)*(1-AO$123)*$K199)</f>
        <v/>
      </c>
      <c r="AP199" s="648" t="str">
        <f>IF(OR(AP$122="",I138=""),"",'I. Stream &amp; Compound Data'!CT193/$J138*(1-AP$127)*(1-AP$123)*$K199)</f>
        <v/>
      </c>
      <c r="AQ199" s="648" t="str">
        <f>IF(OR(AQ$122="",I138=""),"",'I. Stream &amp; Compound Data'!CW193/$J138*(1-AQ$127)*(1-AQ$123)*$K199)</f>
        <v/>
      </c>
      <c r="AR199" s="648" t="str">
        <f>IF(OR(AR$122="",I138=""),"",'I. Stream &amp; Compound Data'!CZ193/$J138*(1-AR$127)*(1-AR$123)*$K199)</f>
        <v/>
      </c>
      <c r="AS199" s="648" t="str">
        <f>IF(OR(AS$122="",I138=""),"",'I. Stream &amp; Compound Data'!DC193/$J138*(1-AS$127)*(1-AS$123)*$K199)</f>
        <v/>
      </c>
      <c r="AT199" s="648" t="str">
        <f>IF(OR(AT$122="",I138=""),"",'I. Stream &amp; Compound Data'!DF193/$J138*(1-AT$127)*(1-AT$123)*$K199)</f>
        <v/>
      </c>
      <c r="AU199" s="648" t="str">
        <f>IF(OR(AU$122="",I138=""),"",'I. Stream &amp; Compound Data'!DI193/$J138*(1-AU$127)*(1-AU$123)*$K199)</f>
        <v/>
      </c>
      <c r="AV199" s="648" t="str">
        <f>IF(OR(AV$122="",I138=""),"",'I. Stream &amp; Compound Data'!DL193/$J138*(1-AV$127)*(1-AV$123)*$K199)</f>
        <v/>
      </c>
      <c r="AW199" s="648" t="str">
        <f>IF(OR(AW$122="",I138=""),"",'I. Stream &amp; Compound Data'!DO193/$J138*(1-AW$127)*(1-AW$123)*$K199)</f>
        <v/>
      </c>
      <c r="AX199" s="648" t="str">
        <f>IF(OR(AX$122="",I138=""),"",'I. Stream &amp; Compound Data'!DR193/$J138*(1-AX$127)*(1-AX$123)*$K199)</f>
        <v/>
      </c>
      <c r="AY199" s="647" t="str">
        <f>IF(OR(AY$122="",I138=""),"",'I. Stream &amp; Compound Data'!DU193/$J138*(1-AY$127)*(1-AY$123)*$K199)</f>
        <v/>
      </c>
      <c r="AZ199" s="336"/>
      <c r="BA199" s="632"/>
      <c r="BB199" s="632"/>
      <c r="BC199" s="632"/>
      <c r="BD199" s="632"/>
      <c r="BE199" s="632"/>
      <c r="BF199" s="632"/>
      <c r="BG199" s="632"/>
      <c r="BH199" s="632"/>
      <c r="BI199" s="632"/>
      <c r="BJ199" s="632"/>
      <c r="BK199" s="632"/>
      <c r="BL199" s="632"/>
      <c r="BM199" s="632"/>
      <c r="BN199" s="632"/>
      <c r="BO199" s="632"/>
      <c r="BP199" s="632"/>
      <c r="BQ199" s="632"/>
      <c r="BR199" s="632"/>
      <c r="BS199" s="632"/>
      <c r="BT199" s="632"/>
      <c r="BU199" s="632"/>
      <c r="BV199" s="632"/>
      <c r="BW199" s="632"/>
      <c r="BX199" s="632"/>
      <c r="BY199" s="632"/>
      <c r="BZ199" s="632"/>
      <c r="CA199" s="632"/>
      <c r="CB199" s="632"/>
      <c r="CC199" s="632"/>
      <c r="CD199" s="632"/>
      <c r="CE199" s="632"/>
      <c r="CF199" s="632"/>
      <c r="CG199" s="632"/>
      <c r="CH199" s="632"/>
      <c r="CI199" s="632"/>
      <c r="CJ199" s="632"/>
      <c r="CK199" s="632"/>
      <c r="CL199" s="632"/>
      <c r="CM199" s="632"/>
      <c r="CN199" s="631"/>
    </row>
    <row r="200" spans="2:92" ht="15.75" x14ac:dyDescent="0.2">
      <c r="B200" s="610"/>
      <c r="C200" s="336"/>
      <c r="D200" s="611"/>
      <c r="E200" s="612"/>
      <c r="F200" s="612"/>
      <c r="G200" s="612"/>
      <c r="H200" s="611"/>
      <c r="I200" s="637"/>
      <c r="J200" s="653">
        <f>'I. Stream &amp; Compound Data'!F270</f>
        <v>9</v>
      </c>
      <c r="K200" s="651">
        <f>IF('I. Stream &amp; Compound Data'!G270="","",IF('I. Stream &amp; Compound Data'!V270=1,0,1))</f>
        <v>1</v>
      </c>
      <c r="L200" s="651">
        <f>IF(OR(L$122="",I139=""),"",'I. Stream &amp; Compound Data'!H194/$J139*(1-L$127)*(1-L$123)*$K200)</f>
        <v>0</v>
      </c>
      <c r="M200" s="651">
        <f>IF(OR(M$122="",I139=""),"",'I. Stream &amp; Compound Data'!K194/$J139*(1-M$127)*(1-M$123)*$K200)</f>
        <v>0</v>
      </c>
      <c r="N200" s="652">
        <f>IF(OR(N$122="",I139=""),"",'I. Stream &amp; Compound Data'!N194/$J139*(1-N$127)*(1-N$123)*$K200)</f>
        <v>0</v>
      </c>
      <c r="O200" s="651">
        <f>IF(OR(O$122="",I139=""),"",'I. Stream &amp; Compound Data'!Q194/$J139*(1-O$127)*(1-O$123)*$K200)</f>
        <v>0</v>
      </c>
      <c r="P200" s="651">
        <f>IF(OR(P$122="",I139=""),"",'I. Stream &amp; Compound Data'!T194/$J139*(1-P$127)*(1-P$123)*$K200)</f>
        <v>0</v>
      </c>
      <c r="Q200" s="650">
        <f>IF(OR(Q$122="",I139=""),"",'I. Stream &amp; Compound Data'!W194/$J139*(1-Q$127)*(1-Q$123)*$K200)</f>
        <v>0</v>
      </c>
      <c r="R200" s="649">
        <f>IF(OR(R$122="",I139=""),"",'I. Stream &amp; Compound Data'!Z194/$J139*(1-R$127)*(1-R$123)*$K200)</f>
        <v>0</v>
      </c>
      <c r="S200" s="649">
        <f>IF(OR(S$122="",I139=""),"",'I. Stream &amp; Compound Data'!AC194/$J139*(1-S$127)*(1-S$123)*$K200)</f>
        <v>0</v>
      </c>
      <c r="T200" s="649" t="str">
        <f>IF(OR(T$122="",I139=""),"",'I. Stream &amp; Compound Data'!AF194/$J139*(1-T$127)*(1-T$123)*$K200)</f>
        <v/>
      </c>
      <c r="U200" s="648" t="str">
        <f>IF(OR(U$122="",I139=""),"",'I. Stream &amp; Compound Data'!AI194/$J139*(1-U$127)*(1-U$123)*$K200)</f>
        <v/>
      </c>
      <c r="V200" s="648" t="str">
        <f>IF(OR(V$122="",I139=""),"",'I. Stream &amp; Compound Data'!AL194/$J139*(1-V$127)*(1-V$123)*$K200)</f>
        <v/>
      </c>
      <c r="W200" s="648" t="str">
        <f>IF(OR(W$122="",I139=""),"",'I. Stream &amp; Compound Data'!AO194/$J139*(1-W$127)*(1-W$123)*$K200)</f>
        <v/>
      </c>
      <c r="X200" s="648" t="str">
        <f>IF(OR(X$122="",I139=""),"",'I. Stream &amp; Compound Data'!AR194/$J139*(1-X$127)*(1-X$123)*$K200)</f>
        <v/>
      </c>
      <c r="Y200" s="648" t="str">
        <f>IF(OR(Y$122="",I139=""),"",'I. Stream &amp; Compound Data'!AU194/$J139*(1-Y$127)*(1-Y$123)*$K200)</f>
        <v/>
      </c>
      <c r="Z200" s="648" t="str">
        <f>IF(OR(Z$122="",I139=""),"",'I. Stream &amp; Compound Data'!AX194/$J139*(1-Z$127)*(1-Z$123)*$K200)</f>
        <v/>
      </c>
      <c r="AA200" s="648" t="str">
        <f>IF(OR(AA$122="",I139=""),"",'I. Stream &amp; Compound Data'!BA194/$J139*(1-AA$127)*(1-AA$123)*$K200)</f>
        <v/>
      </c>
      <c r="AB200" s="648" t="str">
        <f>IF(OR(AB$122="",I139=""),"",'I. Stream &amp; Compound Data'!BD194/$J139*(1-AB$127)*(1-AB$123)*$K200)</f>
        <v/>
      </c>
      <c r="AC200" s="648" t="str">
        <f>IF(OR(AC$122="",I139=""),"",'I. Stream &amp; Compound Data'!BG194/$J139*(1-AC$127)*(1-AC$123)*$K200)</f>
        <v/>
      </c>
      <c r="AD200" s="648" t="str">
        <f>IF(OR(AD$122="",I139=""),"",'I. Stream &amp; Compound Data'!BJ194/$J139*(1-AD$127)*(1-AD$123)*$K200)</f>
        <v/>
      </c>
      <c r="AE200" s="648" t="str">
        <f>IF(OR(AE$122="",I139=""),"",'I. Stream &amp; Compound Data'!BM194/$J139*(1-AE$127)*(1-AE$123)*$K200)</f>
        <v/>
      </c>
      <c r="AF200" s="648" t="str">
        <f>IF(OR(AF$122="",I139=""),"",'I. Stream &amp; Compound Data'!BP194/$J139*(1-AF$127)*(1-AF$123)*$K200)</f>
        <v/>
      </c>
      <c r="AG200" s="648" t="str">
        <f>IF(OR(AG$122="",I139=""),"",'I. Stream &amp; Compound Data'!BS194/$J139*(1-AG$127)*(1-AG$123)*$K200)</f>
        <v/>
      </c>
      <c r="AH200" s="648" t="str">
        <f>IF(OR(AH$122="",I139=""),"",'I. Stream &amp; Compound Data'!BV194/$J139*(1-AH$127)*(1-AH$123)*$K200)</f>
        <v/>
      </c>
      <c r="AI200" s="648" t="str">
        <f>IF(OR(AI$122="",I139=""),"",'I. Stream &amp; Compound Data'!BY194/$J139*(1-AI$127)*(1-AI$123)*$K200)</f>
        <v/>
      </c>
      <c r="AJ200" s="648" t="str">
        <f>IF(OR(AJ$122="",I139=""),"",'I. Stream &amp; Compound Data'!CB194/$J139*(1-AJ$127)*(1-AJ$123)*$K200)</f>
        <v/>
      </c>
      <c r="AK200" s="648" t="str">
        <f>IF(OR(AK$122="",I139=""),"",'I. Stream &amp; Compound Data'!CE194/$J139*(1-AK$127)*(1-AK$123)*$K200)</f>
        <v/>
      </c>
      <c r="AL200" s="648" t="str">
        <f>IF(OR(AL$122="",I139=""),"",'I. Stream &amp; Compound Data'!CH194/$J139*(1-AL$127)*(1-AL$123)*$K200)</f>
        <v/>
      </c>
      <c r="AM200" s="648" t="str">
        <f>IF(OR(AM$122="",I139=""),"",'I. Stream &amp; Compound Data'!CK194/$J139*(1-AM$127)*(1-AM$123)*$K200)</f>
        <v/>
      </c>
      <c r="AN200" s="648" t="str">
        <f>IF(OR(AN$122="",I139=""),"",'I. Stream &amp; Compound Data'!CN194/$J139*(1-AN$127)*(1-AN$123)*$K200)</f>
        <v/>
      </c>
      <c r="AO200" s="648" t="str">
        <f>IF(OR(AO$122="",I139=""),"",'I. Stream &amp; Compound Data'!CQ194/$J139*(1-AO$127)*(1-AO$123)*$K200)</f>
        <v/>
      </c>
      <c r="AP200" s="648" t="str">
        <f>IF(OR(AP$122="",I139=""),"",'I. Stream &amp; Compound Data'!CT194/$J139*(1-AP$127)*(1-AP$123)*$K200)</f>
        <v/>
      </c>
      <c r="AQ200" s="648" t="str">
        <f>IF(OR(AQ$122="",I139=""),"",'I. Stream &amp; Compound Data'!CW194/$J139*(1-AQ$127)*(1-AQ$123)*$K200)</f>
        <v/>
      </c>
      <c r="AR200" s="648" t="str">
        <f>IF(OR(AR$122="",I139=""),"",'I. Stream &amp; Compound Data'!CZ194/$J139*(1-AR$127)*(1-AR$123)*$K200)</f>
        <v/>
      </c>
      <c r="AS200" s="648" t="str">
        <f>IF(OR(AS$122="",I139=""),"",'I. Stream &amp; Compound Data'!DC194/$J139*(1-AS$127)*(1-AS$123)*$K200)</f>
        <v/>
      </c>
      <c r="AT200" s="648" t="str">
        <f>IF(OR(AT$122="",I139=""),"",'I. Stream &amp; Compound Data'!DF194/$J139*(1-AT$127)*(1-AT$123)*$K200)</f>
        <v/>
      </c>
      <c r="AU200" s="648" t="str">
        <f>IF(OR(AU$122="",I139=""),"",'I. Stream &amp; Compound Data'!DI194/$J139*(1-AU$127)*(1-AU$123)*$K200)</f>
        <v/>
      </c>
      <c r="AV200" s="648" t="str">
        <f>IF(OR(AV$122="",I139=""),"",'I. Stream &amp; Compound Data'!DL194/$J139*(1-AV$127)*(1-AV$123)*$K200)</f>
        <v/>
      </c>
      <c r="AW200" s="648" t="str">
        <f>IF(OR(AW$122="",I139=""),"",'I. Stream &amp; Compound Data'!DO194/$J139*(1-AW$127)*(1-AW$123)*$K200)</f>
        <v/>
      </c>
      <c r="AX200" s="648" t="str">
        <f>IF(OR(AX$122="",I139=""),"",'I. Stream &amp; Compound Data'!DR194/$J139*(1-AX$127)*(1-AX$123)*$K200)</f>
        <v/>
      </c>
      <c r="AY200" s="647" t="str">
        <f>IF(OR(AY$122="",I139=""),"",'I. Stream &amp; Compound Data'!DU194/$J139*(1-AY$127)*(1-AY$123)*$K200)</f>
        <v/>
      </c>
      <c r="AZ200" s="336"/>
      <c r="BA200" s="632"/>
      <c r="BB200" s="632"/>
      <c r="BC200" s="632"/>
      <c r="BD200" s="632"/>
      <c r="BE200" s="632"/>
      <c r="BF200" s="632"/>
      <c r="BG200" s="632"/>
      <c r="BH200" s="632"/>
      <c r="BI200" s="632"/>
      <c r="BJ200" s="632"/>
      <c r="BK200" s="632"/>
      <c r="BL200" s="632"/>
      <c r="BM200" s="632"/>
      <c r="BN200" s="632"/>
      <c r="BO200" s="632"/>
      <c r="BP200" s="632"/>
      <c r="BQ200" s="632"/>
      <c r="BR200" s="632"/>
      <c r="BS200" s="632"/>
      <c r="BT200" s="632"/>
      <c r="BU200" s="632"/>
      <c r="BV200" s="632"/>
      <c r="BW200" s="632"/>
      <c r="BX200" s="632"/>
      <c r="BY200" s="632"/>
      <c r="BZ200" s="632"/>
      <c r="CA200" s="632"/>
      <c r="CB200" s="632"/>
      <c r="CC200" s="632"/>
      <c r="CD200" s="632"/>
      <c r="CE200" s="632"/>
      <c r="CF200" s="632"/>
      <c r="CG200" s="632"/>
      <c r="CH200" s="632"/>
      <c r="CI200" s="632"/>
      <c r="CJ200" s="632"/>
      <c r="CK200" s="632"/>
      <c r="CL200" s="632"/>
      <c r="CM200" s="632"/>
      <c r="CN200" s="631"/>
    </row>
    <row r="201" spans="2:92" ht="15.75" x14ac:dyDescent="0.2">
      <c r="B201" s="610"/>
      <c r="C201" s="336"/>
      <c r="D201" s="611"/>
      <c r="E201" s="612"/>
      <c r="F201" s="612"/>
      <c r="G201" s="612"/>
      <c r="H201" s="611"/>
      <c r="I201" s="637"/>
      <c r="J201" s="653">
        <f>'I. Stream &amp; Compound Data'!F271</f>
        <v>10</v>
      </c>
      <c r="K201" s="651">
        <f>IF('I. Stream &amp; Compound Data'!G271="","",IF('I. Stream &amp; Compound Data'!V271=1,0,1))</f>
        <v>1</v>
      </c>
      <c r="L201" s="651">
        <f>IF(OR(L$122="",I140=""),"",'I. Stream &amp; Compound Data'!H195/$J140*(1-L$127)*(1-L$123)*$K201)</f>
        <v>0</v>
      </c>
      <c r="M201" s="651">
        <f>IF(OR(M$122="",I140=""),"",'I. Stream &amp; Compound Data'!K195/$J140*(1-M$127)*(1-M$123)*$K201)</f>
        <v>0</v>
      </c>
      <c r="N201" s="652">
        <f>IF(OR(N$122="",I140=""),"",'I. Stream &amp; Compound Data'!N195/$J140*(1-N$127)*(1-N$123)*$K201)</f>
        <v>0</v>
      </c>
      <c r="O201" s="651">
        <f>IF(OR(O$122="",I140=""),"",'I. Stream &amp; Compound Data'!Q195/$J140*(1-O$127)*(1-O$123)*$K201)</f>
        <v>0</v>
      </c>
      <c r="P201" s="651">
        <f>IF(OR(P$122="",I140=""),"",'I. Stream &amp; Compound Data'!T195/$J140*(1-P$127)*(1-P$123)*$K201)</f>
        <v>0</v>
      </c>
      <c r="Q201" s="650">
        <f>IF(OR(Q$122="",I140=""),"",'I. Stream &amp; Compound Data'!W195/$J140*(1-Q$127)*(1-Q$123)*$K201)</f>
        <v>0</v>
      </c>
      <c r="R201" s="649">
        <f>IF(OR(R$122="",I140=""),"",'I. Stream &amp; Compound Data'!Z195/$J140*(1-R$127)*(1-R$123)*$K201)</f>
        <v>0</v>
      </c>
      <c r="S201" s="649">
        <f>IF(OR(S$122="",I140=""),"",'I. Stream &amp; Compound Data'!AC195/$J140*(1-S$127)*(1-S$123)*$K201)</f>
        <v>0</v>
      </c>
      <c r="T201" s="649" t="str">
        <f>IF(OR(T$122="",I140=""),"",'I. Stream &amp; Compound Data'!AF195/$J140*(1-T$127)*(1-T$123)*$K201)</f>
        <v/>
      </c>
      <c r="U201" s="648" t="str">
        <f>IF(OR(U$122="",I140=""),"",'I. Stream &amp; Compound Data'!AI195/$J140*(1-U$127)*(1-U$123)*$K201)</f>
        <v/>
      </c>
      <c r="V201" s="648" t="str">
        <f>IF(OR(V$122="",I140=""),"",'I. Stream &amp; Compound Data'!AL195/$J140*(1-V$127)*(1-V$123)*$K201)</f>
        <v/>
      </c>
      <c r="W201" s="648" t="str">
        <f>IF(OR(W$122="",I140=""),"",'I. Stream &amp; Compound Data'!AO195/$J140*(1-W$127)*(1-W$123)*$K201)</f>
        <v/>
      </c>
      <c r="X201" s="648" t="str">
        <f>IF(OR(X$122="",I140=""),"",'I. Stream &amp; Compound Data'!AR195/$J140*(1-X$127)*(1-X$123)*$K201)</f>
        <v/>
      </c>
      <c r="Y201" s="648" t="str">
        <f>IF(OR(Y$122="",I140=""),"",'I. Stream &amp; Compound Data'!AU195/$J140*(1-Y$127)*(1-Y$123)*$K201)</f>
        <v/>
      </c>
      <c r="Z201" s="648" t="str">
        <f>IF(OR(Z$122="",I140=""),"",'I. Stream &amp; Compound Data'!AX195/$J140*(1-Z$127)*(1-Z$123)*$K201)</f>
        <v/>
      </c>
      <c r="AA201" s="648" t="str">
        <f>IF(OR(AA$122="",I140=""),"",'I. Stream &amp; Compound Data'!BA195/$J140*(1-AA$127)*(1-AA$123)*$K201)</f>
        <v/>
      </c>
      <c r="AB201" s="648" t="str">
        <f>IF(OR(AB$122="",I140=""),"",'I. Stream &amp; Compound Data'!BD195/$J140*(1-AB$127)*(1-AB$123)*$K201)</f>
        <v/>
      </c>
      <c r="AC201" s="648" t="str">
        <f>IF(OR(AC$122="",I140=""),"",'I. Stream &amp; Compound Data'!BG195/$J140*(1-AC$127)*(1-AC$123)*$K201)</f>
        <v/>
      </c>
      <c r="AD201" s="648" t="str">
        <f>IF(OR(AD$122="",I140=""),"",'I. Stream &amp; Compound Data'!BJ195/$J140*(1-AD$127)*(1-AD$123)*$K201)</f>
        <v/>
      </c>
      <c r="AE201" s="648" t="str">
        <f>IF(OR(AE$122="",I140=""),"",'I. Stream &amp; Compound Data'!BM195/$J140*(1-AE$127)*(1-AE$123)*$K201)</f>
        <v/>
      </c>
      <c r="AF201" s="648" t="str">
        <f>IF(OR(AF$122="",I140=""),"",'I. Stream &amp; Compound Data'!BP195/$J140*(1-AF$127)*(1-AF$123)*$K201)</f>
        <v/>
      </c>
      <c r="AG201" s="648" t="str">
        <f>IF(OR(AG$122="",I140=""),"",'I. Stream &amp; Compound Data'!BS195/$J140*(1-AG$127)*(1-AG$123)*$K201)</f>
        <v/>
      </c>
      <c r="AH201" s="648" t="str">
        <f>IF(OR(AH$122="",I140=""),"",'I. Stream &amp; Compound Data'!BV195/$J140*(1-AH$127)*(1-AH$123)*$K201)</f>
        <v/>
      </c>
      <c r="AI201" s="648" t="str">
        <f>IF(OR(AI$122="",I140=""),"",'I. Stream &amp; Compound Data'!BY195/$J140*(1-AI$127)*(1-AI$123)*$K201)</f>
        <v/>
      </c>
      <c r="AJ201" s="648" t="str">
        <f>IF(OR(AJ$122="",I140=""),"",'I. Stream &amp; Compound Data'!CB195/$J140*(1-AJ$127)*(1-AJ$123)*$K201)</f>
        <v/>
      </c>
      <c r="AK201" s="648" t="str">
        <f>IF(OR(AK$122="",I140=""),"",'I. Stream &amp; Compound Data'!CE195/$J140*(1-AK$127)*(1-AK$123)*$K201)</f>
        <v/>
      </c>
      <c r="AL201" s="648" t="str">
        <f>IF(OR(AL$122="",I140=""),"",'I. Stream &amp; Compound Data'!CH195/$J140*(1-AL$127)*(1-AL$123)*$K201)</f>
        <v/>
      </c>
      <c r="AM201" s="648" t="str">
        <f>IF(OR(AM$122="",I140=""),"",'I. Stream &amp; Compound Data'!CK195/$J140*(1-AM$127)*(1-AM$123)*$K201)</f>
        <v/>
      </c>
      <c r="AN201" s="648" t="str">
        <f>IF(OR(AN$122="",I140=""),"",'I. Stream &amp; Compound Data'!CN195/$J140*(1-AN$127)*(1-AN$123)*$K201)</f>
        <v/>
      </c>
      <c r="AO201" s="648" t="str">
        <f>IF(OR(AO$122="",I140=""),"",'I. Stream &amp; Compound Data'!CQ195/$J140*(1-AO$127)*(1-AO$123)*$K201)</f>
        <v/>
      </c>
      <c r="AP201" s="648" t="str">
        <f>IF(OR(AP$122="",I140=""),"",'I. Stream &amp; Compound Data'!CT195/$J140*(1-AP$127)*(1-AP$123)*$K201)</f>
        <v/>
      </c>
      <c r="AQ201" s="648" t="str">
        <f>IF(OR(AQ$122="",I140=""),"",'I. Stream &amp; Compound Data'!CW195/$J140*(1-AQ$127)*(1-AQ$123)*$K201)</f>
        <v/>
      </c>
      <c r="AR201" s="648" t="str">
        <f>IF(OR(AR$122="",I140=""),"",'I. Stream &amp; Compound Data'!CZ195/$J140*(1-AR$127)*(1-AR$123)*$K201)</f>
        <v/>
      </c>
      <c r="AS201" s="648" t="str">
        <f>IF(OR(AS$122="",I140=""),"",'I. Stream &amp; Compound Data'!DC195/$J140*(1-AS$127)*(1-AS$123)*$K201)</f>
        <v/>
      </c>
      <c r="AT201" s="648" t="str">
        <f>IF(OR(AT$122="",I140=""),"",'I. Stream &amp; Compound Data'!DF195/$J140*(1-AT$127)*(1-AT$123)*$K201)</f>
        <v/>
      </c>
      <c r="AU201" s="648" t="str">
        <f>IF(OR(AU$122="",I140=""),"",'I. Stream &amp; Compound Data'!DI195/$J140*(1-AU$127)*(1-AU$123)*$K201)</f>
        <v/>
      </c>
      <c r="AV201" s="648" t="str">
        <f>IF(OR(AV$122="",I140=""),"",'I. Stream &amp; Compound Data'!DL195/$J140*(1-AV$127)*(1-AV$123)*$K201)</f>
        <v/>
      </c>
      <c r="AW201" s="648" t="str">
        <f>IF(OR(AW$122="",I140=""),"",'I. Stream &amp; Compound Data'!DO195/$J140*(1-AW$127)*(1-AW$123)*$K201)</f>
        <v/>
      </c>
      <c r="AX201" s="648" t="str">
        <f>IF(OR(AX$122="",I140=""),"",'I. Stream &amp; Compound Data'!DR195/$J140*(1-AX$127)*(1-AX$123)*$K201)</f>
        <v/>
      </c>
      <c r="AY201" s="647" t="str">
        <f>IF(OR(AY$122="",I140=""),"",'I. Stream &amp; Compound Data'!DU195/$J140*(1-AY$127)*(1-AY$123)*$K201)</f>
        <v/>
      </c>
      <c r="AZ201" s="336"/>
      <c r="BA201" s="632"/>
      <c r="BB201" s="632"/>
      <c r="BC201" s="632"/>
      <c r="BD201" s="632"/>
      <c r="BE201" s="632"/>
      <c r="BF201" s="632"/>
      <c r="BG201" s="632"/>
      <c r="BH201" s="632"/>
      <c r="BI201" s="632"/>
      <c r="BJ201" s="632"/>
      <c r="BK201" s="632"/>
      <c r="BL201" s="632"/>
      <c r="BM201" s="632"/>
      <c r="BN201" s="632"/>
      <c r="BO201" s="632"/>
      <c r="BP201" s="632"/>
      <c r="BQ201" s="632"/>
      <c r="BR201" s="632"/>
      <c r="BS201" s="632"/>
      <c r="BT201" s="632"/>
      <c r="BU201" s="632"/>
      <c r="BV201" s="632"/>
      <c r="BW201" s="632"/>
      <c r="BX201" s="632"/>
      <c r="BY201" s="632"/>
      <c r="BZ201" s="632"/>
      <c r="CA201" s="632"/>
      <c r="CB201" s="632"/>
      <c r="CC201" s="632"/>
      <c r="CD201" s="632"/>
      <c r="CE201" s="632"/>
      <c r="CF201" s="632"/>
      <c r="CG201" s="632"/>
      <c r="CH201" s="632"/>
      <c r="CI201" s="632"/>
      <c r="CJ201" s="632"/>
      <c r="CK201" s="632"/>
      <c r="CL201" s="632"/>
      <c r="CM201" s="632"/>
      <c r="CN201" s="631"/>
    </row>
    <row r="202" spans="2:92" ht="15.75" x14ac:dyDescent="0.2">
      <c r="B202" s="610"/>
      <c r="C202" s="336"/>
      <c r="D202" s="611"/>
      <c r="E202" s="612"/>
      <c r="F202" s="612"/>
      <c r="G202" s="612"/>
      <c r="H202" s="611"/>
      <c r="I202" s="637"/>
      <c r="J202" s="653">
        <f>'I. Stream &amp; Compound Data'!F272</f>
        <v>11</v>
      </c>
      <c r="K202" s="651">
        <f>IF('I. Stream &amp; Compound Data'!G272="","",IF('I. Stream &amp; Compound Data'!V272=1,0,1))</f>
        <v>0</v>
      </c>
      <c r="L202" s="651">
        <f>IF(OR(L$122="",I141=""),"",'I. Stream &amp; Compound Data'!H196/$J141*(1-L$127)*(1-L$123)*$K202)</f>
        <v>0</v>
      </c>
      <c r="M202" s="651">
        <f>IF(OR(M$122="",I141=""),"",'I. Stream &amp; Compound Data'!K196/$J141*(1-M$127)*(1-M$123)*$K202)</f>
        <v>0</v>
      </c>
      <c r="N202" s="652">
        <f>IF(OR(N$122="",I141=""),"",'I. Stream &amp; Compound Data'!N196/$J141*(1-N$127)*(1-N$123)*$K202)</f>
        <v>0</v>
      </c>
      <c r="O202" s="651">
        <f>IF(OR(O$122="",I141=""),"",'I. Stream &amp; Compound Data'!Q196/$J141*(1-O$127)*(1-O$123)*$K202)</f>
        <v>0</v>
      </c>
      <c r="P202" s="651">
        <f>IF(OR(P$122="",I141=""),"",'I. Stream &amp; Compound Data'!T196/$J141*(1-P$127)*(1-P$123)*$K202)</f>
        <v>0</v>
      </c>
      <c r="Q202" s="650">
        <f>IF(OR(Q$122="",I141=""),"",'I. Stream &amp; Compound Data'!W196/$J141*(1-Q$127)*(1-Q$123)*$K202)</f>
        <v>0</v>
      </c>
      <c r="R202" s="649">
        <f>IF(OR(R$122="",I141=""),"",'I. Stream &amp; Compound Data'!Z196/$J141*(1-R$127)*(1-R$123)*$K202)</f>
        <v>0</v>
      </c>
      <c r="S202" s="649">
        <f>IF(OR(S$122="",I141=""),"",'I. Stream &amp; Compound Data'!AC196/$J141*(1-S$127)*(1-S$123)*$K202)</f>
        <v>0</v>
      </c>
      <c r="T202" s="649" t="str">
        <f>IF(OR(T$122="",I141=""),"",'I. Stream &amp; Compound Data'!AF196/$J141*(1-T$127)*(1-T$123)*$K202)</f>
        <v/>
      </c>
      <c r="U202" s="648" t="str">
        <f>IF(OR(U$122="",I141=""),"",'I. Stream &amp; Compound Data'!AI196/$J141*(1-U$127)*(1-U$123)*$K202)</f>
        <v/>
      </c>
      <c r="V202" s="648" t="str">
        <f>IF(OR(V$122="",I141=""),"",'I. Stream &amp; Compound Data'!AL196/$J141*(1-V$127)*(1-V$123)*$K202)</f>
        <v/>
      </c>
      <c r="W202" s="648" t="str">
        <f>IF(OR(W$122="",I141=""),"",'I. Stream &amp; Compound Data'!AO196/$J141*(1-W$127)*(1-W$123)*$K202)</f>
        <v/>
      </c>
      <c r="X202" s="648" t="str">
        <f>IF(OR(X$122="",I141=""),"",'I. Stream &amp; Compound Data'!AR196/$J141*(1-X$127)*(1-X$123)*$K202)</f>
        <v/>
      </c>
      <c r="Y202" s="648" t="str">
        <f>IF(OR(Y$122="",I141=""),"",'I. Stream &amp; Compound Data'!AU196/$J141*(1-Y$127)*(1-Y$123)*$K202)</f>
        <v/>
      </c>
      <c r="Z202" s="648" t="str">
        <f>IF(OR(Z$122="",I141=""),"",'I. Stream &amp; Compound Data'!AX196/$J141*(1-Z$127)*(1-Z$123)*$K202)</f>
        <v/>
      </c>
      <c r="AA202" s="648" t="str">
        <f>IF(OR(AA$122="",I141=""),"",'I. Stream &amp; Compound Data'!BA196/$J141*(1-AA$127)*(1-AA$123)*$K202)</f>
        <v/>
      </c>
      <c r="AB202" s="648" t="str">
        <f>IF(OR(AB$122="",I141=""),"",'I. Stream &amp; Compound Data'!BD196/$J141*(1-AB$127)*(1-AB$123)*$K202)</f>
        <v/>
      </c>
      <c r="AC202" s="648" t="str">
        <f>IF(OR(AC$122="",I141=""),"",'I. Stream &amp; Compound Data'!BG196/$J141*(1-AC$127)*(1-AC$123)*$K202)</f>
        <v/>
      </c>
      <c r="AD202" s="648" t="str">
        <f>IF(OR(AD$122="",I141=""),"",'I. Stream &amp; Compound Data'!BJ196/$J141*(1-AD$127)*(1-AD$123)*$K202)</f>
        <v/>
      </c>
      <c r="AE202" s="648" t="str">
        <f>IF(OR(AE$122="",I141=""),"",'I. Stream &amp; Compound Data'!BM196/$J141*(1-AE$127)*(1-AE$123)*$K202)</f>
        <v/>
      </c>
      <c r="AF202" s="648" t="str">
        <f>IF(OR(AF$122="",I141=""),"",'I. Stream &amp; Compound Data'!BP196/$J141*(1-AF$127)*(1-AF$123)*$K202)</f>
        <v/>
      </c>
      <c r="AG202" s="648" t="str">
        <f>IF(OR(AG$122="",I141=""),"",'I. Stream &amp; Compound Data'!BS196/$J141*(1-AG$127)*(1-AG$123)*$K202)</f>
        <v/>
      </c>
      <c r="AH202" s="648" t="str">
        <f>IF(OR(AH$122="",I141=""),"",'I. Stream &amp; Compound Data'!BV196/$J141*(1-AH$127)*(1-AH$123)*$K202)</f>
        <v/>
      </c>
      <c r="AI202" s="648" t="str">
        <f>IF(OR(AI$122="",I141=""),"",'I. Stream &amp; Compound Data'!BY196/$J141*(1-AI$127)*(1-AI$123)*$K202)</f>
        <v/>
      </c>
      <c r="AJ202" s="648" t="str">
        <f>IF(OR(AJ$122="",I141=""),"",'I. Stream &amp; Compound Data'!CB196/$J141*(1-AJ$127)*(1-AJ$123)*$K202)</f>
        <v/>
      </c>
      <c r="AK202" s="648" t="str">
        <f>IF(OR(AK$122="",I141=""),"",'I. Stream &amp; Compound Data'!CE196/$J141*(1-AK$127)*(1-AK$123)*$K202)</f>
        <v/>
      </c>
      <c r="AL202" s="648" t="str">
        <f>IF(OR(AL$122="",I141=""),"",'I. Stream &amp; Compound Data'!CH196/$J141*(1-AL$127)*(1-AL$123)*$K202)</f>
        <v/>
      </c>
      <c r="AM202" s="648" t="str">
        <f>IF(OR(AM$122="",I141=""),"",'I. Stream &amp; Compound Data'!CK196/$J141*(1-AM$127)*(1-AM$123)*$K202)</f>
        <v/>
      </c>
      <c r="AN202" s="648" t="str">
        <f>IF(OR(AN$122="",I141=""),"",'I. Stream &amp; Compound Data'!CN196/$J141*(1-AN$127)*(1-AN$123)*$K202)</f>
        <v/>
      </c>
      <c r="AO202" s="648" t="str">
        <f>IF(OR(AO$122="",I141=""),"",'I. Stream &amp; Compound Data'!CQ196/$J141*(1-AO$127)*(1-AO$123)*$K202)</f>
        <v/>
      </c>
      <c r="AP202" s="648" t="str">
        <f>IF(OR(AP$122="",I141=""),"",'I. Stream &amp; Compound Data'!CT196/$J141*(1-AP$127)*(1-AP$123)*$K202)</f>
        <v/>
      </c>
      <c r="AQ202" s="648" t="str">
        <f>IF(OR(AQ$122="",I141=""),"",'I. Stream &amp; Compound Data'!CW196/$J141*(1-AQ$127)*(1-AQ$123)*$K202)</f>
        <v/>
      </c>
      <c r="AR202" s="648" t="str">
        <f>IF(OR(AR$122="",I141=""),"",'I. Stream &amp; Compound Data'!CZ196/$J141*(1-AR$127)*(1-AR$123)*$K202)</f>
        <v/>
      </c>
      <c r="AS202" s="648" t="str">
        <f>IF(OR(AS$122="",I141=""),"",'I. Stream &amp; Compound Data'!DC196/$J141*(1-AS$127)*(1-AS$123)*$K202)</f>
        <v/>
      </c>
      <c r="AT202" s="648" t="str">
        <f>IF(OR(AT$122="",I141=""),"",'I. Stream &amp; Compound Data'!DF196/$J141*(1-AT$127)*(1-AT$123)*$K202)</f>
        <v/>
      </c>
      <c r="AU202" s="648" t="str">
        <f>IF(OR(AU$122="",I141=""),"",'I. Stream &amp; Compound Data'!DI196/$J141*(1-AU$127)*(1-AU$123)*$K202)</f>
        <v/>
      </c>
      <c r="AV202" s="648" t="str">
        <f>IF(OR(AV$122="",I141=""),"",'I. Stream &amp; Compound Data'!DL196/$J141*(1-AV$127)*(1-AV$123)*$K202)</f>
        <v/>
      </c>
      <c r="AW202" s="648" t="str">
        <f>IF(OR(AW$122="",I141=""),"",'I. Stream &amp; Compound Data'!DO196/$J141*(1-AW$127)*(1-AW$123)*$K202)</f>
        <v/>
      </c>
      <c r="AX202" s="648" t="str">
        <f>IF(OR(AX$122="",I141=""),"",'I. Stream &amp; Compound Data'!DR196/$J141*(1-AX$127)*(1-AX$123)*$K202)</f>
        <v/>
      </c>
      <c r="AY202" s="647" t="str">
        <f>IF(OR(AY$122="",I141=""),"",'I. Stream &amp; Compound Data'!DU196/$J141*(1-AY$127)*(1-AY$123)*$K202)</f>
        <v/>
      </c>
      <c r="AZ202" s="336"/>
      <c r="BA202" s="632"/>
      <c r="BB202" s="632"/>
      <c r="BC202" s="632"/>
      <c r="BD202" s="632"/>
      <c r="BE202" s="632"/>
      <c r="BF202" s="632"/>
      <c r="BG202" s="632"/>
      <c r="BH202" s="632"/>
      <c r="BI202" s="632"/>
      <c r="BJ202" s="632"/>
      <c r="BK202" s="632"/>
      <c r="BL202" s="632"/>
      <c r="BM202" s="632"/>
      <c r="BN202" s="632"/>
      <c r="BO202" s="632"/>
      <c r="BP202" s="632"/>
      <c r="BQ202" s="632"/>
      <c r="BR202" s="632"/>
      <c r="BS202" s="632"/>
      <c r="BT202" s="632"/>
      <c r="BU202" s="632"/>
      <c r="BV202" s="632"/>
      <c r="BW202" s="632"/>
      <c r="BX202" s="632"/>
      <c r="BY202" s="632"/>
      <c r="BZ202" s="632"/>
      <c r="CA202" s="632"/>
      <c r="CB202" s="632"/>
      <c r="CC202" s="632"/>
      <c r="CD202" s="632"/>
      <c r="CE202" s="632"/>
      <c r="CF202" s="632"/>
      <c r="CG202" s="632"/>
      <c r="CH202" s="632"/>
      <c r="CI202" s="632"/>
      <c r="CJ202" s="632"/>
      <c r="CK202" s="632"/>
      <c r="CL202" s="632"/>
      <c r="CM202" s="632"/>
      <c r="CN202" s="631"/>
    </row>
    <row r="203" spans="2:92" ht="15.75" x14ac:dyDescent="0.2">
      <c r="B203" s="610"/>
      <c r="C203" s="336"/>
      <c r="D203" s="611"/>
      <c r="E203" s="612"/>
      <c r="F203" s="612"/>
      <c r="G203" s="612"/>
      <c r="H203" s="611"/>
      <c r="I203" s="637"/>
      <c r="J203" s="653">
        <f>'I. Stream &amp; Compound Data'!F273</f>
        <v>12</v>
      </c>
      <c r="K203" s="651" t="str">
        <f>IF('I. Stream &amp; Compound Data'!G273="","",IF('I. Stream &amp; Compound Data'!V273=1,0,1))</f>
        <v/>
      </c>
      <c r="L203" s="651" t="str">
        <f>IF(OR(L$122="",I142=""),"",'I. Stream &amp; Compound Data'!H197/$J142*(1-L$127)*(1-L$123)*$K203)</f>
        <v/>
      </c>
      <c r="M203" s="651" t="str">
        <f>IF(OR(M$122="",I142=""),"",'I. Stream &amp; Compound Data'!K197/$J142*(1-M$127)*(1-M$123)*$K203)</f>
        <v/>
      </c>
      <c r="N203" s="652" t="str">
        <f>IF(OR(N$122="",I142=""),"",'I. Stream &amp; Compound Data'!N197/$J142*(1-N$127)*(1-N$123)*$K203)</f>
        <v/>
      </c>
      <c r="O203" s="651" t="str">
        <f>IF(OR(O$122="",I142=""),"",'I. Stream &amp; Compound Data'!Q197/$J142*(1-O$127)*(1-O$123)*$K203)</f>
        <v/>
      </c>
      <c r="P203" s="651" t="str">
        <f>IF(OR(P$122="",I142=""),"",'I. Stream &amp; Compound Data'!T197/$J142*(1-P$127)*(1-P$123)*$K203)</f>
        <v/>
      </c>
      <c r="Q203" s="650" t="str">
        <f>IF(OR(Q$122="",I142=""),"",'I. Stream &amp; Compound Data'!W197/$J142*(1-Q$127)*(1-Q$123)*$K203)</f>
        <v/>
      </c>
      <c r="R203" s="649" t="str">
        <f>IF(OR(R$122="",I142=""),"",'I. Stream &amp; Compound Data'!Z197/$J142*(1-R$127)*(1-R$123)*$K203)</f>
        <v/>
      </c>
      <c r="S203" s="649" t="str">
        <f>IF(OR(S$122="",I142=""),"",'I. Stream &amp; Compound Data'!AC197/$J142*(1-S$127)*(1-S$123)*$K203)</f>
        <v/>
      </c>
      <c r="T203" s="649" t="str">
        <f>IF(OR(T$122="",I142=""),"",'I. Stream &amp; Compound Data'!AF197/$J142*(1-T$127)*(1-T$123)*$K203)</f>
        <v/>
      </c>
      <c r="U203" s="648" t="str">
        <f>IF(OR(U$122="",I142=""),"",'I. Stream &amp; Compound Data'!AI197/$J142*(1-U$127)*(1-U$123)*$K203)</f>
        <v/>
      </c>
      <c r="V203" s="648" t="str">
        <f>IF(OR(V$122="",I142=""),"",'I. Stream &amp; Compound Data'!AL197/$J142*(1-V$127)*(1-V$123)*$K203)</f>
        <v/>
      </c>
      <c r="W203" s="648" t="str">
        <f>IF(OR(W$122="",I142=""),"",'I. Stream &amp; Compound Data'!AO197/$J142*(1-W$127)*(1-W$123)*$K203)</f>
        <v/>
      </c>
      <c r="X203" s="648" t="str">
        <f>IF(OR(X$122="",I142=""),"",'I. Stream &amp; Compound Data'!AR197/$J142*(1-X$127)*(1-X$123)*$K203)</f>
        <v/>
      </c>
      <c r="Y203" s="648" t="str">
        <f>IF(OR(Y$122="",I142=""),"",'I. Stream &amp; Compound Data'!AU197/$J142*(1-Y$127)*(1-Y$123)*$K203)</f>
        <v/>
      </c>
      <c r="Z203" s="648" t="str">
        <f>IF(OR(Z$122="",I142=""),"",'I. Stream &amp; Compound Data'!AX197/$J142*(1-Z$127)*(1-Z$123)*$K203)</f>
        <v/>
      </c>
      <c r="AA203" s="648" t="str">
        <f>IF(OR(AA$122="",I142=""),"",'I. Stream &amp; Compound Data'!BA197/$J142*(1-AA$127)*(1-AA$123)*$K203)</f>
        <v/>
      </c>
      <c r="AB203" s="648" t="str">
        <f>IF(OR(AB$122="",I142=""),"",'I. Stream &amp; Compound Data'!BD197/$J142*(1-AB$127)*(1-AB$123)*$K203)</f>
        <v/>
      </c>
      <c r="AC203" s="648" t="str">
        <f>IF(OR(AC$122="",I142=""),"",'I. Stream &amp; Compound Data'!BG197/$J142*(1-AC$127)*(1-AC$123)*$K203)</f>
        <v/>
      </c>
      <c r="AD203" s="648" t="str">
        <f>IF(OR(AD$122="",I142=""),"",'I. Stream &amp; Compound Data'!BJ197/$J142*(1-AD$127)*(1-AD$123)*$K203)</f>
        <v/>
      </c>
      <c r="AE203" s="648" t="str">
        <f>IF(OR(AE$122="",I142=""),"",'I. Stream &amp; Compound Data'!BM197/$J142*(1-AE$127)*(1-AE$123)*$K203)</f>
        <v/>
      </c>
      <c r="AF203" s="648" t="str">
        <f>IF(OR(AF$122="",I142=""),"",'I. Stream &amp; Compound Data'!BP197/$J142*(1-AF$127)*(1-AF$123)*$K203)</f>
        <v/>
      </c>
      <c r="AG203" s="648" t="str">
        <f>IF(OR(AG$122="",I142=""),"",'I. Stream &amp; Compound Data'!BS197/$J142*(1-AG$127)*(1-AG$123)*$K203)</f>
        <v/>
      </c>
      <c r="AH203" s="648" t="str">
        <f>IF(OR(AH$122="",I142=""),"",'I. Stream &amp; Compound Data'!BV197/$J142*(1-AH$127)*(1-AH$123)*$K203)</f>
        <v/>
      </c>
      <c r="AI203" s="648" t="str">
        <f>IF(OR(AI$122="",I142=""),"",'I. Stream &amp; Compound Data'!BY197/$J142*(1-AI$127)*(1-AI$123)*$K203)</f>
        <v/>
      </c>
      <c r="AJ203" s="648" t="str">
        <f>IF(OR(AJ$122="",I142=""),"",'I. Stream &amp; Compound Data'!CB197/$J142*(1-AJ$127)*(1-AJ$123)*$K203)</f>
        <v/>
      </c>
      <c r="AK203" s="648" t="str">
        <f>IF(OR(AK$122="",I142=""),"",'I. Stream &amp; Compound Data'!CE197/$J142*(1-AK$127)*(1-AK$123)*$K203)</f>
        <v/>
      </c>
      <c r="AL203" s="648" t="str">
        <f>IF(OR(AL$122="",I142=""),"",'I. Stream &amp; Compound Data'!CH197/$J142*(1-AL$127)*(1-AL$123)*$K203)</f>
        <v/>
      </c>
      <c r="AM203" s="648" t="str">
        <f>IF(OR(AM$122="",I142=""),"",'I. Stream &amp; Compound Data'!CK197/$J142*(1-AM$127)*(1-AM$123)*$K203)</f>
        <v/>
      </c>
      <c r="AN203" s="648" t="str">
        <f>IF(OR(AN$122="",I142=""),"",'I. Stream &amp; Compound Data'!CN197/$J142*(1-AN$127)*(1-AN$123)*$K203)</f>
        <v/>
      </c>
      <c r="AO203" s="648" t="str">
        <f>IF(OR(AO$122="",I142=""),"",'I. Stream &amp; Compound Data'!CQ197/$J142*(1-AO$127)*(1-AO$123)*$K203)</f>
        <v/>
      </c>
      <c r="AP203" s="648" t="str">
        <f>IF(OR(AP$122="",I142=""),"",'I. Stream &amp; Compound Data'!CT197/$J142*(1-AP$127)*(1-AP$123)*$K203)</f>
        <v/>
      </c>
      <c r="AQ203" s="648" t="str">
        <f>IF(OR(AQ$122="",I142=""),"",'I. Stream &amp; Compound Data'!CW197/$J142*(1-AQ$127)*(1-AQ$123)*$K203)</f>
        <v/>
      </c>
      <c r="AR203" s="648" t="str">
        <f>IF(OR(AR$122="",I142=""),"",'I. Stream &amp; Compound Data'!CZ197/$J142*(1-AR$127)*(1-AR$123)*$K203)</f>
        <v/>
      </c>
      <c r="AS203" s="648" t="str">
        <f>IF(OR(AS$122="",I142=""),"",'I. Stream &amp; Compound Data'!DC197/$J142*(1-AS$127)*(1-AS$123)*$K203)</f>
        <v/>
      </c>
      <c r="AT203" s="648" t="str">
        <f>IF(OR(AT$122="",I142=""),"",'I. Stream &amp; Compound Data'!DF197/$J142*(1-AT$127)*(1-AT$123)*$K203)</f>
        <v/>
      </c>
      <c r="AU203" s="648" t="str">
        <f>IF(OR(AU$122="",I142=""),"",'I. Stream &amp; Compound Data'!DI197/$J142*(1-AU$127)*(1-AU$123)*$K203)</f>
        <v/>
      </c>
      <c r="AV203" s="648" t="str">
        <f>IF(OR(AV$122="",I142=""),"",'I. Stream &amp; Compound Data'!DL197/$J142*(1-AV$127)*(1-AV$123)*$K203)</f>
        <v/>
      </c>
      <c r="AW203" s="648" t="str">
        <f>IF(OR(AW$122="",I142=""),"",'I. Stream &amp; Compound Data'!DO197/$J142*(1-AW$127)*(1-AW$123)*$K203)</f>
        <v/>
      </c>
      <c r="AX203" s="648" t="str">
        <f>IF(OR(AX$122="",I142=""),"",'I. Stream &amp; Compound Data'!DR197/$J142*(1-AX$127)*(1-AX$123)*$K203)</f>
        <v/>
      </c>
      <c r="AY203" s="647" t="str">
        <f>IF(OR(AY$122="",I142=""),"",'I. Stream &amp; Compound Data'!DU197/$J142*(1-AY$127)*(1-AY$123)*$K203)</f>
        <v/>
      </c>
      <c r="AZ203" s="336"/>
      <c r="BA203" s="632"/>
      <c r="BB203" s="632"/>
      <c r="BC203" s="632"/>
      <c r="BD203" s="632"/>
      <c r="BE203" s="632"/>
      <c r="BF203" s="632"/>
      <c r="BG203" s="632"/>
      <c r="BH203" s="632"/>
      <c r="BI203" s="632"/>
      <c r="BJ203" s="632"/>
      <c r="BK203" s="632"/>
      <c r="BL203" s="632"/>
      <c r="BM203" s="632"/>
      <c r="BN203" s="632"/>
      <c r="BO203" s="632"/>
      <c r="BP203" s="632"/>
      <c r="BQ203" s="632"/>
      <c r="BR203" s="632"/>
      <c r="BS203" s="632"/>
      <c r="BT203" s="632"/>
      <c r="BU203" s="632"/>
      <c r="BV203" s="632"/>
      <c r="BW203" s="632"/>
      <c r="BX203" s="632"/>
      <c r="BY203" s="632"/>
      <c r="BZ203" s="632"/>
      <c r="CA203" s="632"/>
      <c r="CB203" s="632"/>
      <c r="CC203" s="632"/>
      <c r="CD203" s="632"/>
      <c r="CE203" s="632"/>
      <c r="CF203" s="632"/>
      <c r="CG203" s="632"/>
      <c r="CH203" s="632"/>
      <c r="CI203" s="632"/>
      <c r="CJ203" s="632"/>
      <c r="CK203" s="632"/>
      <c r="CL203" s="632"/>
      <c r="CM203" s="632"/>
      <c r="CN203" s="631"/>
    </row>
    <row r="204" spans="2:92" ht="15.75" x14ac:dyDescent="0.2">
      <c r="B204" s="610"/>
      <c r="C204" s="336"/>
      <c r="D204" s="611"/>
      <c r="E204" s="612"/>
      <c r="F204" s="612"/>
      <c r="G204" s="612"/>
      <c r="H204" s="611"/>
      <c r="I204" s="637"/>
      <c r="J204" s="653">
        <f>'I. Stream &amp; Compound Data'!F274</f>
        <v>13</v>
      </c>
      <c r="K204" s="651" t="str">
        <f>IF('I. Stream &amp; Compound Data'!G274="","",IF('I. Stream &amp; Compound Data'!V274=1,0,1))</f>
        <v/>
      </c>
      <c r="L204" s="651" t="str">
        <f>IF(OR(L$122="",I143=""),"",'I. Stream &amp; Compound Data'!H198/$J143*(1-L$127)*(1-L$123)*$K204)</f>
        <v/>
      </c>
      <c r="M204" s="651" t="str">
        <f>IF(OR(M$122="",I143=""),"",'I. Stream &amp; Compound Data'!K198/$J143*(1-M$127)*(1-M$123)*$K204)</f>
        <v/>
      </c>
      <c r="N204" s="652" t="str">
        <f>IF(OR(N$122="",I143=""),"",'I. Stream &amp; Compound Data'!N198/$J143*(1-N$127)*(1-N$123)*$K204)</f>
        <v/>
      </c>
      <c r="O204" s="651" t="str">
        <f>IF(OR(O$122="",I143=""),"",'I. Stream &amp; Compound Data'!Q198/$J143*(1-O$127)*(1-O$123)*$K204)</f>
        <v/>
      </c>
      <c r="P204" s="651" t="str">
        <f>IF(OR(P$122="",I143=""),"",'I. Stream &amp; Compound Data'!T198/$J143*(1-P$127)*(1-P$123)*$K204)</f>
        <v/>
      </c>
      <c r="Q204" s="650" t="str">
        <f>IF(OR(Q$122="",I143=""),"",'I. Stream &amp; Compound Data'!W198/$J143*(1-Q$127)*(1-Q$123)*$K204)</f>
        <v/>
      </c>
      <c r="R204" s="649" t="str">
        <f>IF(OR(R$122="",I143=""),"",'I. Stream &amp; Compound Data'!Z198/$J143*(1-R$127)*(1-R$123)*$K204)</f>
        <v/>
      </c>
      <c r="S204" s="649" t="str">
        <f>IF(OR(S$122="",I143=""),"",'I. Stream &amp; Compound Data'!AC198/$J143*(1-S$127)*(1-S$123)*$K204)</f>
        <v/>
      </c>
      <c r="T204" s="649" t="str">
        <f>IF(OR(T$122="",I143=""),"",'I. Stream &amp; Compound Data'!AF198/$J143*(1-T$127)*(1-T$123)*$K204)</f>
        <v/>
      </c>
      <c r="U204" s="648" t="str">
        <f>IF(OR(U$122="",I143=""),"",'I. Stream &amp; Compound Data'!AI198/$J143*(1-U$127)*(1-U$123)*$K204)</f>
        <v/>
      </c>
      <c r="V204" s="648" t="str">
        <f>IF(OR(V$122="",I143=""),"",'I. Stream &amp; Compound Data'!AL198/$J143*(1-V$127)*(1-V$123)*$K204)</f>
        <v/>
      </c>
      <c r="W204" s="648" t="str">
        <f>IF(OR(W$122="",I143=""),"",'I. Stream &amp; Compound Data'!AO198/$J143*(1-W$127)*(1-W$123)*$K204)</f>
        <v/>
      </c>
      <c r="X204" s="648" t="str">
        <f>IF(OR(X$122="",I143=""),"",'I. Stream &amp; Compound Data'!AR198/$J143*(1-X$127)*(1-X$123)*$K204)</f>
        <v/>
      </c>
      <c r="Y204" s="648" t="str">
        <f>IF(OR(Y$122="",I143=""),"",'I. Stream &amp; Compound Data'!AU198/$J143*(1-Y$127)*(1-Y$123)*$K204)</f>
        <v/>
      </c>
      <c r="Z204" s="648" t="str">
        <f>IF(OR(Z$122="",I143=""),"",'I. Stream &amp; Compound Data'!AX198/$J143*(1-Z$127)*(1-Z$123)*$K204)</f>
        <v/>
      </c>
      <c r="AA204" s="648" t="str">
        <f>IF(OR(AA$122="",I143=""),"",'I. Stream &amp; Compound Data'!BA198/$J143*(1-AA$127)*(1-AA$123)*$K204)</f>
        <v/>
      </c>
      <c r="AB204" s="648" t="str">
        <f>IF(OR(AB$122="",I143=""),"",'I. Stream &amp; Compound Data'!BD198/$J143*(1-AB$127)*(1-AB$123)*$K204)</f>
        <v/>
      </c>
      <c r="AC204" s="648" t="str">
        <f>IF(OR(AC$122="",I143=""),"",'I. Stream &amp; Compound Data'!BG198/$J143*(1-AC$127)*(1-AC$123)*$K204)</f>
        <v/>
      </c>
      <c r="AD204" s="648" t="str">
        <f>IF(OR(AD$122="",I143=""),"",'I. Stream &amp; Compound Data'!BJ198/$J143*(1-AD$127)*(1-AD$123)*$K204)</f>
        <v/>
      </c>
      <c r="AE204" s="648" t="str">
        <f>IF(OR(AE$122="",I143=""),"",'I. Stream &amp; Compound Data'!BM198/$J143*(1-AE$127)*(1-AE$123)*$K204)</f>
        <v/>
      </c>
      <c r="AF204" s="648" t="str">
        <f>IF(OR(AF$122="",I143=""),"",'I. Stream &amp; Compound Data'!BP198/$J143*(1-AF$127)*(1-AF$123)*$K204)</f>
        <v/>
      </c>
      <c r="AG204" s="648" t="str">
        <f>IF(OR(AG$122="",I143=""),"",'I. Stream &amp; Compound Data'!BS198/$J143*(1-AG$127)*(1-AG$123)*$K204)</f>
        <v/>
      </c>
      <c r="AH204" s="648" t="str">
        <f>IF(OR(AH$122="",I143=""),"",'I. Stream &amp; Compound Data'!BV198/$J143*(1-AH$127)*(1-AH$123)*$K204)</f>
        <v/>
      </c>
      <c r="AI204" s="648" t="str">
        <f>IF(OR(AI$122="",I143=""),"",'I. Stream &amp; Compound Data'!BY198/$J143*(1-AI$127)*(1-AI$123)*$K204)</f>
        <v/>
      </c>
      <c r="AJ204" s="648" t="str">
        <f>IF(OR(AJ$122="",I143=""),"",'I. Stream &amp; Compound Data'!CB198/$J143*(1-AJ$127)*(1-AJ$123)*$K204)</f>
        <v/>
      </c>
      <c r="AK204" s="648" t="str">
        <f>IF(OR(AK$122="",I143=""),"",'I. Stream &amp; Compound Data'!CE198/$J143*(1-AK$127)*(1-AK$123)*$K204)</f>
        <v/>
      </c>
      <c r="AL204" s="648" t="str">
        <f>IF(OR(AL$122="",I143=""),"",'I. Stream &amp; Compound Data'!CH198/$J143*(1-AL$127)*(1-AL$123)*$K204)</f>
        <v/>
      </c>
      <c r="AM204" s="648" t="str">
        <f>IF(OR(AM$122="",I143=""),"",'I. Stream &amp; Compound Data'!CK198/$J143*(1-AM$127)*(1-AM$123)*$K204)</f>
        <v/>
      </c>
      <c r="AN204" s="648" t="str">
        <f>IF(OR(AN$122="",I143=""),"",'I. Stream &amp; Compound Data'!CN198/$J143*(1-AN$127)*(1-AN$123)*$K204)</f>
        <v/>
      </c>
      <c r="AO204" s="648" t="str">
        <f>IF(OR(AO$122="",I143=""),"",'I. Stream &amp; Compound Data'!CQ198/$J143*(1-AO$127)*(1-AO$123)*$K204)</f>
        <v/>
      </c>
      <c r="AP204" s="648" t="str">
        <f>IF(OR(AP$122="",I143=""),"",'I. Stream &amp; Compound Data'!CT198/$J143*(1-AP$127)*(1-AP$123)*$K204)</f>
        <v/>
      </c>
      <c r="AQ204" s="648" t="str">
        <f>IF(OR(AQ$122="",I143=""),"",'I. Stream &amp; Compound Data'!CW198/$J143*(1-AQ$127)*(1-AQ$123)*$K204)</f>
        <v/>
      </c>
      <c r="AR204" s="648" t="str">
        <f>IF(OR(AR$122="",I143=""),"",'I. Stream &amp; Compound Data'!CZ198/$J143*(1-AR$127)*(1-AR$123)*$K204)</f>
        <v/>
      </c>
      <c r="AS204" s="648" t="str">
        <f>IF(OR(AS$122="",I143=""),"",'I. Stream &amp; Compound Data'!DC198/$J143*(1-AS$127)*(1-AS$123)*$K204)</f>
        <v/>
      </c>
      <c r="AT204" s="648" t="str">
        <f>IF(OR(AT$122="",I143=""),"",'I. Stream &amp; Compound Data'!DF198/$J143*(1-AT$127)*(1-AT$123)*$K204)</f>
        <v/>
      </c>
      <c r="AU204" s="648" t="str">
        <f>IF(OR(AU$122="",I143=""),"",'I. Stream &amp; Compound Data'!DI198/$J143*(1-AU$127)*(1-AU$123)*$K204)</f>
        <v/>
      </c>
      <c r="AV204" s="648" t="str">
        <f>IF(OR(AV$122="",I143=""),"",'I. Stream &amp; Compound Data'!DL198/$J143*(1-AV$127)*(1-AV$123)*$K204)</f>
        <v/>
      </c>
      <c r="AW204" s="648" t="str">
        <f>IF(OR(AW$122="",I143=""),"",'I. Stream &amp; Compound Data'!DO198/$J143*(1-AW$127)*(1-AW$123)*$K204)</f>
        <v/>
      </c>
      <c r="AX204" s="648" t="str">
        <f>IF(OR(AX$122="",I143=""),"",'I. Stream &amp; Compound Data'!DR198/$J143*(1-AX$127)*(1-AX$123)*$K204)</f>
        <v/>
      </c>
      <c r="AY204" s="647" t="str">
        <f>IF(OR(AY$122="",I143=""),"",'I. Stream &amp; Compound Data'!DU198/$J143*(1-AY$127)*(1-AY$123)*$K204)</f>
        <v/>
      </c>
      <c r="AZ204" s="336"/>
      <c r="BA204" s="632"/>
      <c r="BB204" s="632"/>
      <c r="BC204" s="632"/>
      <c r="BD204" s="632"/>
      <c r="BE204" s="632"/>
      <c r="BF204" s="632"/>
      <c r="BG204" s="632"/>
      <c r="BH204" s="632"/>
      <c r="BI204" s="632"/>
      <c r="BJ204" s="632"/>
      <c r="BK204" s="632"/>
      <c r="BL204" s="632"/>
      <c r="BM204" s="632"/>
      <c r="BN204" s="632"/>
      <c r="BO204" s="632"/>
      <c r="BP204" s="632"/>
      <c r="BQ204" s="632"/>
      <c r="BR204" s="632"/>
      <c r="BS204" s="632"/>
      <c r="BT204" s="632"/>
      <c r="BU204" s="632"/>
      <c r="BV204" s="632"/>
      <c r="BW204" s="632"/>
      <c r="BX204" s="632"/>
      <c r="BY204" s="632"/>
      <c r="BZ204" s="632"/>
      <c r="CA204" s="632"/>
      <c r="CB204" s="632"/>
      <c r="CC204" s="632"/>
      <c r="CD204" s="632"/>
      <c r="CE204" s="632"/>
      <c r="CF204" s="632"/>
      <c r="CG204" s="632"/>
      <c r="CH204" s="632"/>
      <c r="CI204" s="632"/>
      <c r="CJ204" s="632"/>
      <c r="CK204" s="632"/>
      <c r="CL204" s="632"/>
      <c r="CM204" s="632"/>
      <c r="CN204" s="631"/>
    </row>
    <row r="205" spans="2:92" ht="15.75" x14ac:dyDescent="0.2">
      <c r="B205" s="610"/>
      <c r="C205" s="336"/>
      <c r="D205" s="611"/>
      <c r="E205" s="612"/>
      <c r="F205" s="612"/>
      <c r="G205" s="612"/>
      <c r="H205" s="611"/>
      <c r="I205" s="637"/>
      <c r="J205" s="653">
        <f>'I. Stream &amp; Compound Data'!F275</f>
        <v>14</v>
      </c>
      <c r="K205" s="651" t="str">
        <f>IF('I. Stream &amp; Compound Data'!G275="","",IF('I. Stream &amp; Compound Data'!V275=1,0,1))</f>
        <v/>
      </c>
      <c r="L205" s="651" t="str">
        <f>IF(OR(L$122="",I144=""),"",'I. Stream &amp; Compound Data'!H199/$J144*(1-L$127)*(1-L$123)*$K205)</f>
        <v/>
      </c>
      <c r="M205" s="651" t="str">
        <f>IF(OR(M$122="",I144=""),"",'I. Stream &amp; Compound Data'!K199/$J144*(1-M$127)*(1-M$123)*$K205)</f>
        <v/>
      </c>
      <c r="N205" s="652" t="str">
        <f>IF(OR(N$122="",I144=""),"",'I. Stream &amp; Compound Data'!N199/$J144*(1-N$127)*(1-N$123)*$K205)</f>
        <v/>
      </c>
      <c r="O205" s="651" t="str">
        <f>IF(OR(O$122="",I144=""),"",'I. Stream &amp; Compound Data'!Q199/$J144*(1-O$127)*(1-O$123)*$K205)</f>
        <v/>
      </c>
      <c r="P205" s="651" t="str">
        <f>IF(OR(P$122="",I144=""),"",'I. Stream &amp; Compound Data'!T199/$J144*(1-P$127)*(1-P$123)*$K205)</f>
        <v/>
      </c>
      <c r="Q205" s="650" t="str">
        <f>IF(OR(Q$122="",I144=""),"",'I. Stream &amp; Compound Data'!W199/$J144*(1-Q$127)*(1-Q$123)*$K205)</f>
        <v/>
      </c>
      <c r="R205" s="649" t="str">
        <f>IF(OR(R$122="",I144=""),"",'I. Stream &amp; Compound Data'!Z199/$J144*(1-R$127)*(1-R$123)*$K205)</f>
        <v/>
      </c>
      <c r="S205" s="649" t="str">
        <f>IF(OR(S$122="",I144=""),"",'I. Stream &amp; Compound Data'!AC199/$J144*(1-S$127)*(1-S$123)*$K205)</f>
        <v/>
      </c>
      <c r="T205" s="649" t="str">
        <f>IF(OR(T$122="",I144=""),"",'I. Stream &amp; Compound Data'!AF199/$J144*(1-T$127)*(1-T$123)*$K205)</f>
        <v/>
      </c>
      <c r="U205" s="648" t="str">
        <f>IF(OR(U$122="",I144=""),"",'I. Stream &amp; Compound Data'!AI199/$J144*(1-U$127)*(1-U$123)*$K205)</f>
        <v/>
      </c>
      <c r="V205" s="648" t="str">
        <f>IF(OR(V$122="",I144=""),"",'I. Stream &amp; Compound Data'!AL199/$J144*(1-V$127)*(1-V$123)*$K205)</f>
        <v/>
      </c>
      <c r="W205" s="648" t="str">
        <f>IF(OR(W$122="",I144=""),"",'I. Stream &amp; Compound Data'!AO199/$J144*(1-W$127)*(1-W$123)*$K205)</f>
        <v/>
      </c>
      <c r="X205" s="648" t="str">
        <f>IF(OR(X$122="",I144=""),"",'I. Stream &amp; Compound Data'!AR199/$J144*(1-X$127)*(1-X$123)*$K205)</f>
        <v/>
      </c>
      <c r="Y205" s="648" t="str">
        <f>IF(OR(Y$122="",I144=""),"",'I. Stream &amp; Compound Data'!AU199/$J144*(1-Y$127)*(1-Y$123)*$K205)</f>
        <v/>
      </c>
      <c r="Z205" s="648" t="str">
        <f>IF(OR(Z$122="",I144=""),"",'I. Stream &amp; Compound Data'!AX199/$J144*(1-Z$127)*(1-Z$123)*$K205)</f>
        <v/>
      </c>
      <c r="AA205" s="648" t="str">
        <f>IF(OR(AA$122="",I144=""),"",'I. Stream &amp; Compound Data'!BA199/$J144*(1-AA$127)*(1-AA$123)*$K205)</f>
        <v/>
      </c>
      <c r="AB205" s="648" t="str">
        <f>IF(OR(AB$122="",I144=""),"",'I. Stream &amp; Compound Data'!BD199/$J144*(1-AB$127)*(1-AB$123)*$K205)</f>
        <v/>
      </c>
      <c r="AC205" s="648" t="str">
        <f>IF(OR(AC$122="",I144=""),"",'I. Stream &amp; Compound Data'!BG199/$J144*(1-AC$127)*(1-AC$123)*$K205)</f>
        <v/>
      </c>
      <c r="AD205" s="648" t="str">
        <f>IF(OR(AD$122="",I144=""),"",'I. Stream &amp; Compound Data'!BJ199/$J144*(1-AD$127)*(1-AD$123)*$K205)</f>
        <v/>
      </c>
      <c r="AE205" s="648" t="str">
        <f>IF(OR(AE$122="",I144=""),"",'I. Stream &amp; Compound Data'!BM199/$J144*(1-AE$127)*(1-AE$123)*$K205)</f>
        <v/>
      </c>
      <c r="AF205" s="648" t="str">
        <f>IF(OR(AF$122="",I144=""),"",'I. Stream &amp; Compound Data'!BP199/$J144*(1-AF$127)*(1-AF$123)*$K205)</f>
        <v/>
      </c>
      <c r="AG205" s="648" t="str">
        <f>IF(OR(AG$122="",I144=""),"",'I. Stream &amp; Compound Data'!BS199/$J144*(1-AG$127)*(1-AG$123)*$K205)</f>
        <v/>
      </c>
      <c r="AH205" s="648" t="str">
        <f>IF(OR(AH$122="",I144=""),"",'I. Stream &amp; Compound Data'!BV199/$J144*(1-AH$127)*(1-AH$123)*$K205)</f>
        <v/>
      </c>
      <c r="AI205" s="648" t="str">
        <f>IF(OR(AI$122="",I144=""),"",'I. Stream &amp; Compound Data'!BY199/$J144*(1-AI$127)*(1-AI$123)*$K205)</f>
        <v/>
      </c>
      <c r="AJ205" s="648" t="str">
        <f>IF(OR(AJ$122="",I144=""),"",'I. Stream &amp; Compound Data'!CB199/$J144*(1-AJ$127)*(1-AJ$123)*$K205)</f>
        <v/>
      </c>
      <c r="AK205" s="648" t="str">
        <f>IF(OR(AK$122="",I144=""),"",'I. Stream &amp; Compound Data'!CE199/$J144*(1-AK$127)*(1-AK$123)*$K205)</f>
        <v/>
      </c>
      <c r="AL205" s="648" t="str">
        <f>IF(OR(AL$122="",I144=""),"",'I. Stream &amp; Compound Data'!CH199/$J144*(1-AL$127)*(1-AL$123)*$K205)</f>
        <v/>
      </c>
      <c r="AM205" s="648" t="str">
        <f>IF(OR(AM$122="",I144=""),"",'I. Stream &amp; Compound Data'!CK199/$J144*(1-AM$127)*(1-AM$123)*$K205)</f>
        <v/>
      </c>
      <c r="AN205" s="648" t="str">
        <f>IF(OR(AN$122="",I144=""),"",'I. Stream &amp; Compound Data'!CN199/$J144*(1-AN$127)*(1-AN$123)*$K205)</f>
        <v/>
      </c>
      <c r="AO205" s="648" t="str">
        <f>IF(OR(AO$122="",I144=""),"",'I. Stream &amp; Compound Data'!CQ199/$J144*(1-AO$127)*(1-AO$123)*$K205)</f>
        <v/>
      </c>
      <c r="AP205" s="648" t="str">
        <f>IF(OR(AP$122="",I144=""),"",'I. Stream &amp; Compound Data'!CT199/$J144*(1-AP$127)*(1-AP$123)*$K205)</f>
        <v/>
      </c>
      <c r="AQ205" s="648" t="str">
        <f>IF(OR(AQ$122="",I144=""),"",'I. Stream &amp; Compound Data'!CW199/$J144*(1-AQ$127)*(1-AQ$123)*$K205)</f>
        <v/>
      </c>
      <c r="AR205" s="648" t="str">
        <f>IF(OR(AR$122="",I144=""),"",'I. Stream &amp; Compound Data'!CZ199/$J144*(1-AR$127)*(1-AR$123)*$K205)</f>
        <v/>
      </c>
      <c r="AS205" s="648" t="str">
        <f>IF(OR(AS$122="",I144=""),"",'I. Stream &amp; Compound Data'!DC199/$J144*(1-AS$127)*(1-AS$123)*$K205)</f>
        <v/>
      </c>
      <c r="AT205" s="648" t="str">
        <f>IF(OR(AT$122="",I144=""),"",'I. Stream &amp; Compound Data'!DF199/$J144*(1-AT$127)*(1-AT$123)*$K205)</f>
        <v/>
      </c>
      <c r="AU205" s="648" t="str">
        <f>IF(OR(AU$122="",I144=""),"",'I. Stream &amp; Compound Data'!DI199/$J144*(1-AU$127)*(1-AU$123)*$K205)</f>
        <v/>
      </c>
      <c r="AV205" s="648" t="str">
        <f>IF(OR(AV$122="",I144=""),"",'I. Stream &amp; Compound Data'!DL199/$J144*(1-AV$127)*(1-AV$123)*$K205)</f>
        <v/>
      </c>
      <c r="AW205" s="648" t="str">
        <f>IF(OR(AW$122="",I144=""),"",'I. Stream &amp; Compound Data'!DO199/$J144*(1-AW$127)*(1-AW$123)*$K205)</f>
        <v/>
      </c>
      <c r="AX205" s="648" t="str">
        <f>IF(OR(AX$122="",I144=""),"",'I. Stream &amp; Compound Data'!DR199/$J144*(1-AX$127)*(1-AX$123)*$K205)</f>
        <v/>
      </c>
      <c r="AY205" s="647" t="str">
        <f>IF(OR(AY$122="",I144=""),"",'I. Stream &amp; Compound Data'!DU199/$J144*(1-AY$127)*(1-AY$123)*$K205)</f>
        <v/>
      </c>
      <c r="AZ205" s="336"/>
      <c r="BA205" s="632"/>
      <c r="BB205" s="632"/>
      <c r="BC205" s="632"/>
      <c r="BD205" s="632"/>
      <c r="BE205" s="632"/>
      <c r="BF205" s="632"/>
      <c r="BG205" s="632"/>
      <c r="BH205" s="632"/>
      <c r="BI205" s="632"/>
      <c r="BJ205" s="632"/>
      <c r="BK205" s="632"/>
      <c r="BL205" s="632"/>
      <c r="BM205" s="632"/>
      <c r="BN205" s="632"/>
      <c r="BO205" s="632"/>
      <c r="BP205" s="632"/>
      <c r="BQ205" s="632"/>
      <c r="BR205" s="632"/>
      <c r="BS205" s="632"/>
      <c r="BT205" s="632"/>
      <c r="BU205" s="632"/>
      <c r="BV205" s="632"/>
      <c r="BW205" s="632"/>
      <c r="BX205" s="632"/>
      <c r="BY205" s="632"/>
      <c r="BZ205" s="632"/>
      <c r="CA205" s="632"/>
      <c r="CB205" s="632"/>
      <c r="CC205" s="632"/>
      <c r="CD205" s="632"/>
      <c r="CE205" s="632"/>
      <c r="CF205" s="632"/>
      <c r="CG205" s="632"/>
      <c r="CH205" s="632"/>
      <c r="CI205" s="632"/>
      <c r="CJ205" s="632"/>
      <c r="CK205" s="632"/>
      <c r="CL205" s="632"/>
      <c r="CM205" s="632"/>
      <c r="CN205" s="631"/>
    </row>
    <row r="206" spans="2:92" ht="15.75" x14ac:dyDescent="0.2">
      <c r="B206" s="610"/>
      <c r="C206" s="336"/>
      <c r="D206" s="611"/>
      <c r="E206" s="612"/>
      <c r="F206" s="612"/>
      <c r="G206" s="612"/>
      <c r="H206" s="611"/>
      <c r="I206" s="637"/>
      <c r="J206" s="653">
        <f>'I. Stream &amp; Compound Data'!F276</f>
        <v>15</v>
      </c>
      <c r="K206" s="651" t="str">
        <f>IF('I. Stream &amp; Compound Data'!G276="","",IF('I. Stream &amp; Compound Data'!V276=1,0,1))</f>
        <v/>
      </c>
      <c r="L206" s="651" t="str">
        <f>IF(OR(L$122="",I145=""),"",'I. Stream &amp; Compound Data'!H200/$J145*(1-L$127)*(1-L$123)*$K206)</f>
        <v/>
      </c>
      <c r="M206" s="651" t="str">
        <f>IF(OR(M$122="",I145=""),"",'I. Stream &amp; Compound Data'!K200/$J145*(1-M$127)*(1-M$123)*$K206)</f>
        <v/>
      </c>
      <c r="N206" s="652" t="str">
        <f>IF(OR(N$122="",I145=""),"",'I. Stream &amp; Compound Data'!N200/$J145*(1-N$127)*(1-N$123)*$K206)</f>
        <v/>
      </c>
      <c r="O206" s="651" t="str">
        <f>IF(OR(O$122="",I145=""),"",'I. Stream &amp; Compound Data'!Q200/$J145*(1-O$127)*(1-O$123)*$K206)</f>
        <v/>
      </c>
      <c r="P206" s="651" t="str">
        <f>IF(OR(P$122="",I145=""),"",'I. Stream &amp; Compound Data'!T200/$J145*(1-P$127)*(1-P$123)*$K206)</f>
        <v/>
      </c>
      <c r="Q206" s="650" t="str">
        <f>IF(OR(Q$122="",I145=""),"",'I. Stream &amp; Compound Data'!W200/$J145*(1-Q$127)*(1-Q$123)*$K206)</f>
        <v/>
      </c>
      <c r="R206" s="649" t="str">
        <f>IF(OR(R$122="",I145=""),"",'I. Stream &amp; Compound Data'!Z200/$J145*(1-R$127)*(1-R$123)*$K206)</f>
        <v/>
      </c>
      <c r="S206" s="649" t="str">
        <f>IF(OR(S$122="",I145=""),"",'I. Stream &amp; Compound Data'!AC200/$J145*(1-S$127)*(1-S$123)*$K206)</f>
        <v/>
      </c>
      <c r="T206" s="649" t="str">
        <f>IF(OR(T$122="",I145=""),"",'I. Stream &amp; Compound Data'!AF200/$J145*(1-T$127)*(1-T$123)*$K206)</f>
        <v/>
      </c>
      <c r="U206" s="648" t="str">
        <f>IF(OR(U$122="",I145=""),"",'I. Stream &amp; Compound Data'!AI200/$J145*(1-U$127)*(1-U$123)*$K206)</f>
        <v/>
      </c>
      <c r="V206" s="648" t="str">
        <f>IF(OR(V$122="",I145=""),"",'I. Stream &amp; Compound Data'!AL200/$J145*(1-V$127)*(1-V$123)*$K206)</f>
        <v/>
      </c>
      <c r="W206" s="648" t="str">
        <f>IF(OR(W$122="",I145=""),"",'I. Stream &amp; Compound Data'!AO200/$J145*(1-W$127)*(1-W$123)*$K206)</f>
        <v/>
      </c>
      <c r="X206" s="648" t="str">
        <f>IF(OR(X$122="",I145=""),"",'I. Stream &amp; Compound Data'!AR200/$J145*(1-X$127)*(1-X$123)*$K206)</f>
        <v/>
      </c>
      <c r="Y206" s="648" t="str">
        <f>IF(OR(Y$122="",I145=""),"",'I. Stream &amp; Compound Data'!AU200/$J145*(1-Y$127)*(1-Y$123)*$K206)</f>
        <v/>
      </c>
      <c r="Z206" s="648" t="str">
        <f>IF(OR(Z$122="",I145=""),"",'I. Stream &amp; Compound Data'!AX200/$J145*(1-Z$127)*(1-Z$123)*$K206)</f>
        <v/>
      </c>
      <c r="AA206" s="648" t="str">
        <f>IF(OR(AA$122="",I145=""),"",'I. Stream &amp; Compound Data'!BA200/$J145*(1-AA$127)*(1-AA$123)*$K206)</f>
        <v/>
      </c>
      <c r="AB206" s="648" t="str">
        <f>IF(OR(AB$122="",I145=""),"",'I. Stream &amp; Compound Data'!BD200/$J145*(1-AB$127)*(1-AB$123)*$K206)</f>
        <v/>
      </c>
      <c r="AC206" s="648" t="str">
        <f>IF(OR(AC$122="",I145=""),"",'I. Stream &amp; Compound Data'!BG200/$J145*(1-AC$127)*(1-AC$123)*$K206)</f>
        <v/>
      </c>
      <c r="AD206" s="648" t="str">
        <f>IF(OR(AD$122="",I145=""),"",'I. Stream &amp; Compound Data'!BJ200/$J145*(1-AD$127)*(1-AD$123)*$K206)</f>
        <v/>
      </c>
      <c r="AE206" s="648" t="str">
        <f>IF(OR(AE$122="",I145=""),"",'I. Stream &amp; Compound Data'!BM200/$J145*(1-AE$127)*(1-AE$123)*$K206)</f>
        <v/>
      </c>
      <c r="AF206" s="648" t="str">
        <f>IF(OR(AF$122="",I145=""),"",'I. Stream &amp; Compound Data'!BP200/$J145*(1-AF$127)*(1-AF$123)*$K206)</f>
        <v/>
      </c>
      <c r="AG206" s="648" t="str">
        <f>IF(OR(AG$122="",I145=""),"",'I. Stream &amp; Compound Data'!BS200/$J145*(1-AG$127)*(1-AG$123)*$K206)</f>
        <v/>
      </c>
      <c r="AH206" s="648" t="str">
        <f>IF(OR(AH$122="",I145=""),"",'I. Stream &amp; Compound Data'!BV200/$J145*(1-AH$127)*(1-AH$123)*$K206)</f>
        <v/>
      </c>
      <c r="AI206" s="648" t="str">
        <f>IF(OR(AI$122="",I145=""),"",'I. Stream &amp; Compound Data'!BY200/$J145*(1-AI$127)*(1-AI$123)*$K206)</f>
        <v/>
      </c>
      <c r="AJ206" s="648" t="str">
        <f>IF(OR(AJ$122="",I145=""),"",'I. Stream &amp; Compound Data'!CB200/$J145*(1-AJ$127)*(1-AJ$123)*$K206)</f>
        <v/>
      </c>
      <c r="AK206" s="648" t="str">
        <f>IF(OR(AK$122="",I145=""),"",'I. Stream &amp; Compound Data'!CE200/$J145*(1-AK$127)*(1-AK$123)*$K206)</f>
        <v/>
      </c>
      <c r="AL206" s="648" t="str">
        <f>IF(OR(AL$122="",I145=""),"",'I. Stream &amp; Compound Data'!CH200/$J145*(1-AL$127)*(1-AL$123)*$K206)</f>
        <v/>
      </c>
      <c r="AM206" s="648" t="str">
        <f>IF(OR(AM$122="",I145=""),"",'I. Stream &amp; Compound Data'!CK200/$J145*(1-AM$127)*(1-AM$123)*$K206)</f>
        <v/>
      </c>
      <c r="AN206" s="648" t="str">
        <f>IF(OR(AN$122="",I145=""),"",'I. Stream &amp; Compound Data'!CN200/$J145*(1-AN$127)*(1-AN$123)*$K206)</f>
        <v/>
      </c>
      <c r="AO206" s="648" t="str">
        <f>IF(OR(AO$122="",I145=""),"",'I. Stream &amp; Compound Data'!CQ200/$J145*(1-AO$127)*(1-AO$123)*$K206)</f>
        <v/>
      </c>
      <c r="AP206" s="648" t="str">
        <f>IF(OR(AP$122="",I145=""),"",'I. Stream &amp; Compound Data'!CT200/$J145*(1-AP$127)*(1-AP$123)*$K206)</f>
        <v/>
      </c>
      <c r="AQ206" s="648" t="str">
        <f>IF(OR(AQ$122="",I145=""),"",'I. Stream &amp; Compound Data'!CW200/$J145*(1-AQ$127)*(1-AQ$123)*$K206)</f>
        <v/>
      </c>
      <c r="AR206" s="648" t="str">
        <f>IF(OR(AR$122="",I145=""),"",'I. Stream &amp; Compound Data'!CZ200/$J145*(1-AR$127)*(1-AR$123)*$K206)</f>
        <v/>
      </c>
      <c r="AS206" s="648" t="str">
        <f>IF(OR(AS$122="",I145=""),"",'I. Stream &amp; Compound Data'!DC200/$J145*(1-AS$127)*(1-AS$123)*$K206)</f>
        <v/>
      </c>
      <c r="AT206" s="648" t="str">
        <f>IF(OR(AT$122="",I145=""),"",'I. Stream &amp; Compound Data'!DF200/$J145*(1-AT$127)*(1-AT$123)*$K206)</f>
        <v/>
      </c>
      <c r="AU206" s="648" t="str">
        <f>IF(OR(AU$122="",I145=""),"",'I. Stream &amp; Compound Data'!DI200/$J145*(1-AU$127)*(1-AU$123)*$K206)</f>
        <v/>
      </c>
      <c r="AV206" s="648" t="str">
        <f>IF(OR(AV$122="",I145=""),"",'I. Stream &amp; Compound Data'!DL200/$J145*(1-AV$127)*(1-AV$123)*$K206)</f>
        <v/>
      </c>
      <c r="AW206" s="648" t="str">
        <f>IF(OR(AW$122="",I145=""),"",'I. Stream &amp; Compound Data'!DO200/$J145*(1-AW$127)*(1-AW$123)*$K206)</f>
        <v/>
      </c>
      <c r="AX206" s="648" t="str">
        <f>IF(OR(AX$122="",I145=""),"",'I. Stream &amp; Compound Data'!DR200/$J145*(1-AX$127)*(1-AX$123)*$K206)</f>
        <v/>
      </c>
      <c r="AY206" s="647" t="str">
        <f>IF(OR(AY$122="",I145=""),"",'I. Stream &amp; Compound Data'!DU200/$J145*(1-AY$127)*(1-AY$123)*$K206)</f>
        <v/>
      </c>
      <c r="AZ206" s="336"/>
      <c r="BA206" s="632"/>
      <c r="BB206" s="632"/>
      <c r="BC206" s="632"/>
      <c r="BD206" s="632"/>
      <c r="BE206" s="632"/>
      <c r="BF206" s="632"/>
      <c r="BG206" s="632"/>
      <c r="BH206" s="632"/>
      <c r="BI206" s="632"/>
      <c r="BJ206" s="632"/>
      <c r="BK206" s="632"/>
      <c r="BL206" s="632"/>
      <c r="BM206" s="632"/>
      <c r="BN206" s="632"/>
      <c r="BO206" s="632"/>
      <c r="BP206" s="632"/>
      <c r="BQ206" s="632"/>
      <c r="BR206" s="632"/>
      <c r="BS206" s="632"/>
      <c r="BT206" s="632"/>
      <c r="BU206" s="632"/>
      <c r="BV206" s="632"/>
      <c r="BW206" s="632"/>
      <c r="BX206" s="632"/>
      <c r="BY206" s="632"/>
      <c r="BZ206" s="632"/>
      <c r="CA206" s="632"/>
      <c r="CB206" s="632"/>
      <c r="CC206" s="632"/>
      <c r="CD206" s="632"/>
      <c r="CE206" s="632"/>
      <c r="CF206" s="632"/>
      <c r="CG206" s="632"/>
      <c r="CH206" s="632"/>
      <c r="CI206" s="632"/>
      <c r="CJ206" s="632"/>
      <c r="CK206" s="632"/>
      <c r="CL206" s="632"/>
      <c r="CM206" s="632"/>
      <c r="CN206" s="631"/>
    </row>
    <row r="207" spans="2:92" ht="15.75" x14ac:dyDescent="0.2">
      <c r="B207" s="610"/>
      <c r="C207" s="336"/>
      <c r="D207" s="611"/>
      <c r="E207" s="612"/>
      <c r="F207" s="612"/>
      <c r="G207" s="612"/>
      <c r="H207" s="611"/>
      <c r="I207" s="637"/>
      <c r="J207" s="653">
        <f>'I. Stream &amp; Compound Data'!F277</f>
        <v>16</v>
      </c>
      <c r="K207" s="651" t="str">
        <f>IF('I. Stream &amp; Compound Data'!G277="","",IF('I. Stream &amp; Compound Data'!V277=1,0,1))</f>
        <v/>
      </c>
      <c r="L207" s="651" t="str">
        <f>IF(OR(L$122="",I146=""),"",'I. Stream &amp; Compound Data'!H201/$J146*(1-L$127)*(1-L$123)*$K207)</f>
        <v/>
      </c>
      <c r="M207" s="651" t="str">
        <f>IF(OR(M$122="",I146=""),"",'I. Stream &amp; Compound Data'!K201/$J146*(1-M$127)*(1-M$123)*$K207)</f>
        <v/>
      </c>
      <c r="N207" s="652" t="str">
        <f>IF(OR(N$122="",I146=""),"",'I. Stream &amp; Compound Data'!N201/$J146*(1-N$127)*(1-N$123)*$K207)</f>
        <v/>
      </c>
      <c r="O207" s="651" t="str">
        <f>IF(OR(O$122="",I146=""),"",'I. Stream &amp; Compound Data'!Q201/$J146*(1-O$127)*(1-O$123)*$K207)</f>
        <v/>
      </c>
      <c r="P207" s="651" t="str">
        <f>IF(OR(P$122="",I146=""),"",'I. Stream &amp; Compound Data'!T201/$J146*(1-P$127)*(1-P$123)*$K207)</f>
        <v/>
      </c>
      <c r="Q207" s="650" t="str">
        <f>IF(OR(Q$122="",I146=""),"",'I. Stream &amp; Compound Data'!W201/$J146*(1-Q$127)*(1-Q$123)*$K207)</f>
        <v/>
      </c>
      <c r="R207" s="649" t="str">
        <f>IF(OR(R$122="",I146=""),"",'I. Stream &amp; Compound Data'!Z201/$J146*(1-R$127)*(1-R$123)*$K207)</f>
        <v/>
      </c>
      <c r="S207" s="649" t="str">
        <f>IF(OR(S$122="",I146=""),"",'I. Stream &amp; Compound Data'!AC201/$J146*(1-S$127)*(1-S$123)*$K207)</f>
        <v/>
      </c>
      <c r="T207" s="649" t="str">
        <f>IF(OR(T$122="",I146=""),"",'I. Stream &amp; Compound Data'!AF201/$J146*(1-T$127)*(1-T$123)*$K207)</f>
        <v/>
      </c>
      <c r="U207" s="648" t="str">
        <f>IF(OR(U$122="",I146=""),"",'I. Stream &amp; Compound Data'!AI201/$J146*(1-U$127)*(1-U$123)*$K207)</f>
        <v/>
      </c>
      <c r="V207" s="648" t="str">
        <f>IF(OR(V$122="",I146=""),"",'I. Stream &amp; Compound Data'!AL201/$J146*(1-V$127)*(1-V$123)*$K207)</f>
        <v/>
      </c>
      <c r="W207" s="648" t="str">
        <f>IF(OR(W$122="",I146=""),"",'I. Stream &amp; Compound Data'!AO201/$J146*(1-W$127)*(1-W$123)*$K207)</f>
        <v/>
      </c>
      <c r="X207" s="648" t="str">
        <f>IF(OR(X$122="",I146=""),"",'I. Stream &amp; Compound Data'!AR201/$J146*(1-X$127)*(1-X$123)*$K207)</f>
        <v/>
      </c>
      <c r="Y207" s="648" t="str">
        <f>IF(OR(Y$122="",I146=""),"",'I. Stream &amp; Compound Data'!AU201/$J146*(1-Y$127)*(1-Y$123)*$K207)</f>
        <v/>
      </c>
      <c r="Z207" s="648" t="str">
        <f>IF(OR(Z$122="",I146=""),"",'I. Stream &amp; Compound Data'!AX201/$J146*(1-Z$127)*(1-Z$123)*$K207)</f>
        <v/>
      </c>
      <c r="AA207" s="648" t="str">
        <f>IF(OR(AA$122="",I146=""),"",'I. Stream &amp; Compound Data'!BA201/$J146*(1-AA$127)*(1-AA$123)*$K207)</f>
        <v/>
      </c>
      <c r="AB207" s="648" t="str">
        <f>IF(OR(AB$122="",I146=""),"",'I. Stream &amp; Compound Data'!BD201/$J146*(1-AB$127)*(1-AB$123)*$K207)</f>
        <v/>
      </c>
      <c r="AC207" s="648" t="str">
        <f>IF(OR(AC$122="",I146=""),"",'I. Stream &amp; Compound Data'!BG201/$J146*(1-AC$127)*(1-AC$123)*$K207)</f>
        <v/>
      </c>
      <c r="AD207" s="648" t="str">
        <f>IF(OR(AD$122="",I146=""),"",'I. Stream &amp; Compound Data'!BJ201/$J146*(1-AD$127)*(1-AD$123)*$K207)</f>
        <v/>
      </c>
      <c r="AE207" s="648" t="str">
        <f>IF(OR(AE$122="",I146=""),"",'I. Stream &amp; Compound Data'!BM201/$J146*(1-AE$127)*(1-AE$123)*$K207)</f>
        <v/>
      </c>
      <c r="AF207" s="648" t="str">
        <f>IF(OR(AF$122="",I146=""),"",'I. Stream &amp; Compound Data'!BP201/$J146*(1-AF$127)*(1-AF$123)*$K207)</f>
        <v/>
      </c>
      <c r="AG207" s="648" t="str">
        <f>IF(OR(AG$122="",I146=""),"",'I. Stream &amp; Compound Data'!BS201/$J146*(1-AG$127)*(1-AG$123)*$K207)</f>
        <v/>
      </c>
      <c r="AH207" s="648" t="str">
        <f>IF(OR(AH$122="",I146=""),"",'I. Stream &amp; Compound Data'!BV201/$J146*(1-AH$127)*(1-AH$123)*$K207)</f>
        <v/>
      </c>
      <c r="AI207" s="648" t="str">
        <f>IF(OR(AI$122="",I146=""),"",'I. Stream &amp; Compound Data'!BY201/$J146*(1-AI$127)*(1-AI$123)*$K207)</f>
        <v/>
      </c>
      <c r="AJ207" s="648" t="str">
        <f>IF(OR(AJ$122="",I146=""),"",'I. Stream &amp; Compound Data'!CB201/$J146*(1-AJ$127)*(1-AJ$123)*$K207)</f>
        <v/>
      </c>
      <c r="AK207" s="648" t="str">
        <f>IF(OR(AK$122="",I146=""),"",'I. Stream &amp; Compound Data'!CE201/$J146*(1-AK$127)*(1-AK$123)*$K207)</f>
        <v/>
      </c>
      <c r="AL207" s="648" t="str">
        <f>IF(OR(AL$122="",I146=""),"",'I. Stream &amp; Compound Data'!CH201/$J146*(1-AL$127)*(1-AL$123)*$K207)</f>
        <v/>
      </c>
      <c r="AM207" s="648" t="str">
        <f>IF(OR(AM$122="",I146=""),"",'I. Stream &amp; Compound Data'!CK201/$J146*(1-AM$127)*(1-AM$123)*$K207)</f>
        <v/>
      </c>
      <c r="AN207" s="648" t="str">
        <f>IF(OR(AN$122="",I146=""),"",'I. Stream &amp; Compound Data'!CN201/$J146*(1-AN$127)*(1-AN$123)*$K207)</f>
        <v/>
      </c>
      <c r="AO207" s="648" t="str">
        <f>IF(OR(AO$122="",I146=""),"",'I. Stream &amp; Compound Data'!CQ201/$J146*(1-AO$127)*(1-AO$123)*$K207)</f>
        <v/>
      </c>
      <c r="AP207" s="648" t="str">
        <f>IF(OR(AP$122="",I146=""),"",'I. Stream &amp; Compound Data'!CT201/$J146*(1-AP$127)*(1-AP$123)*$K207)</f>
        <v/>
      </c>
      <c r="AQ207" s="648" t="str">
        <f>IF(OR(AQ$122="",I146=""),"",'I. Stream &amp; Compound Data'!CW201/$J146*(1-AQ$127)*(1-AQ$123)*$K207)</f>
        <v/>
      </c>
      <c r="AR207" s="648" t="str">
        <f>IF(OR(AR$122="",I146=""),"",'I. Stream &amp; Compound Data'!CZ201/$J146*(1-AR$127)*(1-AR$123)*$K207)</f>
        <v/>
      </c>
      <c r="AS207" s="648" t="str">
        <f>IF(OR(AS$122="",I146=""),"",'I. Stream &amp; Compound Data'!DC201/$J146*(1-AS$127)*(1-AS$123)*$K207)</f>
        <v/>
      </c>
      <c r="AT207" s="648" t="str">
        <f>IF(OR(AT$122="",I146=""),"",'I. Stream &amp; Compound Data'!DF201/$J146*(1-AT$127)*(1-AT$123)*$K207)</f>
        <v/>
      </c>
      <c r="AU207" s="648" t="str">
        <f>IF(OR(AU$122="",I146=""),"",'I. Stream &amp; Compound Data'!DI201/$J146*(1-AU$127)*(1-AU$123)*$K207)</f>
        <v/>
      </c>
      <c r="AV207" s="648" t="str">
        <f>IF(OR(AV$122="",I146=""),"",'I. Stream &amp; Compound Data'!DL201/$J146*(1-AV$127)*(1-AV$123)*$K207)</f>
        <v/>
      </c>
      <c r="AW207" s="648" t="str">
        <f>IF(OR(AW$122="",I146=""),"",'I. Stream &amp; Compound Data'!DO201/$J146*(1-AW$127)*(1-AW$123)*$K207)</f>
        <v/>
      </c>
      <c r="AX207" s="648" t="str">
        <f>IF(OR(AX$122="",I146=""),"",'I. Stream &amp; Compound Data'!DR201/$J146*(1-AX$127)*(1-AX$123)*$K207)</f>
        <v/>
      </c>
      <c r="AY207" s="647" t="str">
        <f>IF(OR(AY$122="",I146=""),"",'I. Stream &amp; Compound Data'!DU201/$J146*(1-AY$127)*(1-AY$123)*$K207)</f>
        <v/>
      </c>
      <c r="AZ207" s="336"/>
      <c r="BA207" s="632"/>
      <c r="BB207" s="632"/>
      <c r="BC207" s="632"/>
      <c r="BD207" s="632"/>
      <c r="BE207" s="632"/>
      <c r="BF207" s="632"/>
      <c r="BG207" s="632"/>
      <c r="BH207" s="632"/>
      <c r="BI207" s="632"/>
      <c r="BJ207" s="632"/>
      <c r="BK207" s="632"/>
      <c r="BL207" s="632"/>
      <c r="BM207" s="632"/>
      <c r="BN207" s="632"/>
      <c r="BO207" s="632"/>
      <c r="BP207" s="632"/>
      <c r="BQ207" s="632"/>
      <c r="BR207" s="632"/>
      <c r="BS207" s="632"/>
      <c r="BT207" s="632"/>
      <c r="BU207" s="632"/>
      <c r="BV207" s="632"/>
      <c r="BW207" s="632"/>
      <c r="BX207" s="632"/>
      <c r="BY207" s="632"/>
      <c r="BZ207" s="632"/>
      <c r="CA207" s="632"/>
      <c r="CB207" s="632"/>
      <c r="CC207" s="632"/>
      <c r="CD207" s="632"/>
      <c r="CE207" s="632"/>
      <c r="CF207" s="632"/>
      <c r="CG207" s="632"/>
      <c r="CH207" s="632"/>
      <c r="CI207" s="632"/>
      <c r="CJ207" s="632"/>
      <c r="CK207" s="632"/>
      <c r="CL207" s="632"/>
      <c r="CM207" s="632"/>
      <c r="CN207" s="631"/>
    </row>
    <row r="208" spans="2:92" ht="15.75" x14ac:dyDescent="0.2">
      <c r="B208" s="610"/>
      <c r="C208" s="336"/>
      <c r="D208" s="611"/>
      <c r="E208" s="612"/>
      <c r="F208" s="612"/>
      <c r="G208" s="612"/>
      <c r="H208" s="611"/>
      <c r="I208" s="637"/>
      <c r="J208" s="653">
        <f>'I. Stream &amp; Compound Data'!F278</f>
        <v>17</v>
      </c>
      <c r="K208" s="651" t="str">
        <f>IF('I. Stream &amp; Compound Data'!G278="","",IF('I. Stream &amp; Compound Data'!V278=1,0,1))</f>
        <v/>
      </c>
      <c r="L208" s="651" t="str">
        <f>IF(OR(L$122="",I147=""),"",'I. Stream &amp; Compound Data'!H202/$J147*(1-L$127)*(1-L$123)*$K208)</f>
        <v/>
      </c>
      <c r="M208" s="651" t="str">
        <f>IF(OR(M$122="",I147=""),"",'I. Stream &amp; Compound Data'!K202/$J147*(1-M$127)*(1-M$123)*$K208)</f>
        <v/>
      </c>
      <c r="N208" s="652" t="str">
        <f>IF(OR(N$122="",I147=""),"",'I. Stream &amp; Compound Data'!N202/$J147*(1-N$127)*(1-N$123)*$K208)</f>
        <v/>
      </c>
      <c r="O208" s="651" t="str">
        <f>IF(OR(O$122="",I147=""),"",'I. Stream &amp; Compound Data'!Q202/$J147*(1-O$127)*(1-O$123)*$K208)</f>
        <v/>
      </c>
      <c r="P208" s="651" t="str">
        <f>IF(OR(P$122="",I147=""),"",'I. Stream &amp; Compound Data'!T202/$J147*(1-P$127)*(1-P$123)*$K208)</f>
        <v/>
      </c>
      <c r="Q208" s="650" t="str">
        <f>IF(OR(Q$122="",I147=""),"",'I. Stream &amp; Compound Data'!W202/$J147*(1-Q$127)*(1-Q$123)*$K208)</f>
        <v/>
      </c>
      <c r="R208" s="649" t="str">
        <f>IF(OR(R$122="",I147=""),"",'I. Stream &amp; Compound Data'!Z202/$J147*(1-R$127)*(1-R$123)*$K208)</f>
        <v/>
      </c>
      <c r="S208" s="649" t="str">
        <f>IF(OR(S$122="",I147=""),"",'I. Stream &amp; Compound Data'!AC202/$J147*(1-S$127)*(1-S$123)*$K208)</f>
        <v/>
      </c>
      <c r="T208" s="649" t="str">
        <f>IF(OR(T$122="",I147=""),"",'I. Stream &amp; Compound Data'!AF202/$J147*(1-T$127)*(1-T$123)*$K208)</f>
        <v/>
      </c>
      <c r="U208" s="648" t="str">
        <f>IF(OR(U$122="",I147=""),"",'I. Stream &amp; Compound Data'!AI202/$J147*(1-U$127)*(1-U$123)*$K208)</f>
        <v/>
      </c>
      <c r="V208" s="648" t="str">
        <f>IF(OR(V$122="",I147=""),"",'I. Stream &amp; Compound Data'!AL202/$J147*(1-V$127)*(1-V$123)*$K208)</f>
        <v/>
      </c>
      <c r="W208" s="648" t="str">
        <f>IF(OR(W$122="",I147=""),"",'I. Stream &amp; Compound Data'!AO202/$J147*(1-W$127)*(1-W$123)*$K208)</f>
        <v/>
      </c>
      <c r="X208" s="648" t="str">
        <f>IF(OR(X$122="",I147=""),"",'I. Stream &amp; Compound Data'!AR202/$J147*(1-X$127)*(1-X$123)*$K208)</f>
        <v/>
      </c>
      <c r="Y208" s="648" t="str">
        <f>IF(OR(Y$122="",I147=""),"",'I. Stream &amp; Compound Data'!AU202/$J147*(1-Y$127)*(1-Y$123)*$K208)</f>
        <v/>
      </c>
      <c r="Z208" s="648" t="str">
        <f>IF(OR(Z$122="",I147=""),"",'I. Stream &amp; Compound Data'!AX202/$J147*(1-Z$127)*(1-Z$123)*$K208)</f>
        <v/>
      </c>
      <c r="AA208" s="648" t="str">
        <f>IF(OR(AA$122="",I147=""),"",'I. Stream &amp; Compound Data'!BA202/$J147*(1-AA$127)*(1-AA$123)*$K208)</f>
        <v/>
      </c>
      <c r="AB208" s="648" t="str">
        <f>IF(OR(AB$122="",I147=""),"",'I. Stream &amp; Compound Data'!BD202/$J147*(1-AB$127)*(1-AB$123)*$K208)</f>
        <v/>
      </c>
      <c r="AC208" s="648" t="str">
        <f>IF(OR(AC$122="",I147=""),"",'I. Stream &amp; Compound Data'!BG202/$J147*(1-AC$127)*(1-AC$123)*$K208)</f>
        <v/>
      </c>
      <c r="AD208" s="648" t="str">
        <f>IF(OR(AD$122="",I147=""),"",'I. Stream &amp; Compound Data'!BJ202/$J147*(1-AD$127)*(1-AD$123)*$K208)</f>
        <v/>
      </c>
      <c r="AE208" s="648" t="str">
        <f>IF(OR(AE$122="",I147=""),"",'I. Stream &amp; Compound Data'!BM202/$J147*(1-AE$127)*(1-AE$123)*$K208)</f>
        <v/>
      </c>
      <c r="AF208" s="648" t="str">
        <f>IF(OR(AF$122="",I147=""),"",'I. Stream &amp; Compound Data'!BP202/$J147*(1-AF$127)*(1-AF$123)*$K208)</f>
        <v/>
      </c>
      <c r="AG208" s="648" t="str">
        <f>IF(OR(AG$122="",I147=""),"",'I. Stream &amp; Compound Data'!BS202/$J147*(1-AG$127)*(1-AG$123)*$K208)</f>
        <v/>
      </c>
      <c r="AH208" s="648" t="str">
        <f>IF(OR(AH$122="",I147=""),"",'I. Stream &amp; Compound Data'!BV202/$J147*(1-AH$127)*(1-AH$123)*$K208)</f>
        <v/>
      </c>
      <c r="AI208" s="648" t="str">
        <f>IF(OR(AI$122="",I147=""),"",'I. Stream &amp; Compound Data'!BY202/$J147*(1-AI$127)*(1-AI$123)*$K208)</f>
        <v/>
      </c>
      <c r="AJ208" s="648" t="str">
        <f>IF(OR(AJ$122="",I147=""),"",'I. Stream &amp; Compound Data'!CB202/$J147*(1-AJ$127)*(1-AJ$123)*$K208)</f>
        <v/>
      </c>
      <c r="AK208" s="648" t="str">
        <f>IF(OR(AK$122="",I147=""),"",'I. Stream &amp; Compound Data'!CE202/$J147*(1-AK$127)*(1-AK$123)*$K208)</f>
        <v/>
      </c>
      <c r="AL208" s="648" t="str">
        <f>IF(OR(AL$122="",I147=""),"",'I. Stream &amp; Compound Data'!CH202/$J147*(1-AL$127)*(1-AL$123)*$K208)</f>
        <v/>
      </c>
      <c r="AM208" s="648" t="str">
        <f>IF(OR(AM$122="",I147=""),"",'I. Stream &amp; Compound Data'!CK202/$J147*(1-AM$127)*(1-AM$123)*$K208)</f>
        <v/>
      </c>
      <c r="AN208" s="648" t="str">
        <f>IF(OR(AN$122="",I147=""),"",'I. Stream &amp; Compound Data'!CN202/$J147*(1-AN$127)*(1-AN$123)*$K208)</f>
        <v/>
      </c>
      <c r="AO208" s="648" t="str">
        <f>IF(OR(AO$122="",I147=""),"",'I. Stream &amp; Compound Data'!CQ202/$J147*(1-AO$127)*(1-AO$123)*$K208)</f>
        <v/>
      </c>
      <c r="AP208" s="648" t="str">
        <f>IF(OR(AP$122="",I147=""),"",'I. Stream &amp; Compound Data'!CT202/$J147*(1-AP$127)*(1-AP$123)*$K208)</f>
        <v/>
      </c>
      <c r="AQ208" s="648" t="str">
        <f>IF(OR(AQ$122="",I147=""),"",'I. Stream &amp; Compound Data'!CW202/$J147*(1-AQ$127)*(1-AQ$123)*$K208)</f>
        <v/>
      </c>
      <c r="AR208" s="648" t="str">
        <f>IF(OR(AR$122="",I147=""),"",'I. Stream &amp; Compound Data'!CZ202/$J147*(1-AR$127)*(1-AR$123)*$K208)</f>
        <v/>
      </c>
      <c r="AS208" s="648" t="str">
        <f>IF(OR(AS$122="",I147=""),"",'I. Stream &amp; Compound Data'!DC202/$J147*(1-AS$127)*(1-AS$123)*$K208)</f>
        <v/>
      </c>
      <c r="AT208" s="648" t="str">
        <f>IF(OR(AT$122="",I147=""),"",'I. Stream &amp; Compound Data'!DF202/$J147*(1-AT$127)*(1-AT$123)*$K208)</f>
        <v/>
      </c>
      <c r="AU208" s="648" t="str">
        <f>IF(OR(AU$122="",I147=""),"",'I. Stream &amp; Compound Data'!DI202/$J147*(1-AU$127)*(1-AU$123)*$K208)</f>
        <v/>
      </c>
      <c r="AV208" s="648" t="str">
        <f>IF(OR(AV$122="",I147=""),"",'I. Stream &amp; Compound Data'!DL202/$J147*(1-AV$127)*(1-AV$123)*$K208)</f>
        <v/>
      </c>
      <c r="AW208" s="648" t="str">
        <f>IF(OR(AW$122="",I147=""),"",'I. Stream &amp; Compound Data'!DO202/$J147*(1-AW$127)*(1-AW$123)*$K208)</f>
        <v/>
      </c>
      <c r="AX208" s="648" t="str">
        <f>IF(OR(AX$122="",I147=""),"",'I. Stream &amp; Compound Data'!DR202/$J147*(1-AX$127)*(1-AX$123)*$K208)</f>
        <v/>
      </c>
      <c r="AY208" s="647" t="str">
        <f>IF(OR(AY$122="",I147=""),"",'I. Stream &amp; Compound Data'!DU202/$J147*(1-AY$127)*(1-AY$123)*$K208)</f>
        <v/>
      </c>
      <c r="AZ208" s="336"/>
      <c r="BA208" s="632"/>
      <c r="BB208" s="632"/>
      <c r="BC208" s="632"/>
      <c r="BD208" s="632"/>
      <c r="BE208" s="632"/>
      <c r="BF208" s="632"/>
      <c r="BG208" s="632"/>
      <c r="BH208" s="632"/>
      <c r="BI208" s="632"/>
      <c r="BJ208" s="632"/>
      <c r="BK208" s="632"/>
      <c r="BL208" s="632"/>
      <c r="BM208" s="632"/>
      <c r="BN208" s="632"/>
      <c r="BO208" s="632"/>
      <c r="BP208" s="632"/>
      <c r="BQ208" s="632"/>
      <c r="BR208" s="632"/>
      <c r="BS208" s="632"/>
      <c r="BT208" s="632"/>
      <c r="BU208" s="632"/>
      <c r="BV208" s="632"/>
      <c r="BW208" s="632"/>
      <c r="BX208" s="632"/>
      <c r="BY208" s="632"/>
      <c r="BZ208" s="632"/>
      <c r="CA208" s="632"/>
      <c r="CB208" s="632"/>
      <c r="CC208" s="632"/>
      <c r="CD208" s="632"/>
      <c r="CE208" s="632"/>
      <c r="CF208" s="632"/>
      <c r="CG208" s="632"/>
      <c r="CH208" s="632"/>
      <c r="CI208" s="632"/>
      <c r="CJ208" s="632"/>
      <c r="CK208" s="632"/>
      <c r="CL208" s="632"/>
      <c r="CM208" s="632"/>
      <c r="CN208" s="631"/>
    </row>
    <row r="209" spans="2:92" ht="15.75" x14ac:dyDescent="0.2">
      <c r="B209" s="610"/>
      <c r="C209" s="336"/>
      <c r="D209" s="611"/>
      <c r="E209" s="612"/>
      <c r="F209" s="612"/>
      <c r="G209" s="612"/>
      <c r="H209" s="611"/>
      <c r="I209" s="637"/>
      <c r="J209" s="653">
        <f>'I. Stream &amp; Compound Data'!F279</f>
        <v>18</v>
      </c>
      <c r="K209" s="651" t="str">
        <f>IF('I. Stream &amp; Compound Data'!G279="","",IF('I. Stream &amp; Compound Data'!V279=1,0,1))</f>
        <v/>
      </c>
      <c r="L209" s="651" t="str">
        <f>IF(OR(L$122="",I148=""),"",'I. Stream &amp; Compound Data'!H203/$J148*(1-L$127)*(1-L$123)*$K209)</f>
        <v/>
      </c>
      <c r="M209" s="651" t="str">
        <f>IF(OR(M$122="",I148=""),"",'I. Stream &amp; Compound Data'!K203/$J148*(1-M$127)*(1-M$123)*$K209)</f>
        <v/>
      </c>
      <c r="N209" s="652" t="str">
        <f>IF(OR(N$122="",I148=""),"",'I. Stream &amp; Compound Data'!N203/$J148*(1-N$127)*(1-N$123)*$K209)</f>
        <v/>
      </c>
      <c r="O209" s="651" t="str">
        <f>IF(OR(O$122="",I148=""),"",'I. Stream &amp; Compound Data'!Q203/$J148*(1-O$127)*(1-O$123)*$K209)</f>
        <v/>
      </c>
      <c r="P209" s="651" t="str">
        <f>IF(OR(P$122="",I148=""),"",'I. Stream &amp; Compound Data'!T203/$J148*(1-P$127)*(1-P$123)*$K209)</f>
        <v/>
      </c>
      <c r="Q209" s="650" t="str">
        <f>IF(OR(Q$122="",I148=""),"",'I. Stream &amp; Compound Data'!W203/$J148*(1-Q$127)*(1-Q$123)*$K209)</f>
        <v/>
      </c>
      <c r="R209" s="649" t="str">
        <f>IF(OR(R$122="",I148=""),"",'I. Stream &amp; Compound Data'!Z203/$J148*(1-R$127)*(1-R$123)*$K209)</f>
        <v/>
      </c>
      <c r="S209" s="649" t="str">
        <f>IF(OR(S$122="",I148=""),"",'I. Stream &amp; Compound Data'!AC203/$J148*(1-S$127)*(1-S$123)*$K209)</f>
        <v/>
      </c>
      <c r="T209" s="649" t="str">
        <f>IF(OR(T$122="",I148=""),"",'I. Stream &amp; Compound Data'!AF203/$J148*(1-T$127)*(1-T$123)*$K209)</f>
        <v/>
      </c>
      <c r="U209" s="648" t="str">
        <f>IF(OR(U$122="",I148=""),"",'I. Stream &amp; Compound Data'!AI203/$J148*(1-U$127)*(1-U$123)*$K209)</f>
        <v/>
      </c>
      <c r="V209" s="648" t="str">
        <f>IF(OR(V$122="",I148=""),"",'I. Stream &amp; Compound Data'!AL203/$J148*(1-V$127)*(1-V$123)*$K209)</f>
        <v/>
      </c>
      <c r="W209" s="648" t="str">
        <f>IF(OR(W$122="",I148=""),"",'I. Stream &amp; Compound Data'!AO203/$J148*(1-W$127)*(1-W$123)*$K209)</f>
        <v/>
      </c>
      <c r="X209" s="648" t="str">
        <f>IF(OR(X$122="",I148=""),"",'I. Stream &amp; Compound Data'!AR203/$J148*(1-X$127)*(1-X$123)*$K209)</f>
        <v/>
      </c>
      <c r="Y209" s="648" t="str">
        <f>IF(OR(Y$122="",I148=""),"",'I. Stream &amp; Compound Data'!AU203/$J148*(1-Y$127)*(1-Y$123)*$K209)</f>
        <v/>
      </c>
      <c r="Z209" s="648" t="str">
        <f>IF(OR(Z$122="",I148=""),"",'I. Stream &amp; Compound Data'!AX203/$J148*(1-Z$127)*(1-Z$123)*$K209)</f>
        <v/>
      </c>
      <c r="AA209" s="648" t="str">
        <f>IF(OR(AA$122="",I148=""),"",'I. Stream &amp; Compound Data'!BA203/$J148*(1-AA$127)*(1-AA$123)*$K209)</f>
        <v/>
      </c>
      <c r="AB209" s="648" t="str">
        <f>IF(OR(AB$122="",I148=""),"",'I. Stream &amp; Compound Data'!BD203/$J148*(1-AB$127)*(1-AB$123)*$K209)</f>
        <v/>
      </c>
      <c r="AC209" s="648" t="str">
        <f>IF(OR(AC$122="",I148=""),"",'I. Stream &amp; Compound Data'!BG203/$J148*(1-AC$127)*(1-AC$123)*$K209)</f>
        <v/>
      </c>
      <c r="AD209" s="648" t="str">
        <f>IF(OR(AD$122="",I148=""),"",'I. Stream &amp; Compound Data'!BJ203/$J148*(1-AD$127)*(1-AD$123)*$K209)</f>
        <v/>
      </c>
      <c r="AE209" s="648" t="str">
        <f>IF(OR(AE$122="",I148=""),"",'I. Stream &amp; Compound Data'!BM203/$J148*(1-AE$127)*(1-AE$123)*$K209)</f>
        <v/>
      </c>
      <c r="AF209" s="648" t="str">
        <f>IF(OR(AF$122="",I148=""),"",'I. Stream &amp; Compound Data'!BP203/$J148*(1-AF$127)*(1-AF$123)*$K209)</f>
        <v/>
      </c>
      <c r="AG209" s="648" t="str">
        <f>IF(OR(AG$122="",I148=""),"",'I. Stream &amp; Compound Data'!BS203/$J148*(1-AG$127)*(1-AG$123)*$K209)</f>
        <v/>
      </c>
      <c r="AH209" s="648" t="str">
        <f>IF(OR(AH$122="",I148=""),"",'I. Stream &amp; Compound Data'!BV203/$J148*(1-AH$127)*(1-AH$123)*$K209)</f>
        <v/>
      </c>
      <c r="AI209" s="648" t="str">
        <f>IF(OR(AI$122="",I148=""),"",'I. Stream &amp; Compound Data'!BY203/$J148*(1-AI$127)*(1-AI$123)*$K209)</f>
        <v/>
      </c>
      <c r="AJ209" s="648" t="str">
        <f>IF(OR(AJ$122="",I148=""),"",'I. Stream &amp; Compound Data'!CB203/$J148*(1-AJ$127)*(1-AJ$123)*$K209)</f>
        <v/>
      </c>
      <c r="AK209" s="648" t="str">
        <f>IF(OR(AK$122="",I148=""),"",'I. Stream &amp; Compound Data'!CE203/$J148*(1-AK$127)*(1-AK$123)*$K209)</f>
        <v/>
      </c>
      <c r="AL209" s="648" t="str">
        <f>IF(OR(AL$122="",I148=""),"",'I. Stream &amp; Compound Data'!CH203/$J148*(1-AL$127)*(1-AL$123)*$K209)</f>
        <v/>
      </c>
      <c r="AM209" s="648" t="str">
        <f>IF(OR(AM$122="",I148=""),"",'I. Stream &amp; Compound Data'!CK203/$J148*(1-AM$127)*(1-AM$123)*$K209)</f>
        <v/>
      </c>
      <c r="AN209" s="648" t="str">
        <f>IF(OR(AN$122="",I148=""),"",'I. Stream &amp; Compound Data'!CN203/$J148*(1-AN$127)*(1-AN$123)*$K209)</f>
        <v/>
      </c>
      <c r="AO209" s="648" t="str">
        <f>IF(OR(AO$122="",I148=""),"",'I. Stream &amp; Compound Data'!CQ203/$J148*(1-AO$127)*(1-AO$123)*$K209)</f>
        <v/>
      </c>
      <c r="AP209" s="648" t="str">
        <f>IF(OR(AP$122="",I148=""),"",'I. Stream &amp; Compound Data'!CT203/$J148*(1-AP$127)*(1-AP$123)*$K209)</f>
        <v/>
      </c>
      <c r="AQ209" s="648" t="str">
        <f>IF(OR(AQ$122="",I148=""),"",'I. Stream &amp; Compound Data'!CW203/$J148*(1-AQ$127)*(1-AQ$123)*$K209)</f>
        <v/>
      </c>
      <c r="AR209" s="648" t="str">
        <f>IF(OR(AR$122="",I148=""),"",'I. Stream &amp; Compound Data'!CZ203/$J148*(1-AR$127)*(1-AR$123)*$K209)</f>
        <v/>
      </c>
      <c r="AS209" s="648" t="str">
        <f>IF(OR(AS$122="",I148=""),"",'I. Stream &amp; Compound Data'!DC203/$J148*(1-AS$127)*(1-AS$123)*$K209)</f>
        <v/>
      </c>
      <c r="AT209" s="648" t="str">
        <f>IF(OR(AT$122="",I148=""),"",'I. Stream &amp; Compound Data'!DF203/$J148*(1-AT$127)*(1-AT$123)*$K209)</f>
        <v/>
      </c>
      <c r="AU209" s="648" t="str">
        <f>IF(OR(AU$122="",I148=""),"",'I. Stream &amp; Compound Data'!DI203/$J148*(1-AU$127)*(1-AU$123)*$K209)</f>
        <v/>
      </c>
      <c r="AV209" s="648" t="str">
        <f>IF(OR(AV$122="",I148=""),"",'I. Stream &amp; Compound Data'!DL203/$J148*(1-AV$127)*(1-AV$123)*$K209)</f>
        <v/>
      </c>
      <c r="AW209" s="648" t="str">
        <f>IF(OR(AW$122="",I148=""),"",'I. Stream &amp; Compound Data'!DO203/$J148*(1-AW$127)*(1-AW$123)*$K209)</f>
        <v/>
      </c>
      <c r="AX209" s="648" t="str">
        <f>IF(OR(AX$122="",I148=""),"",'I. Stream &amp; Compound Data'!DR203/$J148*(1-AX$127)*(1-AX$123)*$K209)</f>
        <v/>
      </c>
      <c r="AY209" s="647" t="str">
        <f>IF(OR(AY$122="",I148=""),"",'I. Stream &amp; Compound Data'!DU203/$J148*(1-AY$127)*(1-AY$123)*$K209)</f>
        <v/>
      </c>
      <c r="AZ209" s="336"/>
      <c r="BA209" s="632"/>
      <c r="BB209" s="632"/>
      <c r="BC209" s="632"/>
      <c r="BD209" s="632"/>
      <c r="BE209" s="632"/>
      <c r="BF209" s="632"/>
      <c r="BG209" s="632"/>
      <c r="BH209" s="632"/>
      <c r="BI209" s="632"/>
      <c r="BJ209" s="632"/>
      <c r="BK209" s="632"/>
      <c r="BL209" s="632"/>
      <c r="BM209" s="632"/>
      <c r="BN209" s="632"/>
      <c r="BO209" s="632"/>
      <c r="BP209" s="632"/>
      <c r="BQ209" s="632"/>
      <c r="BR209" s="632"/>
      <c r="BS209" s="632"/>
      <c r="BT209" s="632"/>
      <c r="BU209" s="632"/>
      <c r="BV209" s="632"/>
      <c r="BW209" s="632"/>
      <c r="BX209" s="632"/>
      <c r="BY209" s="632"/>
      <c r="BZ209" s="632"/>
      <c r="CA209" s="632"/>
      <c r="CB209" s="632"/>
      <c r="CC209" s="632"/>
      <c r="CD209" s="632"/>
      <c r="CE209" s="632"/>
      <c r="CF209" s="632"/>
      <c r="CG209" s="632"/>
      <c r="CH209" s="632"/>
      <c r="CI209" s="632"/>
      <c r="CJ209" s="632"/>
      <c r="CK209" s="632"/>
      <c r="CL209" s="632"/>
      <c r="CM209" s="632"/>
      <c r="CN209" s="631"/>
    </row>
    <row r="210" spans="2:92" ht="15.75" x14ac:dyDescent="0.2">
      <c r="B210" s="610"/>
      <c r="C210" s="336"/>
      <c r="D210" s="611"/>
      <c r="E210" s="612"/>
      <c r="F210" s="612"/>
      <c r="G210" s="612"/>
      <c r="H210" s="611"/>
      <c r="I210" s="637"/>
      <c r="J210" s="653">
        <f>'I. Stream &amp; Compound Data'!F280</f>
        <v>19</v>
      </c>
      <c r="K210" s="651" t="str">
        <f>IF('I. Stream &amp; Compound Data'!G280="","",IF('I. Stream &amp; Compound Data'!V280=1,0,1))</f>
        <v/>
      </c>
      <c r="L210" s="651" t="str">
        <f>IF(OR(L$122="",I149=""),"",'I. Stream &amp; Compound Data'!H204/$J149*(1-L$127)*(1-L$123)*$K210)</f>
        <v/>
      </c>
      <c r="M210" s="651" t="str">
        <f>IF(OR(M$122="",I149=""),"",'I. Stream &amp; Compound Data'!K204/$J149*(1-M$127)*(1-M$123)*$K210)</f>
        <v/>
      </c>
      <c r="N210" s="652" t="str">
        <f>IF(OR(N$122="",I149=""),"",'I. Stream &amp; Compound Data'!N204/$J149*(1-N$127)*(1-N$123)*$K210)</f>
        <v/>
      </c>
      <c r="O210" s="651" t="str">
        <f>IF(OR(O$122="",I149=""),"",'I. Stream &amp; Compound Data'!Q204/$J149*(1-O$127)*(1-O$123)*$K210)</f>
        <v/>
      </c>
      <c r="P210" s="651" t="str">
        <f>IF(OR(P$122="",I149=""),"",'I. Stream &amp; Compound Data'!T204/$J149*(1-P$127)*(1-P$123)*$K210)</f>
        <v/>
      </c>
      <c r="Q210" s="650" t="str">
        <f>IF(OR(Q$122="",I149=""),"",'I. Stream &amp; Compound Data'!W204/$J149*(1-Q$127)*(1-Q$123)*$K210)</f>
        <v/>
      </c>
      <c r="R210" s="649" t="str">
        <f>IF(OR(R$122="",I149=""),"",'I. Stream &amp; Compound Data'!Z204/$J149*(1-R$127)*(1-R$123)*$K210)</f>
        <v/>
      </c>
      <c r="S210" s="649" t="str">
        <f>IF(OR(S$122="",I149=""),"",'I. Stream &amp; Compound Data'!AC204/$J149*(1-S$127)*(1-S$123)*$K210)</f>
        <v/>
      </c>
      <c r="T210" s="649" t="str">
        <f>IF(OR(T$122="",I149=""),"",'I. Stream &amp; Compound Data'!AF204/$J149*(1-T$127)*(1-T$123)*$K210)</f>
        <v/>
      </c>
      <c r="U210" s="648" t="str">
        <f>IF(OR(U$122="",I149=""),"",'I. Stream &amp; Compound Data'!AI204/$J149*(1-U$127)*(1-U$123)*$K210)</f>
        <v/>
      </c>
      <c r="V210" s="648" t="str">
        <f>IF(OR(V$122="",I149=""),"",'I. Stream &amp; Compound Data'!AL204/$J149*(1-V$127)*(1-V$123)*$K210)</f>
        <v/>
      </c>
      <c r="W210" s="648" t="str">
        <f>IF(OR(W$122="",I149=""),"",'I. Stream &amp; Compound Data'!AO204/$J149*(1-W$127)*(1-W$123)*$K210)</f>
        <v/>
      </c>
      <c r="X210" s="648" t="str">
        <f>IF(OR(X$122="",I149=""),"",'I. Stream &amp; Compound Data'!AR204/$J149*(1-X$127)*(1-X$123)*$K210)</f>
        <v/>
      </c>
      <c r="Y210" s="648" t="str">
        <f>IF(OR(Y$122="",I149=""),"",'I. Stream &amp; Compound Data'!AU204/$J149*(1-Y$127)*(1-Y$123)*$K210)</f>
        <v/>
      </c>
      <c r="Z210" s="648" t="str">
        <f>IF(OR(Z$122="",I149=""),"",'I. Stream &amp; Compound Data'!AX204/$J149*(1-Z$127)*(1-Z$123)*$K210)</f>
        <v/>
      </c>
      <c r="AA210" s="648" t="str">
        <f>IF(OR(AA$122="",I149=""),"",'I. Stream &amp; Compound Data'!BA204/$J149*(1-AA$127)*(1-AA$123)*$K210)</f>
        <v/>
      </c>
      <c r="AB210" s="648" t="str">
        <f>IF(OR(AB$122="",I149=""),"",'I. Stream &amp; Compound Data'!BD204/$J149*(1-AB$127)*(1-AB$123)*$K210)</f>
        <v/>
      </c>
      <c r="AC210" s="648" t="str">
        <f>IF(OR(AC$122="",I149=""),"",'I. Stream &amp; Compound Data'!BG204/$J149*(1-AC$127)*(1-AC$123)*$K210)</f>
        <v/>
      </c>
      <c r="AD210" s="648" t="str">
        <f>IF(OR(AD$122="",I149=""),"",'I. Stream &amp; Compound Data'!BJ204/$J149*(1-AD$127)*(1-AD$123)*$K210)</f>
        <v/>
      </c>
      <c r="AE210" s="648" t="str">
        <f>IF(OR(AE$122="",I149=""),"",'I. Stream &amp; Compound Data'!BM204/$J149*(1-AE$127)*(1-AE$123)*$K210)</f>
        <v/>
      </c>
      <c r="AF210" s="648" t="str">
        <f>IF(OR(AF$122="",I149=""),"",'I. Stream &amp; Compound Data'!BP204/$J149*(1-AF$127)*(1-AF$123)*$K210)</f>
        <v/>
      </c>
      <c r="AG210" s="648" t="str">
        <f>IF(OR(AG$122="",I149=""),"",'I. Stream &amp; Compound Data'!BS204/$J149*(1-AG$127)*(1-AG$123)*$K210)</f>
        <v/>
      </c>
      <c r="AH210" s="648" t="str">
        <f>IF(OR(AH$122="",I149=""),"",'I. Stream &amp; Compound Data'!BV204/$J149*(1-AH$127)*(1-AH$123)*$K210)</f>
        <v/>
      </c>
      <c r="AI210" s="648" t="str">
        <f>IF(OR(AI$122="",I149=""),"",'I. Stream &amp; Compound Data'!BY204/$J149*(1-AI$127)*(1-AI$123)*$K210)</f>
        <v/>
      </c>
      <c r="AJ210" s="648" t="str">
        <f>IF(OR(AJ$122="",I149=""),"",'I. Stream &amp; Compound Data'!CB204/$J149*(1-AJ$127)*(1-AJ$123)*$K210)</f>
        <v/>
      </c>
      <c r="AK210" s="648" t="str">
        <f>IF(OR(AK$122="",I149=""),"",'I. Stream &amp; Compound Data'!CE204/$J149*(1-AK$127)*(1-AK$123)*$K210)</f>
        <v/>
      </c>
      <c r="AL210" s="648" t="str">
        <f>IF(OR(AL$122="",I149=""),"",'I. Stream &amp; Compound Data'!CH204/$J149*(1-AL$127)*(1-AL$123)*$K210)</f>
        <v/>
      </c>
      <c r="AM210" s="648" t="str">
        <f>IF(OR(AM$122="",I149=""),"",'I. Stream &amp; Compound Data'!CK204/$J149*(1-AM$127)*(1-AM$123)*$K210)</f>
        <v/>
      </c>
      <c r="AN210" s="648" t="str">
        <f>IF(OR(AN$122="",I149=""),"",'I. Stream &amp; Compound Data'!CN204/$J149*(1-AN$127)*(1-AN$123)*$K210)</f>
        <v/>
      </c>
      <c r="AO210" s="648" t="str">
        <f>IF(OR(AO$122="",I149=""),"",'I. Stream &amp; Compound Data'!CQ204/$J149*(1-AO$127)*(1-AO$123)*$K210)</f>
        <v/>
      </c>
      <c r="AP210" s="648" t="str">
        <f>IF(OR(AP$122="",I149=""),"",'I. Stream &amp; Compound Data'!CT204/$J149*(1-AP$127)*(1-AP$123)*$K210)</f>
        <v/>
      </c>
      <c r="AQ210" s="648" t="str">
        <f>IF(OR(AQ$122="",I149=""),"",'I. Stream &amp; Compound Data'!CW204/$J149*(1-AQ$127)*(1-AQ$123)*$K210)</f>
        <v/>
      </c>
      <c r="AR210" s="648" t="str">
        <f>IF(OR(AR$122="",I149=""),"",'I. Stream &amp; Compound Data'!CZ204/$J149*(1-AR$127)*(1-AR$123)*$K210)</f>
        <v/>
      </c>
      <c r="AS210" s="648" t="str">
        <f>IF(OR(AS$122="",I149=""),"",'I. Stream &amp; Compound Data'!DC204/$J149*(1-AS$127)*(1-AS$123)*$K210)</f>
        <v/>
      </c>
      <c r="AT210" s="648" t="str">
        <f>IF(OR(AT$122="",I149=""),"",'I. Stream &amp; Compound Data'!DF204/$J149*(1-AT$127)*(1-AT$123)*$K210)</f>
        <v/>
      </c>
      <c r="AU210" s="648" t="str">
        <f>IF(OR(AU$122="",I149=""),"",'I. Stream &amp; Compound Data'!DI204/$J149*(1-AU$127)*(1-AU$123)*$K210)</f>
        <v/>
      </c>
      <c r="AV210" s="648" t="str">
        <f>IF(OR(AV$122="",I149=""),"",'I. Stream &amp; Compound Data'!DL204/$J149*(1-AV$127)*(1-AV$123)*$K210)</f>
        <v/>
      </c>
      <c r="AW210" s="648" t="str">
        <f>IF(OR(AW$122="",I149=""),"",'I. Stream &amp; Compound Data'!DO204/$J149*(1-AW$127)*(1-AW$123)*$K210)</f>
        <v/>
      </c>
      <c r="AX210" s="648" t="str">
        <f>IF(OR(AX$122="",I149=""),"",'I. Stream &amp; Compound Data'!DR204/$J149*(1-AX$127)*(1-AX$123)*$K210)</f>
        <v/>
      </c>
      <c r="AY210" s="647" t="str">
        <f>IF(OR(AY$122="",I149=""),"",'I. Stream &amp; Compound Data'!DU204/$J149*(1-AY$127)*(1-AY$123)*$K210)</f>
        <v/>
      </c>
      <c r="AZ210" s="336"/>
      <c r="BA210" s="632"/>
      <c r="BB210" s="632"/>
      <c r="BC210" s="632"/>
      <c r="BD210" s="632"/>
      <c r="BE210" s="632"/>
      <c r="BF210" s="632"/>
      <c r="BG210" s="632"/>
      <c r="BH210" s="632"/>
      <c r="BI210" s="632"/>
      <c r="BJ210" s="632"/>
      <c r="BK210" s="632"/>
      <c r="BL210" s="632"/>
      <c r="BM210" s="632"/>
      <c r="BN210" s="632"/>
      <c r="BO210" s="632"/>
      <c r="BP210" s="632"/>
      <c r="BQ210" s="632"/>
      <c r="BR210" s="632"/>
      <c r="BS210" s="632"/>
      <c r="BT210" s="632"/>
      <c r="BU210" s="632"/>
      <c r="BV210" s="632"/>
      <c r="BW210" s="632"/>
      <c r="BX210" s="632"/>
      <c r="BY210" s="632"/>
      <c r="BZ210" s="632"/>
      <c r="CA210" s="632"/>
      <c r="CB210" s="632"/>
      <c r="CC210" s="632"/>
      <c r="CD210" s="632"/>
      <c r="CE210" s="632"/>
      <c r="CF210" s="632"/>
      <c r="CG210" s="632"/>
      <c r="CH210" s="632"/>
      <c r="CI210" s="632"/>
      <c r="CJ210" s="632"/>
      <c r="CK210" s="632"/>
      <c r="CL210" s="632"/>
      <c r="CM210" s="632"/>
      <c r="CN210" s="631"/>
    </row>
    <row r="211" spans="2:92" ht="15.75" x14ac:dyDescent="0.2">
      <c r="B211" s="610"/>
      <c r="C211" s="336"/>
      <c r="D211" s="611"/>
      <c r="E211" s="612"/>
      <c r="F211" s="612"/>
      <c r="G211" s="612"/>
      <c r="H211" s="611"/>
      <c r="I211" s="637"/>
      <c r="J211" s="653">
        <f>'I. Stream &amp; Compound Data'!F281</f>
        <v>20</v>
      </c>
      <c r="K211" s="651" t="str">
        <f>IF('I. Stream &amp; Compound Data'!G281="","",IF('I. Stream &amp; Compound Data'!V281=1,0,1))</f>
        <v/>
      </c>
      <c r="L211" s="651" t="str">
        <f>IF(OR(L$122="",I150=""),"",'I. Stream &amp; Compound Data'!H205/$J150*(1-L$127)*(1-L$123)*$K211)</f>
        <v/>
      </c>
      <c r="M211" s="651" t="str">
        <f>IF(OR(M$122="",I150=""),"",'I. Stream &amp; Compound Data'!K205/$J150*(1-M$127)*(1-M$123)*$K211)</f>
        <v/>
      </c>
      <c r="N211" s="652" t="str">
        <f>IF(OR(N$122="",I150=""),"",'I. Stream &amp; Compound Data'!N205/$J150*(1-N$127)*(1-N$123)*$K211)</f>
        <v/>
      </c>
      <c r="O211" s="651" t="str">
        <f>IF(OR(O$122="",I150=""),"",'I. Stream &amp; Compound Data'!Q205/$J150*(1-O$127)*(1-O$123)*$K211)</f>
        <v/>
      </c>
      <c r="P211" s="651" t="str">
        <f>IF(OR(P$122="",I150=""),"",'I. Stream &amp; Compound Data'!T205/$J150*(1-P$127)*(1-P$123)*$K211)</f>
        <v/>
      </c>
      <c r="Q211" s="650" t="str">
        <f>IF(OR(Q$122="",I150=""),"",'I. Stream &amp; Compound Data'!W205/$J150*(1-Q$127)*(1-Q$123)*$K211)</f>
        <v/>
      </c>
      <c r="R211" s="649" t="str">
        <f>IF(OR(R$122="",I150=""),"",'I. Stream &amp; Compound Data'!Z205/$J150*(1-R$127)*(1-R$123)*$K211)</f>
        <v/>
      </c>
      <c r="S211" s="649" t="str">
        <f>IF(OR(S$122="",I150=""),"",'I. Stream &amp; Compound Data'!AC205/$J150*(1-S$127)*(1-S$123)*$K211)</f>
        <v/>
      </c>
      <c r="T211" s="649" t="str">
        <f>IF(OR(T$122="",I150=""),"",'I. Stream &amp; Compound Data'!AF205/$J150*(1-T$127)*(1-T$123)*$K211)</f>
        <v/>
      </c>
      <c r="U211" s="648" t="str">
        <f>IF(OR(U$122="",I150=""),"",'I. Stream &amp; Compound Data'!AI205/$J150*(1-U$127)*(1-U$123)*$K211)</f>
        <v/>
      </c>
      <c r="V211" s="648" t="str">
        <f>IF(OR(V$122="",I150=""),"",'I. Stream &amp; Compound Data'!AL205/$J150*(1-V$127)*(1-V$123)*$K211)</f>
        <v/>
      </c>
      <c r="W211" s="648" t="str">
        <f>IF(OR(W$122="",I150=""),"",'I. Stream &amp; Compound Data'!AO205/$J150*(1-W$127)*(1-W$123)*$K211)</f>
        <v/>
      </c>
      <c r="X211" s="648" t="str">
        <f>IF(OR(X$122="",I150=""),"",'I. Stream &amp; Compound Data'!AR205/$J150*(1-X$127)*(1-X$123)*$K211)</f>
        <v/>
      </c>
      <c r="Y211" s="648" t="str">
        <f>IF(OR(Y$122="",I150=""),"",'I. Stream &amp; Compound Data'!AU205/$J150*(1-Y$127)*(1-Y$123)*$K211)</f>
        <v/>
      </c>
      <c r="Z211" s="648" t="str">
        <f>IF(OR(Z$122="",I150=""),"",'I. Stream &amp; Compound Data'!AX205/$J150*(1-Z$127)*(1-Z$123)*$K211)</f>
        <v/>
      </c>
      <c r="AA211" s="648" t="str">
        <f>IF(OR(AA$122="",I150=""),"",'I. Stream &amp; Compound Data'!BA205/$J150*(1-AA$127)*(1-AA$123)*$K211)</f>
        <v/>
      </c>
      <c r="AB211" s="648" t="str">
        <f>IF(OR(AB$122="",I150=""),"",'I. Stream &amp; Compound Data'!BD205/$J150*(1-AB$127)*(1-AB$123)*$K211)</f>
        <v/>
      </c>
      <c r="AC211" s="648" t="str">
        <f>IF(OR(AC$122="",I150=""),"",'I. Stream &amp; Compound Data'!BG205/$J150*(1-AC$127)*(1-AC$123)*$K211)</f>
        <v/>
      </c>
      <c r="AD211" s="648" t="str">
        <f>IF(OR(AD$122="",I150=""),"",'I. Stream &amp; Compound Data'!BJ205/$J150*(1-AD$127)*(1-AD$123)*$K211)</f>
        <v/>
      </c>
      <c r="AE211" s="648" t="str">
        <f>IF(OR(AE$122="",I150=""),"",'I. Stream &amp; Compound Data'!BM205/$J150*(1-AE$127)*(1-AE$123)*$K211)</f>
        <v/>
      </c>
      <c r="AF211" s="648" t="str">
        <f>IF(OR(AF$122="",I150=""),"",'I. Stream &amp; Compound Data'!BP205/$J150*(1-AF$127)*(1-AF$123)*$K211)</f>
        <v/>
      </c>
      <c r="AG211" s="648" t="str">
        <f>IF(OR(AG$122="",I150=""),"",'I. Stream &amp; Compound Data'!BS205/$J150*(1-AG$127)*(1-AG$123)*$K211)</f>
        <v/>
      </c>
      <c r="AH211" s="648" t="str">
        <f>IF(OR(AH$122="",I150=""),"",'I. Stream &amp; Compound Data'!BV205/$J150*(1-AH$127)*(1-AH$123)*$K211)</f>
        <v/>
      </c>
      <c r="AI211" s="648" t="str">
        <f>IF(OR(AI$122="",I150=""),"",'I. Stream &amp; Compound Data'!BY205/$J150*(1-AI$127)*(1-AI$123)*$K211)</f>
        <v/>
      </c>
      <c r="AJ211" s="648" t="str">
        <f>IF(OR(AJ$122="",I150=""),"",'I. Stream &amp; Compound Data'!CB205/$J150*(1-AJ$127)*(1-AJ$123)*$K211)</f>
        <v/>
      </c>
      <c r="AK211" s="648" t="str">
        <f>IF(OR(AK$122="",I150=""),"",'I. Stream &amp; Compound Data'!CE205/$J150*(1-AK$127)*(1-AK$123)*$K211)</f>
        <v/>
      </c>
      <c r="AL211" s="648" t="str">
        <f>IF(OR(AL$122="",I150=""),"",'I. Stream &amp; Compound Data'!CH205/$J150*(1-AL$127)*(1-AL$123)*$K211)</f>
        <v/>
      </c>
      <c r="AM211" s="648" t="str">
        <f>IF(OR(AM$122="",I150=""),"",'I. Stream &amp; Compound Data'!CK205/$J150*(1-AM$127)*(1-AM$123)*$K211)</f>
        <v/>
      </c>
      <c r="AN211" s="648" t="str">
        <f>IF(OR(AN$122="",I150=""),"",'I. Stream &amp; Compound Data'!CN205/$J150*(1-AN$127)*(1-AN$123)*$K211)</f>
        <v/>
      </c>
      <c r="AO211" s="648" t="str">
        <f>IF(OR(AO$122="",I150=""),"",'I. Stream &amp; Compound Data'!CQ205/$J150*(1-AO$127)*(1-AO$123)*$K211)</f>
        <v/>
      </c>
      <c r="AP211" s="648" t="str">
        <f>IF(OR(AP$122="",I150=""),"",'I. Stream &amp; Compound Data'!CT205/$J150*(1-AP$127)*(1-AP$123)*$K211)</f>
        <v/>
      </c>
      <c r="AQ211" s="648" t="str">
        <f>IF(OR(AQ$122="",I150=""),"",'I. Stream &amp; Compound Data'!CW205/$J150*(1-AQ$127)*(1-AQ$123)*$K211)</f>
        <v/>
      </c>
      <c r="AR211" s="648" t="str">
        <f>IF(OR(AR$122="",I150=""),"",'I. Stream &amp; Compound Data'!CZ205/$J150*(1-AR$127)*(1-AR$123)*$K211)</f>
        <v/>
      </c>
      <c r="AS211" s="648" t="str">
        <f>IF(OR(AS$122="",I150=""),"",'I. Stream &amp; Compound Data'!DC205/$J150*(1-AS$127)*(1-AS$123)*$K211)</f>
        <v/>
      </c>
      <c r="AT211" s="648" t="str">
        <f>IF(OR(AT$122="",I150=""),"",'I. Stream &amp; Compound Data'!DF205/$J150*(1-AT$127)*(1-AT$123)*$K211)</f>
        <v/>
      </c>
      <c r="AU211" s="648" t="str">
        <f>IF(OR(AU$122="",I150=""),"",'I. Stream &amp; Compound Data'!DI205/$J150*(1-AU$127)*(1-AU$123)*$K211)</f>
        <v/>
      </c>
      <c r="AV211" s="648" t="str">
        <f>IF(OR(AV$122="",I150=""),"",'I. Stream &amp; Compound Data'!DL205/$J150*(1-AV$127)*(1-AV$123)*$K211)</f>
        <v/>
      </c>
      <c r="AW211" s="648" t="str">
        <f>IF(OR(AW$122="",I150=""),"",'I. Stream &amp; Compound Data'!DO205/$J150*(1-AW$127)*(1-AW$123)*$K211)</f>
        <v/>
      </c>
      <c r="AX211" s="648" t="str">
        <f>IF(OR(AX$122="",I150=""),"",'I. Stream &amp; Compound Data'!DR205/$J150*(1-AX$127)*(1-AX$123)*$K211)</f>
        <v/>
      </c>
      <c r="AY211" s="647" t="str">
        <f>IF(OR(AY$122="",I150=""),"",'I. Stream &amp; Compound Data'!DU205/$J150*(1-AY$127)*(1-AY$123)*$K211)</f>
        <v/>
      </c>
      <c r="AZ211" s="336"/>
      <c r="BA211" s="632"/>
      <c r="BB211" s="632"/>
      <c r="BC211" s="632"/>
      <c r="BD211" s="632"/>
      <c r="BE211" s="632"/>
      <c r="BF211" s="632"/>
      <c r="BG211" s="632"/>
      <c r="BH211" s="632"/>
      <c r="BI211" s="632"/>
      <c r="BJ211" s="632"/>
      <c r="BK211" s="632"/>
      <c r="BL211" s="632"/>
      <c r="BM211" s="632"/>
      <c r="BN211" s="632"/>
      <c r="BO211" s="632"/>
      <c r="BP211" s="632"/>
      <c r="BQ211" s="632"/>
      <c r="BR211" s="632"/>
      <c r="BS211" s="632"/>
      <c r="BT211" s="632"/>
      <c r="BU211" s="632"/>
      <c r="BV211" s="632"/>
      <c r="BW211" s="632"/>
      <c r="BX211" s="632"/>
      <c r="BY211" s="632"/>
      <c r="BZ211" s="632"/>
      <c r="CA211" s="632"/>
      <c r="CB211" s="632"/>
      <c r="CC211" s="632"/>
      <c r="CD211" s="632"/>
      <c r="CE211" s="632"/>
      <c r="CF211" s="632"/>
      <c r="CG211" s="632"/>
      <c r="CH211" s="632"/>
      <c r="CI211" s="632"/>
      <c r="CJ211" s="632"/>
      <c r="CK211" s="632"/>
      <c r="CL211" s="632"/>
      <c r="CM211" s="632"/>
      <c r="CN211" s="631"/>
    </row>
    <row r="212" spans="2:92" ht="15.75" x14ac:dyDescent="0.2">
      <c r="B212" s="610"/>
      <c r="C212" s="336"/>
      <c r="D212" s="611"/>
      <c r="E212" s="612"/>
      <c r="F212" s="612"/>
      <c r="G212" s="612"/>
      <c r="H212" s="611"/>
      <c r="I212" s="637"/>
      <c r="J212" s="653">
        <f>'I. Stream &amp; Compound Data'!F282</f>
        <v>21</v>
      </c>
      <c r="K212" s="651" t="str">
        <f>IF('I. Stream &amp; Compound Data'!G282="","",IF('I. Stream &amp; Compound Data'!V282=1,0,1))</f>
        <v/>
      </c>
      <c r="L212" s="651" t="str">
        <f>IF(OR(L$122="",I151=""),"",'I. Stream &amp; Compound Data'!H206/$J151*(1-L$127)*(1-L$123)*$K212)</f>
        <v/>
      </c>
      <c r="M212" s="651" t="str">
        <f>IF(OR(M$122="",I151=""),"",'I. Stream &amp; Compound Data'!K206/$J151*(1-M$127)*(1-M$123)*$K212)</f>
        <v/>
      </c>
      <c r="N212" s="652" t="str">
        <f>IF(OR(N$122="",I151=""),"",'I. Stream &amp; Compound Data'!N206/$J151*(1-N$127)*(1-N$123)*$K212)</f>
        <v/>
      </c>
      <c r="O212" s="651" t="str">
        <f>IF(OR(O$122="",I151=""),"",'I. Stream &amp; Compound Data'!Q206/$J151*(1-O$127)*(1-O$123)*$K212)</f>
        <v/>
      </c>
      <c r="P212" s="651" t="str">
        <f>IF(OR(P$122="",I151=""),"",'I. Stream &amp; Compound Data'!T206/$J151*(1-P$127)*(1-P$123)*$K212)</f>
        <v/>
      </c>
      <c r="Q212" s="650" t="str">
        <f>IF(OR(Q$122="",I151=""),"",'I. Stream &amp; Compound Data'!W206/$J151*(1-Q$127)*(1-Q$123)*$K212)</f>
        <v/>
      </c>
      <c r="R212" s="649" t="str">
        <f>IF(OR(R$122="",I151=""),"",'I. Stream &amp; Compound Data'!Z206/$J151*(1-R$127)*(1-R$123)*$K212)</f>
        <v/>
      </c>
      <c r="S212" s="649" t="str">
        <f>IF(OR(S$122="",I151=""),"",'I. Stream &amp; Compound Data'!AC206/$J151*(1-S$127)*(1-S$123)*$K212)</f>
        <v/>
      </c>
      <c r="T212" s="649" t="str">
        <f>IF(OR(T$122="",I151=""),"",'I. Stream &amp; Compound Data'!AF206/$J151*(1-T$127)*(1-T$123)*$K212)</f>
        <v/>
      </c>
      <c r="U212" s="648" t="str">
        <f>IF(OR(U$122="",I151=""),"",'I. Stream &amp; Compound Data'!AI206/$J151*(1-U$127)*(1-U$123)*$K212)</f>
        <v/>
      </c>
      <c r="V212" s="648" t="str">
        <f>IF(OR(V$122="",I151=""),"",'I. Stream &amp; Compound Data'!AL206/$J151*(1-V$127)*(1-V$123)*$K212)</f>
        <v/>
      </c>
      <c r="W212" s="648" t="str">
        <f>IF(OR(W$122="",I151=""),"",'I. Stream &amp; Compound Data'!AO206/$J151*(1-W$127)*(1-W$123)*$K212)</f>
        <v/>
      </c>
      <c r="X212" s="648" t="str">
        <f>IF(OR(X$122="",I151=""),"",'I. Stream &amp; Compound Data'!AR206/$J151*(1-X$127)*(1-X$123)*$K212)</f>
        <v/>
      </c>
      <c r="Y212" s="648" t="str">
        <f>IF(OR(Y$122="",I151=""),"",'I. Stream &amp; Compound Data'!AU206/$J151*(1-Y$127)*(1-Y$123)*$K212)</f>
        <v/>
      </c>
      <c r="Z212" s="648" t="str">
        <f>IF(OR(Z$122="",I151=""),"",'I. Stream &amp; Compound Data'!AX206/$J151*(1-Z$127)*(1-Z$123)*$K212)</f>
        <v/>
      </c>
      <c r="AA212" s="648" t="str">
        <f>IF(OR(AA$122="",I151=""),"",'I. Stream &amp; Compound Data'!BA206/$J151*(1-AA$127)*(1-AA$123)*$K212)</f>
        <v/>
      </c>
      <c r="AB212" s="648" t="str">
        <f>IF(OR(AB$122="",I151=""),"",'I. Stream &amp; Compound Data'!BD206/$J151*(1-AB$127)*(1-AB$123)*$K212)</f>
        <v/>
      </c>
      <c r="AC212" s="648" t="str">
        <f>IF(OR(AC$122="",I151=""),"",'I. Stream &amp; Compound Data'!BG206/$J151*(1-AC$127)*(1-AC$123)*$K212)</f>
        <v/>
      </c>
      <c r="AD212" s="648" t="str">
        <f>IF(OR(AD$122="",I151=""),"",'I. Stream &amp; Compound Data'!BJ206/$J151*(1-AD$127)*(1-AD$123)*$K212)</f>
        <v/>
      </c>
      <c r="AE212" s="648" t="str">
        <f>IF(OR(AE$122="",I151=""),"",'I. Stream &amp; Compound Data'!BM206/$J151*(1-AE$127)*(1-AE$123)*$K212)</f>
        <v/>
      </c>
      <c r="AF212" s="648" t="str">
        <f>IF(OR(AF$122="",I151=""),"",'I. Stream &amp; Compound Data'!BP206/$J151*(1-AF$127)*(1-AF$123)*$K212)</f>
        <v/>
      </c>
      <c r="AG212" s="648" t="str">
        <f>IF(OR(AG$122="",I151=""),"",'I. Stream &amp; Compound Data'!BS206/$J151*(1-AG$127)*(1-AG$123)*$K212)</f>
        <v/>
      </c>
      <c r="AH212" s="648" t="str">
        <f>IF(OR(AH$122="",I151=""),"",'I. Stream &amp; Compound Data'!BV206/$J151*(1-AH$127)*(1-AH$123)*$K212)</f>
        <v/>
      </c>
      <c r="AI212" s="648" t="str">
        <f>IF(OR(AI$122="",I151=""),"",'I. Stream &amp; Compound Data'!BY206/$J151*(1-AI$127)*(1-AI$123)*$K212)</f>
        <v/>
      </c>
      <c r="AJ212" s="648" t="str">
        <f>IF(OR(AJ$122="",I151=""),"",'I. Stream &amp; Compound Data'!CB206/$J151*(1-AJ$127)*(1-AJ$123)*$K212)</f>
        <v/>
      </c>
      <c r="AK212" s="648" t="str">
        <f>IF(OR(AK$122="",I151=""),"",'I. Stream &amp; Compound Data'!CE206/$J151*(1-AK$127)*(1-AK$123)*$K212)</f>
        <v/>
      </c>
      <c r="AL212" s="648" t="str">
        <f>IF(OR(AL$122="",I151=""),"",'I. Stream &amp; Compound Data'!CH206/$J151*(1-AL$127)*(1-AL$123)*$K212)</f>
        <v/>
      </c>
      <c r="AM212" s="648" t="str">
        <f>IF(OR(AM$122="",I151=""),"",'I. Stream &amp; Compound Data'!CK206/$J151*(1-AM$127)*(1-AM$123)*$K212)</f>
        <v/>
      </c>
      <c r="AN212" s="648" t="str">
        <f>IF(OR(AN$122="",I151=""),"",'I. Stream &amp; Compound Data'!CN206/$J151*(1-AN$127)*(1-AN$123)*$K212)</f>
        <v/>
      </c>
      <c r="AO212" s="648" t="str">
        <f>IF(OR(AO$122="",I151=""),"",'I. Stream &amp; Compound Data'!CQ206/$J151*(1-AO$127)*(1-AO$123)*$K212)</f>
        <v/>
      </c>
      <c r="AP212" s="648" t="str">
        <f>IF(OR(AP$122="",I151=""),"",'I. Stream &amp; Compound Data'!CT206/$J151*(1-AP$127)*(1-AP$123)*$K212)</f>
        <v/>
      </c>
      <c r="AQ212" s="648" t="str">
        <f>IF(OR(AQ$122="",I151=""),"",'I. Stream &amp; Compound Data'!CW206/$J151*(1-AQ$127)*(1-AQ$123)*$K212)</f>
        <v/>
      </c>
      <c r="AR212" s="648" t="str">
        <f>IF(OR(AR$122="",I151=""),"",'I. Stream &amp; Compound Data'!CZ206/$J151*(1-AR$127)*(1-AR$123)*$K212)</f>
        <v/>
      </c>
      <c r="AS212" s="648" t="str">
        <f>IF(OR(AS$122="",I151=""),"",'I. Stream &amp; Compound Data'!DC206/$J151*(1-AS$127)*(1-AS$123)*$K212)</f>
        <v/>
      </c>
      <c r="AT212" s="648" t="str">
        <f>IF(OR(AT$122="",I151=""),"",'I. Stream &amp; Compound Data'!DF206/$J151*(1-AT$127)*(1-AT$123)*$K212)</f>
        <v/>
      </c>
      <c r="AU212" s="648" t="str">
        <f>IF(OR(AU$122="",I151=""),"",'I. Stream &amp; Compound Data'!DI206/$J151*(1-AU$127)*(1-AU$123)*$K212)</f>
        <v/>
      </c>
      <c r="AV212" s="648" t="str">
        <f>IF(OR(AV$122="",I151=""),"",'I. Stream &amp; Compound Data'!DL206/$J151*(1-AV$127)*(1-AV$123)*$K212)</f>
        <v/>
      </c>
      <c r="AW212" s="648" t="str">
        <f>IF(OR(AW$122="",I151=""),"",'I. Stream &amp; Compound Data'!DO206/$J151*(1-AW$127)*(1-AW$123)*$K212)</f>
        <v/>
      </c>
      <c r="AX212" s="648" t="str">
        <f>IF(OR(AX$122="",I151=""),"",'I. Stream &amp; Compound Data'!DR206/$J151*(1-AX$127)*(1-AX$123)*$K212)</f>
        <v/>
      </c>
      <c r="AY212" s="647" t="str">
        <f>IF(OR(AY$122="",I151=""),"",'I. Stream &amp; Compound Data'!DU206/$J151*(1-AY$127)*(1-AY$123)*$K212)</f>
        <v/>
      </c>
      <c r="AZ212" s="336"/>
      <c r="BA212" s="632"/>
      <c r="BB212" s="632"/>
      <c r="BC212" s="632"/>
      <c r="BD212" s="632"/>
      <c r="BE212" s="632"/>
      <c r="BF212" s="632"/>
      <c r="BG212" s="632"/>
      <c r="BH212" s="632"/>
      <c r="BI212" s="632"/>
      <c r="BJ212" s="632"/>
      <c r="BK212" s="632"/>
      <c r="BL212" s="632"/>
      <c r="BM212" s="632"/>
      <c r="BN212" s="632"/>
      <c r="BO212" s="632"/>
      <c r="BP212" s="632"/>
      <c r="BQ212" s="632"/>
      <c r="BR212" s="632"/>
      <c r="BS212" s="632"/>
      <c r="BT212" s="632"/>
      <c r="BU212" s="632"/>
      <c r="BV212" s="632"/>
      <c r="BW212" s="632"/>
      <c r="BX212" s="632"/>
      <c r="BY212" s="632"/>
      <c r="BZ212" s="632"/>
      <c r="CA212" s="632"/>
      <c r="CB212" s="632"/>
      <c r="CC212" s="632"/>
      <c r="CD212" s="632"/>
      <c r="CE212" s="632"/>
      <c r="CF212" s="632"/>
      <c r="CG212" s="632"/>
      <c r="CH212" s="632"/>
      <c r="CI212" s="632"/>
      <c r="CJ212" s="632"/>
      <c r="CK212" s="632"/>
      <c r="CL212" s="632"/>
      <c r="CM212" s="632"/>
      <c r="CN212" s="631"/>
    </row>
    <row r="213" spans="2:92" ht="15.75" x14ac:dyDescent="0.2">
      <c r="B213" s="610"/>
      <c r="C213" s="336"/>
      <c r="D213" s="611"/>
      <c r="E213" s="612"/>
      <c r="F213" s="612"/>
      <c r="G213" s="612"/>
      <c r="H213" s="611"/>
      <c r="I213" s="637"/>
      <c r="J213" s="653">
        <f>'I. Stream &amp; Compound Data'!F283</f>
        <v>22</v>
      </c>
      <c r="K213" s="651" t="str">
        <f>IF('I. Stream &amp; Compound Data'!G283="","",IF('I. Stream &amp; Compound Data'!V283=1,0,1))</f>
        <v/>
      </c>
      <c r="L213" s="651" t="str">
        <f>IF(OR(L$122="",I152=""),"",'I. Stream &amp; Compound Data'!H207/$J152*(1-L$127)*(1-L$123)*$K213)</f>
        <v/>
      </c>
      <c r="M213" s="651" t="str">
        <f>IF(OR(M$122="",I152=""),"",'I. Stream &amp; Compound Data'!K207/$J152*(1-M$127)*(1-M$123)*$K213)</f>
        <v/>
      </c>
      <c r="N213" s="652" t="str">
        <f>IF(OR(N$122="",I152=""),"",'I. Stream &amp; Compound Data'!N207/$J152*(1-N$127)*(1-N$123)*$K213)</f>
        <v/>
      </c>
      <c r="O213" s="651" t="str">
        <f>IF(OR(O$122="",I152=""),"",'I. Stream &amp; Compound Data'!Q207/$J152*(1-O$127)*(1-O$123)*$K213)</f>
        <v/>
      </c>
      <c r="P213" s="651" t="str">
        <f>IF(OR(P$122="",I152=""),"",'I. Stream &amp; Compound Data'!T207/$J152*(1-P$127)*(1-P$123)*$K213)</f>
        <v/>
      </c>
      <c r="Q213" s="650" t="str">
        <f>IF(OR(Q$122="",I152=""),"",'I. Stream &amp; Compound Data'!W207/$J152*(1-Q$127)*(1-Q$123)*$K213)</f>
        <v/>
      </c>
      <c r="R213" s="649" t="str">
        <f>IF(OR(R$122="",I152=""),"",'I. Stream &amp; Compound Data'!Z207/$J152*(1-R$127)*(1-R$123)*$K213)</f>
        <v/>
      </c>
      <c r="S213" s="649" t="str">
        <f>IF(OR(S$122="",I152=""),"",'I. Stream &amp; Compound Data'!AC207/$J152*(1-S$127)*(1-S$123)*$K213)</f>
        <v/>
      </c>
      <c r="T213" s="649" t="str">
        <f>IF(OR(T$122="",I152=""),"",'I. Stream &amp; Compound Data'!AF207/$J152*(1-T$127)*(1-T$123)*$K213)</f>
        <v/>
      </c>
      <c r="U213" s="648" t="str">
        <f>IF(OR(U$122="",I152=""),"",'I. Stream &amp; Compound Data'!AI207/$J152*(1-U$127)*(1-U$123)*$K213)</f>
        <v/>
      </c>
      <c r="V213" s="648" t="str">
        <f>IF(OR(V$122="",I152=""),"",'I. Stream &amp; Compound Data'!AL207/$J152*(1-V$127)*(1-V$123)*$K213)</f>
        <v/>
      </c>
      <c r="W213" s="648" t="str">
        <f>IF(OR(W$122="",I152=""),"",'I. Stream &amp; Compound Data'!AO207/$J152*(1-W$127)*(1-W$123)*$K213)</f>
        <v/>
      </c>
      <c r="X213" s="648" t="str">
        <f>IF(OR(X$122="",I152=""),"",'I. Stream &amp; Compound Data'!AR207/$J152*(1-X$127)*(1-X$123)*$K213)</f>
        <v/>
      </c>
      <c r="Y213" s="648" t="str">
        <f>IF(OR(Y$122="",I152=""),"",'I. Stream &amp; Compound Data'!AU207/$J152*(1-Y$127)*(1-Y$123)*$K213)</f>
        <v/>
      </c>
      <c r="Z213" s="648" t="str">
        <f>IF(OR(Z$122="",I152=""),"",'I. Stream &amp; Compound Data'!AX207/$J152*(1-Z$127)*(1-Z$123)*$K213)</f>
        <v/>
      </c>
      <c r="AA213" s="648" t="str">
        <f>IF(OR(AA$122="",I152=""),"",'I. Stream &amp; Compound Data'!BA207/$J152*(1-AA$127)*(1-AA$123)*$K213)</f>
        <v/>
      </c>
      <c r="AB213" s="648" t="str">
        <f>IF(OR(AB$122="",I152=""),"",'I. Stream &amp; Compound Data'!BD207/$J152*(1-AB$127)*(1-AB$123)*$K213)</f>
        <v/>
      </c>
      <c r="AC213" s="648" t="str">
        <f>IF(OR(AC$122="",I152=""),"",'I. Stream &amp; Compound Data'!BG207/$J152*(1-AC$127)*(1-AC$123)*$K213)</f>
        <v/>
      </c>
      <c r="AD213" s="648" t="str">
        <f>IF(OR(AD$122="",I152=""),"",'I. Stream &amp; Compound Data'!BJ207/$J152*(1-AD$127)*(1-AD$123)*$K213)</f>
        <v/>
      </c>
      <c r="AE213" s="648" t="str">
        <f>IF(OR(AE$122="",I152=""),"",'I. Stream &amp; Compound Data'!BM207/$J152*(1-AE$127)*(1-AE$123)*$K213)</f>
        <v/>
      </c>
      <c r="AF213" s="648" t="str">
        <f>IF(OR(AF$122="",I152=""),"",'I. Stream &amp; Compound Data'!BP207/$J152*(1-AF$127)*(1-AF$123)*$K213)</f>
        <v/>
      </c>
      <c r="AG213" s="648" t="str">
        <f>IF(OR(AG$122="",I152=""),"",'I. Stream &amp; Compound Data'!BS207/$J152*(1-AG$127)*(1-AG$123)*$K213)</f>
        <v/>
      </c>
      <c r="AH213" s="648" t="str">
        <f>IF(OR(AH$122="",I152=""),"",'I. Stream &amp; Compound Data'!BV207/$J152*(1-AH$127)*(1-AH$123)*$K213)</f>
        <v/>
      </c>
      <c r="AI213" s="648" t="str">
        <f>IF(OR(AI$122="",I152=""),"",'I. Stream &amp; Compound Data'!BY207/$J152*(1-AI$127)*(1-AI$123)*$K213)</f>
        <v/>
      </c>
      <c r="AJ213" s="648" t="str">
        <f>IF(OR(AJ$122="",I152=""),"",'I. Stream &amp; Compound Data'!CB207/$J152*(1-AJ$127)*(1-AJ$123)*$K213)</f>
        <v/>
      </c>
      <c r="AK213" s="648" t="str">
        <f>IF(OR(AK$122="",I152=""),"",'I. Stream &amp; Compound Data'!CE207/$J152*(1-AK$127)*(1-AK$123)*$K213)</f>
        <v/>
      </c>
      <c r="AL213" s="648" t="str">
        <f>IF(OR(AL$122="",I152=""),"",'I. Stream &amp; Compound Data'!CH207/$J152*(1-AL$127)*(1-AL$123)*$K213)</f>
        <v/>
      </c>
      <c r="AM213" s="648" t="str">
        <f>IF(OR(AM$122="",I152=""),"",'I. Stream &amp; Compound Data'!CK207/$J152*(1-AM$127)*(1-AM$123)*$K213)</f>
        <v/>
      </c>
      <c r="AN213" s="648" t="str">
        <f>IF(OR(AN$122="",I152=""),"",'I. Stream &amp; Compound Data'!CN207/$J152*(1-AN$127)*(1-AN$123)*$K213)</f>
        <v/>
      </c>
      <c r="AO213" s="648" t="str">
        <f>IF(OR(AO$122="",I152=""),"",'I. Stream &amp; Compound Data'!CQ207/$J152*(1-AO$127)*(1-AO$123)*$K213)</f>
        <v/>
      </c>
      <c r="AP213" s="648" t="str">
        <f>IF(OR(AP$122="",I152=""),"",'I. Stream &amp; Compound Data'!CT207/$J152*(1-AP$127)*(1-AP$123)*$K213)</f>
        <v/>
      </c>
      <c r="AQ213" s="648" t="str">
        <f>IF(OR(AQ$122="",I152=""),"",'I. Stream &amp; Compound Data'!CW207/$J152*(1-AQ$127)*(1-AQ$123)*$K213)</f>
        <v/>
      </c>
      <c r="AR213" s="648" t="str">
        <f>IF(OR(AR$122="",I152=""),"",'I. Stream &amp; Compound Data'!CZ207/$J152*(1-AR$127)*(1-AR$123)*$K213)</f>
        <v/>
      </c>
      <c r="AS213" s="648" t="str">
        <f>IF(OR(AS$122="",I152=""),"",'I. Stream &amp; Compound Data'!DC207/$J152*(1-AS$127)*(1-AS$123)*$K213)</f>
        <v/>
      </c>
      <c r="AT213" s="648" t="str">
        <f>IF(OR(AT$122="",I152=""),"",'I. Stream &amp; Compound Data'!DF207/$J152*(1-AT$127)*(1-AT$123)*$K213)</f>
        <v/>
      </c>
      <c r="AU213" s="648" t="str">
        <f>IF(OR(AU$122="",I152=""),"",'I. Stream &amp; Compound Data'!DI207/$J152*(1-AU$127)*(1-AU$123)*$K213)</f>
        <v/>
      </c>
      <c r="AV213" s="648" t="str">
        <f>IF(OR(AV$122="",I152=""),"",'I. Stream &amp; Compound Data'!DL207/$J152*(1-AV$127)*(1-AV$123)*$K213)</f>
        <v/>
      </c>
      <c r="AW213" s="648" t="str">
        <f>IF(OR(AW$122="",I152=""),"",'I. Stream &amp; Compound Data'!DO207/$J152*(1-AW$127)*(1-AW$123)*$K213)</f>
        <v/>
      </c>
      <c r="AX213" s="648" t="str">
        <f>IF(OR(AX$122="",I152=""),"",'I. Stream &amp; Compound Data'!DR207/$J152*(1-AX$127)*(1-AX$123)*$K213)</f>
        <v/>
      </c>
      <c r="AY213" s="647" t="str">
        <f>IF(OR(AY$122="",I152=""),"",'I. Stream &amp; Compound Data'!DU207/$J152*(1-AY$127)*(1-AY$123)*$K213)</f>
        <v/>
      </c>
      <c r="AZ213" s="336"/>
      <c r="BA213" s="632"/>
      <c r="BB213" s="632"/>
      <c r="BC213" s="632"/>
      <c r="BD213" s="632"/>
      <c r="BE213" s="632"/>
      <c r="BF213" s="632"/>
      <c r="BG213" s="632"/>
      <c r="BH213" s="632"/>
      <c r="BI213" s="632"/>
      <c r="BJ213" s="632"/>
      <c r="BK213" s="632"/>
      <c r="BL213" s="632"/>
      <c r="BM213" s="632"/>
      <c r="BN213" s="632"/>
      <c r="BO213" s="632"/>
      <c r="BP213" s="632"/>
      <c r="BQ213" s="632"/>
      <c r="BR213" s="632"/>
      <c r="BS213" s="632"/>
      <c r="BT213" s="632"/>
      <c r="BU213" s="632"/>
      <c r="BV213" s="632"/>
      <c r="BW213" s="632"/>
      <c r="BX213" s="632"/>
      <c r="BY213" s="632"/>
      <c r="BZ213" s="632"/>
      <c r="CA213" s="632"/>
      <c r="CB213" s="632"/>
      <c r="CC213" s="632"/>
      <c r="CD213" s="632"/>
      <c r="CE213" s="632"/>
      <c r="CF213" s="632"/>
      <c r="CG213" s="632"/>
      <c r="CH213" s="632"/>
      <c r="CI213" s="632"/>
      <c r="CJ213" s="632"/>
      <c r="CK213" s="632"/>
      <c r="CL213" s="632"/>
      <c r="CM213" s="632"/>
      <c r="CN213" s="631"/>
    </row>
    <row r="214" spans="2:92" ht="15.75" x14ac:dyDescent="0.2">
      <c r="B214" s="610"/>
      <c r="C214" s="336"/>
      <c r="D214" s="611"/>
      <c r="E214" s="612"/>
      <c r="F214" s="612"/>
      <c r="G214" s="612"/>
      <c r="H214" s="611"/>
      <c r="I214" s="637"/>
      <c r="J214" s="653">
        <f>'I. Stream &amp; Compound Data'!F284</f>
        <v>23</v>
      </c>
      <c r="K214" s="651" t="str">
        <f>IF('I. Stream &amp; Compound Data'!G284="","",IF('I. Stream &amp; Compound Data'!V284=1,0,1))</f>
        <v/>
      </c>
      <c r="L214" s="651" t="str">
        <f>IF(OR(L$122="",I153=""),"",'I. Stream &amp; Compound Data'!H208/$J153*(1-L$127)*(1-L$123)*$K214)</f>
        <v/>
      </c>
      <c r="M214" s="651" t="str">
        <f>IF(OR(M$122="",I153=""),"",'I. Stream &amp; Compound Data'!K208/$J153*(1-M$127)*(1-M$123)*$K214)</f>
        <v/>
      </c>
      <c r="N214" s="652" t="str">
        <f>IF(OR(N$122="",I153=""),"",'I. Stream &amp; Compound Data'!N208/$J153*(1-N$127)*(1-N$123)*$K214)</f>
        <v/>
      </c>
      <c r="O214" s="651" t="str">
        <f>IF(OR(O$122="",I153=""),"",'I. Stream &amp; Compound Data'!Q208/$J153*(1-O$127)*(1-O$123)*$K214)</f>
        <v/>
      </c>
      <c r="P214" s="651" t="str">
        <f>IF(OR(P$122="",I153=""),"",'I. Stream &amp; Compound Data'!T208/$J153*(1-P$127)*(1-P$123)*$K214)</f>
        <v/>
      </c>
      <c r="Q214" s="650" t="str">
        <f>IF(OR(Q$122="",I153=""),"",'I. Stream &amp; Compound Data'!W208/$J153*(1-Q$127)*(1-Q$123)*$K214)</f>
        <v/>
      </c>
      <c r="R214" s="649" t="str">
        <f>IF(OR(R$122="",I153=""),"",'I. Stream &amp; Compound Data'!Z208/$J153*(1-R$127)*(1-R$123)*$K214)</f>
        <v/>
      </c>
      <c r="S214" s="649" t="str">
        <f>IF(OR(S$122="",I153=""),"",'I. Stream &amp; Compound Data'!AC208/$J153*(1-S$127)*(1-S$123)*$K214)</f>
        <v/>
      </c>
      <c r="T214" s="649" t="str">
        <f>IF(OR(T$122="",I153=""),"",'I. Stream &amp; Compound Data'!AF208/$J153*(1-T$127)*(1-T$123)*$K214)</f>
        <v/>
      </c>
      <c r="U214" s="648" t="str">
        <f>IF(OR(U$122="",I153=""),"",'I. Stream &amp; Compound Data'!AI208/$J153*(1-U$127)*(1-U$123)*$K214)</f>
        <v/>
      </c>
      <c r="V214" s="648" t="str">
        <f>IF(OR(V$122="",I153=""),"",'I. Stream &amp; Compound Data'!AL208/$J153*(1-V$127)*(1-V$123)*$K214)</f>
        <v/>
      </c>
      <c r="W214" s="648" t="str">
        <f>IF(OR(W$122="",I153=""),"",'I. Stream &amp; Compound Data'!AO208/$J153*(1-W$127)*(1-W$123)*$K214)</f>
        <v/>
      </c>
      <c r="X214" s="648" t="str">
        <f>IF(OR(X$122="",I153=""),"",'I. Stream &amp; Compound Data'!AR208/$J153*(1-X$127)*(1-X$123)*$K214)</f>
        <v/>
      </c>
      <c r="Y214" s="648" t="str">
        <f>IF(OR(Y$122="",I153=""),"",'I. Stream &amp; Compound Data'!AU208/$J153*(1-Y$127)*(1-Y$123)*$K214)</f>
        <v/>
      </c>
      <c r="Z214" s="648" t="str">
        <f>IF(OR(Z$122="",I153=""),"",'I. Stream &amp; Compound Data'!AX208/$J153*(1-Z$127)*(1-Z$123)*$K214)</f>
        <v/>
      </c>
      <c r="AA214" s="648" t="str">
        <f>IF(OR(AA$122="",I153=""),"",'I. Stream &amp; Compound Data'!BA208/$J153*(1-AA$127)*(1-AA$123)*$K214)</f>
        <v/>
      </c>
      <c r="AB214" s="648" t="str">
        <f>IF(OR(AB$122="",I153=""),"",'I. Stream &amp; Compound Data'!BD208/$J153*(1-AB$127)*(1-AB$123)*$K214)</f>
        <v/>
      </c>
      <c r="AC214" s="648" t="str">
        <f>IF(OR(AC$122="",I153=""),"",'I. Stream &amp; Compound Data'!BG208/$J153*(1-AC$127)*(1-AC$123)*$K214)</f>
        <v/>
      </c>
      <c r="AD214" s="648" t="str">
        <f>IF(OR(AD$122="",I153=""),"",'I. Stream &amp; Compound Data'!BJ208/$J153*(1-AD$127)*(1-AD$123)*$K214)</f>
        <v/>
      </c>
      <c r="AE214" s="648" t="str">
        <f>IF(OR(AE$122="",I153=""),"",'I. Stream &amp; Compound Data'!BM208/$J153*(1-AE$127)*(1-AE$123)*$K214)</f>
        <v/>
      </c>
      <c r="AF214" s="648" t="str">
        <f>IF(OR(AF$122="",I153=""),"",'I. Stream &amp; Compound Data'!BP208/$J153*(1-AF$127)*(1-AF$123)*$K214)</f>
        <v/>
      </c>
      <c r="AG214" s="648" t="str">
        <f>IF(OR(AG$122="",I153=""),"",'I. Stream &amp; Compound Data'!BS208/$J153*(1-AG$127)*(1-AG$123)*$K214)</f>
        <v/>
      </c>
      <c r="AH214" s="648" t="str">
        <f>IF(OR(AH$122="",I153=""),"",'I. Stream &amp; Compound Data'!BV208/$J153*(1-AH$127)*(1-AH$123)*$K214)</f>
        <v/>
      </c>
      <c r="AI214" s="648" t="str">
        <f>IF(OR(AI$122="",I153=""),"",'I. Stream &amp; Compound Data'!BY208/$J153*(1-AI$127)*(1-AI$123)*$K214)</f>
        <v/>
      </c>
      <c r="AJ214" s="648" t="str">
        <f>IF(OR(AJ$122="",I153=""),"",'I. Stream &amp; Compound Data'!CB208/$J153*(1-AJ$127)*(1-AJ$123)*$K214)</f>
        <v/>
      </c>
      <c r="AK214" s="648" t="str">
        <f>IF(OR(AK$122="",I153=""),"",'I. Stream &amp; Compound Data'!CE208/$J153*(1-AK$127)*(1-AK$123)*$K214)</f>
        <v/>
      </c>
      <c r="AL214" s="648" t="str">
        <f>IF(OR(AL$122="",I153=""),"",'I. Stream &amp; Compound Data'!CH208/$J153*(1-AL$127)*(1-AL$123)*$K214)</f>
        <v/>
      </c>
      <c r="AM214" s="648" t="str">
        <f>IF(OR(AM$122="",I153=""),"",'I. Stream &amp; Compound Data'!CK208/$J153*(1-AM$127)*(1-AM$123)*$K214)</f>
        <v/>
      </c>
      <c r="AN214" s="648" t="str">
        <f>IF(OR(AN$122="",I153=""),"",'I. Stream &amp; Compound Data'!CN208/$J153*(1-AN$127)*(1-AN$123)*$K214)</f>
        <v/>
      </c>
      <c r="AO214" s="648" t="str">
        <f>IF(OR(AO$122="",I153=""),"",'I. Stream &amp; Compound Data'!CQ208/$J153*(1-AO$127)*(1-AO$123)*$K214)</f>
        <v/>
      </c>
      <c r="AP214" s="648" t="str">
        <f>IF(OR(AP$122="",I153=""),"",'I. Stream &amp; Compound Data'!CT208/$J153*(1-AP$127)*(1-AP$123)*$K214)</f>
        <v/>
      </c>
      <c r="AQ214" s="648" t="str">
        <f>IF(OR(AQ$122="",I153=""),"",'I. Stream &amp; Compound Data'!CW208/$J153*(1-AQ$127)*(1-AQ$123)*$K214)</f>
        <v/>
      </c>
      <c r="AR214" s="648" t="str">
        <f>IF(OR(AR$122="",I153=""),"",'I. Stream &amp; Compound Data'!CZ208/$J153*(1-AR$127)*(1-AR$123)*$K214)</f>
        <v/>
      </c>
      <c r="AS214" s="648" t="str">
        <f>IF(OR(AS$122="",I153=""),"",'I. Stream &amp; Compound Data'!DC208/$J153*(1-AS$127)*(1-AS$123)*$K214)</f>
        <v/>
      </c>
      <c r="AT214" s="648" t="str">
        <f>IF(OR(AT$122="",I153=""),"",'I. Stream &amp; Compound Data'!DF208/$J153*(1-AT$127)*(1-AT$123)*$K214)</f>
        <v/>
      </c>
      <c r="AU214" s="648" t="str">
        <f>IF(OR(AU$122="",I153=""),"",'I. Stream &amp; Compound Data'!DI208/$J153*(1-AU$127)*(1-AU$123)*$K214)</f>
        <v/>
      </c>
      <c r="AV214" s="648" t="str">
        <f>IF(OR(AV$122="",I153=""),"",'I. Stream &amp; Compound Data'!DL208/$J153*(1-AV$127)*(1-AV$123)*$K214)</f>
        <v/>
      </c>
      <c r="AW214" s="648" t="str">
        <f>IF(OR(AW$122="",I153=""),"",'I. Stream &amp; Compound Data'!DO208/$J153*(1-AW$127)*(1-AW$123)*$K214)</f>
        <v/>
      </c>
      <c r="AX214" s="648" t="str">
        <f>IF(OR(AX$122="",I153=""),"",'I. Stream &amp; Compound Data'!DR208/$J153*(1-AX$127)*(1-AX$123)*$K214)</f>
        <v/>
      </c>
      <c r="AY214" s="647" t="str">
        <f>IF(OR(AY$122="",I153=""),"",'I. Stream &amp; Compound Data'!DU208/$J153*(1-AY$127)*(1-AY$123)*$K214)</f>
        <v/>
      </c>
      <c r="AZ214" s="336"/>
      <c r="BA214" s="632"/>
      <c r="BB214" s="632"/>
      <c r="BC214" s="632"/>
      <c r="BD214" s="632"/>
      <c r="BE214" s="632"/>
      <c r="BF214" s="632"/>
      <c r="BG214" s="632"/>
      <c r="BH214" s="632"/>
      <c r="BI214" s="632"/>
      <c r="BJ214" s="632"/>
      <c r="BK214" s="632"/>
      <c r="BL214" s="632"/>
      <c r="BM214" s="632"/>
      <c r="BN214" s="632"/>
      <c r="BO214" s="632"/>
      <c r="BP214" s="632"/>
      <c r="BQ214" s="632"/>
      <c r="BR214" s="632"/>
      <c r="BS214" s="632"/>
      <c r="BT214" s="632"/>
      <c r="BU214" s="632"/>
      <c r="BV214" s="632"/>
      <c r="BW214" s="632"/>
      <c r="BX214" s="632"/>
      <c r="BY214" s="632"/>
      <c r="BZ214" s="632"/>
      <c r="CA214" s="632"/>
      <c r="CB214" s="632"/>
      <c r="CC214" s="632"/>
      <c r="CD214" s="632"/>
      <c r="CE214" s="632"/>
      <c r="CF214" s="632"/>
      <c r="CG214" s="632"/>
      <c r="CH214" s="632"/>
      <c r="CI214" s="632"/>
      <c r="CJ214" s="632"/>
      <c r="CK214" s="632"/>
      <c r="CL214" s="632"/>
      <c r="CM214" s="632"/>
      <c r="CN214" s="631"/>
    </row>
    <row r="215" spans="2:92" ht="15.75" x14ac:dyDescent="0.2">
      <c r="B215" s="610"/>
      <c r="C215" s="336"/>
      <c r="D215" s="611"/>
      <c r="E215" s="612"/>
      <c r="F215" s="612"/>
      <c r="G215" s="612"/>
      <c r="H215" s="611"/>
      <c r="I215" s="637"/>
      <c r="J215" s="653">
        <f>'I. Stream &amp; Compound Data'!F285</f>
        <v>24</v>
      </c>
      <c r="K215" s="651" t="str">
        <f>IF('I. Stream &amp; Compound Data'!G285="","",IF('I. Stream &amp; Compound Data'!V285=1,0,1))</f>
        <v/>
      </c>
      <c r="L215" s="651" t="str">
        <f>IF(OR(L$122="",I154=""),"",'I. Stream &amp; Compound Data'!H209/$J154*(1-L$127)*(1-L$123)*$K215)</f>
        <v/>
      </c>
      <c r="M215" s="651" t="str">
        <f>IF(OR(M$122="",I154=""),"",'I. Stream &amp; Compound Data'!K209/$J154*(1-M$127)*(1-M$123)*$K215)</f>
        <v/>
      </c>
      <c r="N215" s="652" t="str">
        <f>IF(OR(N$122="",I154=""),"",'I. Stream &amp; Compound Data'!N209/$J154*(1-N$127)*(1-N$123)*$K215)</f>
        <v/>
      </c>
      <c r="O215" s="651" t="str">
        <f>IF(OR(O$122="",I154=""),"",'I. Stream &amp; Compound Data'!Q209/$J154*(1-O$127)*(1-O$123)*$K215)</f>
        <v/>
      </c>
      <c r="P215" s="651" t="str">
        <f>IF(OR(P$122="",I154=""),"",'I. Stream &amp; Compound Data'!T209/$J154*(1-P$127)*(1-P$123)*$K215)</f>
        <v/>
      </c>
      <c r="Q215" s="650" t="str">
        <f>IF(OR(Q$122="",I154=""),"",'I. Stream &amp; Compound Data'!W209/$J154*(1-Q$127)*(1-Q$123)*$K215)</f>
        <v/>
      </c>
      <c r="R215" s="649" t="str">
        <f>IF(OR(R$122="",I154=""),"",'I. Stream &amp; Compound Data'!Z209/$J154*(1-R$127)*(1-R$123)*$K215)</f>
        <v/>
      </c>
      <c r="S215" s="649" t="str">
        <f>IF(OR(S$122="",I154=""),"",'I. Stream &amp; Compound Data'!AC209/$J154*(1-S$127)*(1-S$123)*$K215)</f>
        <v/>
      </c>
      <c r="T215" s="649" t="str">
        <f>IF(OR(T$122="",I154=""),"",'I. Stream &amp; Compound Data'!AF209/$J154*(1-T$127)*(1-T$123)*$K215)</f>
        <v/>
      </c>
      <c r="U215" s="648" t="str">
        <f>IF(OR(U$122="",I154=""),"",'I. Stream &amp; Compound Data'!AI209/$J154*(1-U$127)*(1-U$123)*$K215)</f>
        <v/>
      </c>
      <c r="V215" s="648" t="str">
        <f>IF(OR(V$122="",I154=""),"",'I. Stream &amp; Compound Data'!AL209/$J154*(1-V$127)*(1-V$123)*$K215)</f>
        <v/>
      </c>
      <c r="W215" s="648" t="str">
        <f>IF(OR(W$122="",I154=""),"",'I. Stream &amp; Compound Data'!AO209/$J154*(1-W$127)*(1-W$123)*$K215)</f>
        <v/>
      </c>
      <c r="X215" s="648" t="str">
        <f>IF(OR(X$122="",I154=""),"",'I. Stream &amp; Compound Data'!AR209/$J154*(1-X$127)*(1-X$123)*$K215)</f>
        <v/>
      </c>
      <c r="Y215" s="648" t="str">
        <f>IF(OR(Y$122="",I154=""),"",'I. Stream &amp; Compound Data'!AU209/$J154*(1-Y$127)*(1-Y$123)*$K215)</f>
        <v/>
      </c>
      <c r="Z215" s="648" t="str">
        <f>IF(OR(Z$122="",I154=""),"",'I. Stream &amp; Compound Data'!AX209/$J154*(1-Z$127)*(1-Z$123)*$K215)</f>
        <v/>
      </c>
      <c r="AA215" s="648" t="str">
        <f>IF(OR(AA$122="",I154=""),"",'I. Stream &amp; Compound Data'!BA209/$J154*(1-AA$127)*(1-AA$123)*$K215)</f>
        <v/>
      </c>
      <c r="AB215" s="648" t="str">
        <f>IF(OR(AB$122="",I154=""),"",'I. Stream &amp; Compound Data'!BD209/$J154*(1-AB$127)*(1-AB$123)*$K215)</f>
        <v/>
      </c>
      <c r="AC215" s="648" t="str">
        <f>IF(OR(AC$122="",I154=""),"",'I. Stream &amp; Compound Data'!BG209/$J154*(1-AC$127)*(1-AC$123)*$K215)</f>
        <v/>
      </c>
      <c r="AD215" s="648" t="str">
        <f>IF(OR(AD$122="",I154=""),"",'I. Stream &amp; Compound Data'!BJ209/$J154*(1-AD$127)*(1-AD$123)*$K215)</f>
        <v/>
      </c>
      <c r="AE215" s="648" t="str">
        <f>IF(OR(AE$122="",I154=""),"",'I. Stream &amp; Compound Data'!BM209/$J154*(1-AE$127)*(1-AE$123)*$K215)</f>
        <v/>
      </c>
      <c r="AF215" s="648" t="str">
        <f>IF(OR(AF$122="",I154=""),"",'I. Stream &amp; Compound Data'!BP209/$J154*(1-AF$127)*(1-AF$123)*$K215)</f>
        <v/>
      </c>
      <c r="AG215" s="648" t="str">
        <f>IF(OR(AG$122="",I154=""),"",'I. Stream &amp; Compound Data'!BS209/$J154*(1-AG$127)*(1-AG$123)*$K215)</f>
        <v/>
      </c>
      <c r="AH215" s="648" t="str">
        <f>IF(OR(AH$122="",I154=""),"",'I. Stream &amp; Compound Data'!BV209/$J154*(1-AH$127)*(1-AH$123)*$K215)</f>
        <v/>
      </c>
      <c r="AI215" s="648" t="str">
        <f>IF(OR(AI$122="",I154=""),"",'I. Stream &amp; Compound Data'!BY209/$J154*(1-AI$127)*(1-AI$123)*$K215)</f>
        <v/>
      </c>
      <c r="AJ215" s="648" t="str">
        <f>IF(OR(AJ$122="",I154=""),"",'I. Stream &amp; Compound Data'!CB209/$J154*(1-AJ$127)*(1-AJ$123)*$K215)</f>
        <v/>
      </c>
      <c r="AK215" s="648" t="str">
        <f>IF(OR(AK$122="",I154=""),"",'I. Stream &amp; Compound Data'!CE209/$J154*(1-AK$127)*(1-AK$123)*$K215)</f>
        <v/>
      </c>
      <c r="AL215" s="648" t="str">
        <f>IF(OR(AL$122="",I154=""),"",'I. Stream &amp; Compound Data'!CH209/$J154*(1-AL$127)*(1-AL$123)*$K215)</f>
        <v/>
      </c>
      <c r="AM215" s="648" t="str">
        <f>IF(OR(AM$122="",I154=""),"",'I. Stream &amp; Compound Data'!CK209/$J154*(1-AM$127)*(1-AM$123)*$K215)</f>
        <v/>
      </c>
      <c r="AN215" s="648" t="str">
        <f>IF(OR(AN$122="",I154=""),"",'I. Stream &amp; Compound Data'!CN209/$J154*(1-AN$127)*(1-AN$123)*$K215)</f>
        <v/>
      </c>
      <c r="AO215" s="648" t="str">
        <f>IF(OR(AO$122="",I154=""),"",'I. Stream &amp; Compound Data'!CQ209/$J154*(1-AO$127)*(1-AO$123)*$K215)</f>
        <v/>
      </c>
      <c r="AP215" s="648" t="str">
        <f>IF(OR(AP$122="",I154=""),"",'I. Stream &amp; Compound Data'!CT209/$J154*(1-AP$127)*(1-AP$123)*$K215)</f>
        <v/>
      </c>
      <c r="AQ215" s="648" t="str">
        <f>IF(OR(AQ$122="",I154=""),"",'I. Stream &amp; Compound Data'!CW209/$J154*(1-AQ$127)*(1-AQ$123)*$K215)</f>
        <v/>
      </c>
      <c r="AR215" s="648" t="str">
        <f>IF(OR(AR$122="",I154=""),"",'I. Stream &amp; Compound Data'!CZ209/$J154*(1-AR$127)*(1-AR$123)*$K215)</f>
        <v/>
      </c>
      <c r="AS215" s="648" t="str">
        <f>IF(OR(AS$122="",I154=""),"",'I. Stream &amp; Compound Data'!DC209/$J154*(1-AS$127)*(1-AS$123)*$K215)</f>
        <v/>
      </c>
      <c r="AT215" s="648" t="str">
        <f>IF(OR(AT$122="",I154=""),"",'I. Stream &amp; Compound Data'!DF209/$J154*(1-AT$127)*(1-AT$123)*$K215)</f>
        <v/>
      </c>
      <c r="AU215" s="648" t="str">
        <f>IF(OR(AU$122="",I154=""),"",'I. Stream &amp; Compound Data'!DI209/$J154*(1-AU$127)*(1-AU$123)*$K215)</f>
        <v/>
      </c>
      <c r="AV215" s="648" t="str">
        <f>IF(OR(AV$122="",I154=""),"",'I. Stream &amp; Compound Data'!DL209/$J154*(1-AV$127)*(1-AV$123)*$K215)</f>
        <v/>
      </c>
      <c r="AW215" s="648" t="str">
        <f>IF(OR(AW$122="",I154=""),"",'I. Stream &amp; Compound Data'!DO209/$J154*(1-AW$127)*(1-AW$123)*$K215)</f>
        <v/>
      </c>
      <c r="AX215" s="648" t="str">
        <f>IF(OR(AX$122="",I154=""),"",'I. Stream &amp; Compound Data'!DR209/$J154*(1-AX$127)*(1-AX$123)*$K215)</f>
        <v/>
      </c>
      <c r="AY215" s="647" t="str">
        <f>IF(OR(AY$122="",I154=""),"",'I. Stream &amp; Compound Data'!DU209/$J154*(1-AY$127)*(1-AY$123)*$K215)</f>
        <v/>
      </c>
      <c r="AZ215" s="336"/>
      <c r="BA215" s="632"/>
      <c r="BB215" s="632"/>
      <c r="BC215" s="632"/>
      <c r="BD215" s="632"/>
      <c r="BE215" s="632"/>
      <c r="BF215" s="632"/>
      <c r="BG215" s="632"/>
      <c r="BH215" s="632"/>
      <c r="BI215" s="632"/>
      <c r="BJ215" s="632"/>
      <c r="BK215" s="632"/>
      <c r="BL215" s="632"/>
      <c r="BM215" s="632"/>
      <c r="BN215" s="632"/>
      <c r="BO215" s="632"/>
      <c r="BP215" s="632"/>
      <c r="BQ215" s="632"/>
      <c r="BR215" s="632"/>
      <c r="BS215" s="632"/>
      <c r="BT215" s="632"/>
      <c r="BU215" s="632"/>
      <c r="BV215" s="632"/>
      <c r="BW215" s="632"/>
      <c r="BX215" s="632"/>
      <c r="BY215" s="632"/>
      <c r="BZ215" s="632"/>
      <c r="CA215" s="632"/>
      <c r="CB215" s="632"/>
      <c r="CC215" s="632"/>
      <c r="CD215" s="632"/>
      <c r="CE215" s="632"/>
      <c r="CF215" s="632"/>
      <c r="CG215" s="632"/>
      <c r="CH215" s="632"/>
      <c r="CI215" s="632"/>
      <c r="CJ215" s="632"/>
      <c r="CK215" s="632"/>
      <c r="CL215" s="632"/>
      <c r="CM215" s="632"/>
      <c r="CN215" s="631"/>
    </row>
    <row r="216" spans="2:92" ht="15.75" x14ac:dyDescent="0.2">
      <c r="B216" s="610"/>
      <c r="C216" s="336"/>
      <c r="D216" s="611"/>
      <c r="E216" s="612"/>
      <c r="F216" s="612"/>
      <c r="G216" s="612"/>
      <c r="H216" s="611"/>
      <c r="I216" s="637"/>
      <c r="J216" s="653">
        <f>'I. Stream &amp; Compound Data'!F286</f>
        <v>25</v>
      </c>
      <c r="K216" s="651" t="str">
        <f>IF('I. Stream &amp; Compound Data'!G286="","",IF('I. Stream &amp; Compound Data'!V286=1,0,1))</f>
        <v/>
      </c>
      <c r="L216" s="651" t="str">
        <f>IF(OR(L$122="",I155=""),"",'I. Stream &amp; Compound Data'!H210/$J155*(1-L$127)*(1-L$123)*$K216)</f>
        <v/>
      </c>
      <c r="M216" s="651" t="str">
        <f>IF(OR(M$122="",I155=""),"",'I. Stream &amp; Compound Data'!K210/$J155*(1-M$127)*(1-M$123)*$K216)</f>
        <v/>
      </c>
      <c r="N216" s="652" t="str">
        <f>IF(OR(N$122="",I155=""),"",'I. Stream &amp; Compound Data'!N210/$J155*(1-N$127)*(1-N$123)*$K216)</f>
        <v/>
      </c>
      <c r="O216" s="651" t="str">
        <f>IF(OR(O$122="",I155=""),"",'I. Stream &amp; Compound Data'!Q210/$J155*(1-O$127)*(1-O$123)*$K216)</f>
        <v/>
      </c>
      <c r="P216" s="651" t="str">
        <f>IF(OR(P$122="",I155=""),"",'I. Stream &amp; Compound Data'!T210/$J155*(1-P$127)*(1-P$123)*$K216)</f>
        <v/>
      </c>
      <c r="Q216" s="650" t="str">
        <f>IF(OR(Q$122="",I155=""),"",'I. Stream &amp; Compound Data'!W210/$J155*(1-Q$127)*(1-Q$123)*$K216)</f>
        <v/>
      </c>
      <c r="R216" s="649" t="str">
        <f>IF(OR(R$122="",I155=""),"",'I. Stream &amp; Compound Data'!Z210/$J155*(1-R$127)*(1-R$123)*$K216)</f>
        <v/>
      </c>
      <c r="S216" s="649" t="str">
        <f>IF(OR(S$122="",I155=""),"",'I. Stream &amp; Compound Data'!AC210/$J155*(1-S$127)*(1-S$123)*$K216)</f>
        <v/>
      </c>
      <c r="T216" s="649" t="str">
        <f>IF(OR(T$122="",I155=""),"",'I. Stream &amp; Compound Data'!AF210/$J155*(1-T$127)*(1-T$123)*$K216)</f>
        <v/>
      </c>
      <c r="U216" s="648" t="str">
        <f>IF(OR(U$122="",I155=""),"",'I. Stream &amp; Compound Data'!AI210/$J155*(1-U$127)*(1-U$123)*$K216)</f>
        <v/>
      </c>
      <c r="V216" s="648" t="str">
        <f>IF(OR(V$122="",I155=""),"",'I. Stream &amp; Compound Data'!AL210/$J155*(1-V$127)*(1-V$123)*$K216)</f>
        <v/>
      </c>
      <c r="W216" s="648" t="str">
        <f>IF(OR(W$122="",I155=""),"",'I. Stream &amp; Compound Data'!AO210/$J155*(1-W$127)*(1-W$123)*$K216)</f>
        <v/>
      </c>
      <c r="X216" s="648" t="str">
        <f>IF(OR(X$122="",I155=""),"",'I. Stream &amp; Compound Data'!AR210/$J155*(1-X$127)*(1-X$123)*$K216)</f>
        <v/>
      </c>
      <c r="Y216" s="648" t="str">
        <f>IF(OR(Y$122="",I155=""),"",'I. Stream &amp; Compound Data'!AU210/$J155*(1-Y$127)*(1-Y$123)*$K216)</f>
        <v/>
      </c>
      <c r="Z216" s="648" t="str">
        <f>IF(OR(Z$122="",I155=""),"",'I. Stream &amp; Compound Data'!AX210/$J155*(1-Z$127)*(1-Z$123)*$K216)</f>
        <v/>
      </c>
      <c r="AA216" s="648" t="str">
        <f>IF(OR(AA$122="",I155=""),"",'I. Stream &amp; Compound Data'!BA210/$J155*(1-AA$127)*(1-AA$123)*$K216)</f>
        <v/>
      </c>
      <c r="AB216" s="648" t="str">
        <f>IF(OR(AB$122="",I155=""),"",'I. Stream &amp; Compound Data'!BD210/$J155*(1-AB$127)*(1-AB$123)*$K216)</f>
        <v/>
      </c>
      <c r="AC216" s="648" t="str">
        <f>IF(OR(AC$122="",I155=""),"",'I. Stream &amp; Compound Data'!BG210/$J155*(1-AC$127)*(1-AC$123)*$K216)</f>
        <v/>
      </c>
      <c r="AD216" s="648" t="str">
        <f>IF(OR(AD$122="",I155=""),"",'I. Stream &amp; Compound Data'!BJ210/$J155*(1-AD$127)*(1-AD$123)*$K216)</f>
        <v/>
      </c>
      <c r="AE216" s="648" t="str">
        <f>IF(OR(AE$122="",I155=""),"",'I. Stream &amp; Compound Data'!BM210/$J155*(1-AE$127)*(1-AE$123)*$K216)</f>
        <v/>
      </c>
      <c r="AF216" s="648" t="str">
        <f>IF(OR(AF$122="",I155=""),"",'I. Stream &amp; Compound Data'!BP210/$J155*(1-AF$127)*(1-AF$123)*$K216)</f>
        <v/>
      </c>
      <c r="AG216" s="648" t="str">
        <f>IF(OR(AG$122="",I155=""),"",'I. Stream &amp; Compound Data'!BS210/$J155*(1-AG$127)*(1-AG$123)*$K216)</f>
        <v/>
      </c>
      <c r="AH216" s="648" t="str">
        <f>IF(OR(AH$122="",I155=""),"",'I. Stream &amp; Compound Data'!BV210/$J155*(1-AH$127)*(1-AH$123)*$K216)</f>
        <v/>
      </c>
      <c r="AI216" s="648" t="str">
        <f>IF(OR(AI$122="",I155=""),"",'I. Stream &amp; Compound Data'!BY210/$J155*(1-AI$127)*(1-AI$123)*$K216)</f>
        <v/>
      </c>
      <c r="AJ216" s="648" t="str">
        <f>IF(OR(AJ$122="",I155=""),"",'I. Stream &amp; Compound Data'!CB210/$J155*(1-AJ$127)*(1-AJ$123)*$K216)</f>
        <v/>
      </c>
      <c r="AK216" s="648" t="str">
        <f>IF(OR(AK$122="",I155=""),"",'I. Stream &amp; Compound Data'!CE210/$J155*(1-AK$127)*(1-AK$123)*$K216)</f>
        <v/>
      </c>
      <c r="AL216" s="648" t="str">
        <f>IF(OR(AL$122="",I155=""),"",'I. Stream &amp; Compound Data'!CH210/$J155*(1-AL$127)*(1-AL$123)*$K216)</f>
        <v/>
      </c>
      <c r="AM216" s="648" t="str">
        <f>IF(OR(AM$122="",I155=""),"",'I. Stream &amp; Compound Data'!CK210/$J155*(1-AM$127)*(1-AM$123)*$K216)</f>
        <v/>
      </c>
      <c r="AN216" s="648" t="str">
        <f>IF(OR(AN$122="",I155=""),"",'I. Stream &amp; Compound Data'!CN210/$J155*(1-AN$127)*(1-AN$123)*$K216)</f>
        <v/>
      </c>
      <c r="AO216" s="648" t="str">
        <f>IF(OR(AO$122="",I155=""),"",'I. Stream &amp; Compound Data'!CQ210/$J155*(1-AO$127)*(1-AO$123)*$K216)</f>
        <v/>
      </c>
      <c r="AP216" s="648" t="str">
        <f>IF(OR(AP$122="",I155=""),"",'I. Stream &amp; Compound Data'!CT210/$J155*(1-AP$127)*(1-AP$123)*$K216)</f>
        <v/>
      </c>
      <c r="AQ216" s="648" t="str">
        <f>IF(OR(AQ$122="",I155=""),"",'I. Stream &amp; Compound Data'!CW210/$J155*(1-AQ$127)*(1-AQ$123)*$K216)</f>
        <v/>
      </c>
      <c r="AR216" s="648" t="str">
        <f>IF(OR(AR$122="",I155=""),"",'I. Stream &amp; Compound Data'!CZ210/$J155*(1-AR$127)*(1-AR$123)*$K216)</f>
        <v/>
      </c>
      <c r="AS216" s="648" t="str">
        <f>IF(OR(AS$122="",I155=""),"",'I. Stream &amp; Compound Data'!DC210/$J155*(1-AS$127)*(1-AS$123)*$K216)</f>
        <v/>
      </c>
      <c r="AT216" s="648" t="str">
        <f>IF(OR(AT$122="",I155=""),"",'I. Stream &amp; Compound Data'!DF210/$J155*(1-AT$127)*(1-AT$123)*$K216)</f>
        <v/>
      </c>
      <c r="AU216" s="648" t="str">
        <f>IF(OR(AU$122="",I155=""),"",'I. Stream &amp; Compound Data'!DI210/$J155*(1-AU$127)*(1-AU$123)*$K216)</f>
        <v/>
      </c>
      <c r="AV216" s="648" t="str">
        <f>IF(OR(AV$122="",I155=""),"",'I. Stream &amp; Compound Data'!DL210/$J155*(1-AV$127)*(1-AV$123)*$K216)</f>
        <v/>
      </c>
      <c r="AW216" s="648" t="str">
        <f>IF(OR(AW$122="",I155=""),"",'I. Stream &amp; Compound Data'!DO210/$J155*(1-AW$127)*(1-AW$123)*$K216)</f>
        <v/>
      </c>
      <c r="AX216" s="648" t="str">
        <f>IF(OR(AX$122="",I155=""),"",'I. Stream &amp; Compound Data'!DR210/$J155*(1-AX$127)*(1-AX$123)*$K216)</f>
        <v/>
      </c>
      <c r="AY216" s="647" t="str">
        <f>IF(OR(AY$122="",I155=""),"",'I. Stream &amp; Compound Data'!DU210/$J155*(1-AY$127)*(1-AY$123)*$K216)</f>
        <v/>
      </c>
      <c r="AZ216" s="336"/>
      <c r="BA216" s="632"/>
      <c r="BB216" s="632"/>
      <c r="BC216" s="632"/>
      <c r="BD216" s="632"/>
      <c r="BE216" s="632"/>
      <c r="BF216" s="632"/>
      <c r="BG216" s="632"/>
      <c r="BH216" s="632"/>
      <c r="BI216" s="632"/>
      <c r="BJ216" s="632"/>
      <c r="BK216" s="632"/>
      <c r="BL216" s="632"/>
      <c r="BM216" s="632"/>
      <c r="BN216" s="632"/>
      <c r="BO216" s="632"/>
      <c r="BP216" s="632"/>
      <c r="BQ216" s="632"/>
      <c r="BR216" s="632"/>
      <c r="BS216" s="632"/>
      <c r="BT216" s="632"/>
      <c r="BU216" s="632"/>
      <c r="BV216" s="632"/>
      <c r="BW216" s="632"/>
      <c r="BX216" s="632"/>
      <c r="BY216" s="632"/>
      <c r="BZ216" s="632"/>
      <c r="CA216" s="632"/>
      <c r="CB216" s="632"/>
      <c r="CC216" s="632"/>
      <c r="CD216" s="632"/>
      <c r="CE216" s="632"/>
      <c r="CF216" s="632"/>
      <c r="CG216" s="632"/>
      <c r="CH216" s="632"/>
      <c r="CI216" s="632"/>
      <c r="CJ216" s="632"/>
      <c r="CK216" s="632"/>
      <c r="CL216" s="632"/>
      <c r="CM216" s="632"/>
      <c r="CN216" s="631"/>
    </row>
    <row r="217" spans="2:92" ht="15.75" x14ac:dyDescent="0.2">
      <c r="B217" s="610"/>
      <c r="C217" s="336"/>
      <c r="D217" s="611"/>
      <c r="E217" s="612"/>
      <c r="F217" s="612"/>
      <c r="G217" s="612"/>
      <c r="H217" s="611"/>
      <c r="I217" s="637"/>
      <c r="J217" s="653">
        <f>'I. Stream &amp; Compound Data'!F287</f>
        <v>26</v>
      </c>
      <c r="K217" s="651" t="str">
        <f>IF('I. Stream &amp; Compound Data'!G287="","",IF('I. Stream &amp; Compound Data'!V287=1,0,1))</f>
        <v/>
      </c>
      <c r="L217" s="651" t="str">
        <f>IF(OR(L$122="",I156=""),"",'I. Stream &amp; Compound Data'!H211/$J156*(1-L$127)*(1-L$123)*$K217)</f>
        <v/>
      </c>
      <c r="M217" s="651" t="str">
        <f>IF(OR(M$122="",I156=""),"",'I. Stream &amp; Compound Data'!K211/$J156*(1-M$127)*(1-M$123)*$K217)</f>
        <v/>
      </c>
      <c r="N217" s="652" t="str">
        <f>IF(OR(N$122="",I156=""),"",'I. Stream &amp; Compound Data'!N211/$J156*(1-N$127)*(1-N$123)*$K217)</f>
        <v/>
      </c>
      <c r="O217" s="651" t="str">
        <f>IF(OR(O$122="",I156=""),"",'I. Stream &amp; Compound Data'!Q211/$J156*(1-O$127)*(1-O$123)*$K217)</f>
        <v/>
      </c>
      <c r="P217" s="651" t="str">
        <f>IF(OR(P$122="",I156=""),"",'I. Stream &amp; Compound Data'!T211/$J156*(1-P$127)*(1-P$123)*$K217)</f>
        <v/>
      </c>
      <c r="Q217" s="650" t="str">
        <f>IF(OR(Q$122="",I156=""),"",'I. Stream &amp; Compound Data'!W211/$J156*(1-Q$127)*(1-Q$123)*$K217)</f>
        <v/>
      </c>
      <c r="R217" s="649" t="str">
        <f>IF(OR(R$122="",I156=""),"",'I. Stream &amp; Compound Data'!Z211/$J156*(1-R$127)*(1-R$123)*$K217)</f>
        <v/>
      </c>
      <c r="S217" s="649" t="str">
        <f>IF(OR(S$122="",I156=""),"",'I. Stream &amp; Compound Data'!AC211/$J156*(1-S$127)*(1-S$123)*$K217)</f>
        <v/>
      </c>
      <c r="T217" s="649" t="str">
        <f>IF(OR(T$122="",I156=""),"",'I. Stream &amp; Compound Data'!AF211/$J156*(1-T$127)*(1-T$123)*$K217)</f>
        <v/>
      </c>
      <c r="U217" s="648" t="str">
        <f>IF(OR(U$122="",I156=""),"",'I. Stream &amp; Compound Data'!AI211/$J156*(1-U$127)*(1-U$123)*$K217)</f>
        <v/>
      </c>
      <c r="V217" s="648" t="str">
        <f>IF(OR(V$122="",I156=""),"",'I. Stream &amp; Compound Data'!AL211/$J156*(1-V$127)*(1-V$123)*$K217)</f>
        <v/>
      </c>
      <c r="W217" s="648" t="str">
        <f>IF(OR(W$122="",I156=""),"",'I. Stream &amp; Compound Data'!AO211/$J156*(1-W$127)*(1-W$123)*$K217)</f>
        <v/>
      </c>
      <c r="X217" s="648" t="str">
        <f>IF(OR(X$122="",I156=""),"",'I. Stream &amp; Compound Data'!AR211/$J156*(1-X$127)*(1-X$123)*$K217)</f>
        <v/>
      </c>
      <c r="Y217" s="648" t="str">
        <f>IF(OR(Y$122="",I156=""),"",'I. Stream &amp; Compound Data'!AU211/$J156*(1-Y$127)*(1-Y$123)*$K217)</f>
        <v/>
      </c>
      <c r="Z217" s="648" t="str">
        <f>IF(OR(Z$122="",I156=""),"",'I. Stream &amp; Compound Data'!AX211/$J156*(1-Z$127)*(1-Z$123)*$K217)</f>
        <v/>
      </c>
      <c r="AA217" s="648" t="str">
        <f>IF(OR(AA$122="",I156=""),"",'I. Stream &amp; Compound Data'!BA211/$J156*(1-AA$127)*(1-AA$123)*$K217)</f>
        <v/>
      </c>
      <c r="AB217" s="648" t="str">
        <f>IF(OR(AB$122="",I156=""),"",'I. Stream &amp; Compound Data'!BD211/$J156*(1-AB$127)*(1-AB$123)*$K217)</f>
        <v/>
      </c>
      <c r="AC217" s="648" t="str">
        <f>IF(OR(AC$122="",I156=""),"",'I. Stream &amp; Compound Data'!BG211/$J156*(1-AC$127)*(1-AC$123)*$K217)</f>
        <v/>
      </c>
      <c r="AD217" s="648" t="str">
        <f>IF(OR(AD$122="",I156=""),"",'I. Stream &amp; Compound Data'!BJ211/$J156*(1-AD$127)*(1-AD$123)*$K217)</f>
        <v/>
      </c>
      <c r="AE217" s="648" t="str">
        <f>IF(OR(AE$122="",I156=""),"",'I. Stream &amp; Compound Data'!BM211/$J156*(1-AE$127)*(1-AE$123)*$K217)</f>
        <v/>
      </c>
      <c r="AF217" s="648" t="str">
        <f>IF(OR(AF$122="",I156=""),"",'I. Stream &amp; Compound Data'!BP211/$J156*(1-AF$127)*(1-AF$123)*$K217)</f>
        <v/>
      </c>
      <c r="AG217" s="648" t="str">
        <f>IF(OR(AG$122="",I156=""),"",'I. Stream &amp; Compound Data'!BS211/$J156*(1-AG$127)*(1-AG$123)*$K217)</f>
        <v/>
      </c>
      <c r="AH217" s="648" t="str">
        <f>IF(OR(AH$122="",I156=""),"",'I. Stream &amp; Compound Data'!BV211/$J156*(1-AH$127)*(1-AH$123)*$K217)</f>
        <v/>
      </c>
      <c r="AI217" s="648" t="str">
        <f>IF(OR(AI$122="",I156=""),"",'I. Stream &amp; Compound Data'!BY211/$J156*(1-AI$127)*(1-AI$123)*$K217)</f>
        <v/>
      </c>
      <c r="AJ217" s="648" t="str">
        <f>IF(OR(AJ$122="",I156=""),"",'I. Stream &amp; Compound Data'!CB211/$J156*(1-AJ$127)*(1-AJ$123)*$K217)</f>
        <v/>
      </c>
      <c r="AK217" s="648" t="str">
        <f>IF(OR(AK$122="",I156=""),"",'I. Stream &amp; Compound Data'!CE211/$J156*(1-AK$127)*(1-AK$123)*$K217)</f>
        <v/>
      </c>
      <c r="AL217" s="648" t="str">
        <f>IF(OR(AL$122="",I156=""),"",'I. Stream &amp; Compound Data'!CH211/$J156*(1-AL$127)*(1-AL$123)*$K217)</f>
        <v/>
      </c>
      <c r="AM217" s="648" t="str">
        <f>IF(OR(AM$122="",I156=""),"",'I. Stream &amp; Compound Data'!CK211/$J156*(1-AM$127)*(1-AM$123)*$K217)</f>
        <v/>
      </c>
      <c r="AN217" s="648" t="str">
        <f>IF(OR(AN$122="",I156=""),"",'I. Stream &amp; Compound Data'!CN211/$J156*(1-AN$127)*(1-AN$123)*$K217)</f>
        <v/>
      </c>
      <c r="AO217" s="648" t="str">
        <f>IF(OR(AO$122="",I156=""),"",'I. Stream &amp; Compound Data'!CQ211/$J156*(1-AO$127)*(1-AO$123)*$K217)</f>
        <v/>
      </c>
      <c r="AP217" s="648" t="str">
        <f>IF(OR(AP$122="",I156=""),"",'I. Stream &amp; Compound Data'!CT211/$J156*(1-AP$127)*(1-AP$123)*$K217)</f>
        <v/>
      </c>
      <c r="AQ217" s="648" t="str">
        <f>IF(OR(AQ$122="",I156=""),"",'I. Stream &amp; Compound Data'!CW211/$J156*(1-AQ$127)*(1-AQ$123)*$K217)</f>
        <v/>
      </c>
      <c r="AR217" s="648" t="str">
        <f>IF(OR(AR$122="",I156=""),"",'I. Stream &amp; Compound Data'!CZ211/$J156*(1-AR$127)*(1-AR$123)*$K217)</f>
        <v/>
      </c>
      <c r="AS217" s="648" t="str">
        <f>IF(OR(AS$122="",I156=""),"",'I. Stream &amp; Compound Data'!DC211/$J156*(1-AS$127)*(1-AS$123)*$K217)</f>
        <v/>
      </c>
      <c r="AT217" s="648" t="str">
        <f>IF(OR(AT$122="",I156=""),"",'I. Stream &amp; Compound Data'!DF211/$J156*(1-AT$127)*(1-AT$123)*$K217)</f>
        <v/>
      </c>
      <c r="AU217" s="648" t="str">
        <f>IF(OR(AU$122="",I156=""),"",'I. Stream &amp; Compound Data'!DI211/$J156*(1-AU$127)*(1-AU$123)*$K217)</f>
        <v/>
      </c>
      <c r="AV217" s="648" t="str">
        <f>IF(OR(AV$122="",I156=""),"",'I. Stream &amp; Compound Data'!DL211/$J156*(1-AV$127)*(1-AV$123)*$K217)</f>
        <v/>
      </c>
      <c r="AW217" s="648" t="str">
        <f>IF(OR(AW$122="",I156=""),"",'I. Stream &amp; Compound Data'!DO211/$J156*(1-AW$127)*(1-AW$123)*$K217)</f>
        <v/>
      </c>
      <c r="AX217" s="648" t="str">
        <f>IF(OR(AX$122="",I156=""),"",'I. Stream &amp; Compound Data'!DR211/$J156*(1-AX$127)*(1-AX$123)*$K217)</f>
        <v/>
      </c>
      <c r="AY217" s="647" t="str">
        <f>IF(OR(AY$122="",I156=""),"",'I. Stream &amp; Compound Data'!DU211/$J156*(1-AY$127)*(1-AY$123)*$K217)</f>
        <v/>
      </c>
      <c r="AZ217" s="336"/>
      <c r="BA217" s="632"/>
      <c r="BB217" s="632"/>
      <c r="BC217" s="632"/>
      <c r="BD217" s="632"/>
      <c r="BE217" s="632"/>
      <c r="BF217" s="632"/>
      <c r="BG217" s="632"/>
      <c r="BH217" s="632"/>
      <c r="BI217" s="632"/>
      <c r="BJ217" s="632"/>
      <c r="BK217" s="632"/>
      <c r="BL217" s="632"/>
      <c r="BM217" s="632"/>
      <c r="BN217" s="632"/>
      <c r="BO217" s="632"/>
      <c r="BP217" s="632"/>
      <c r="BQ217" s="632"/>
      <c r="BR217" s="632"/>
      <c r="BS217" s="632"/>
      <c r="BT217" s="632"/>
      <c r="BU217" s="632"/>
      <c r="BV217" s="632"/>
      <c r="BW217" s="632"/>
      <c r="BX217" s="632"/>
      <c r="BY217" s="632"/>
      <c r="BZ217" s="632"/>
      <c r="CA217" s="632"/>
      <c r="CB217" s="632"/>
      <c r="CC217" s="632"/>
      <c r="CD217" s="632"/>
      <c r="CE217" s="632"/>
      <c r="CF217" s="632"/>
      <c r="CG217" s="632"/>
      <c r="CH217" s="632"/>
      <c r="CI217" s="632"/>
      <c r="CJ217" s="632"/>
      <c r="CK217" s="632"/>
      <c r="CL217" s="632"/>
      <c r="CM217" s="632"/>
      <c r="CN217" s="631"/>
    </row>
    <row r="218" spans="2:92" ht="15.75" x14ac:dyDescent="0.2">
      <c r="B218" s="610"/>
      <c r="C218" s="336"/>
      <c r="D218" s="611"/>
      <c r="E218" s="612"/>
      <c r="F218" s="612"/>
      <c r="G218" s="612"/>
      <c r="H218" s="611"/>
      <c r="I218" s="637"/>
      <c r="J218" s="653">
        <f>'I. Stream &amp; Compound Data'!F288</f>
        <v>27</v>
      </c>
      <c r="K218" s="651" t="str">
        <f>IF('I. Stream &amp; Compound Data'!G288="","",IF('I. Stream &amp; Compound Data'!V288=1,0,1))</f>
        <v/>
      </c>
      <c r="L218" s="651" t="str">
        <f>IF(OR(L$122="",I157=""),"",'I. Stream &amp; Compound Data'!H212/$J157*(1-L$127)*(1-L$123)*$K218)</f>
        <v/>
      </c>
      <c r="M218" s="651" t="str">
        <f>IF(OR(M$122="",I157=""),"",'I. Stream &amp; Compound Data'!K212/$J157*(1-M$127)*(1-M$123)*$K218)</f>
        <v/>
      </c>
      <c r="N218" s="652" t="str">
        <f>IF(OR(N$122="",I157=""),"",'I. Stream &amp; Compound Data'!N212/$J157*(1-N$127)*(1-N$123)*$K218)</f>
        <v/>
      </c>
      <c r="O218" s="651" t="str">
        <f>IF(OR(O$122="",I157=""),"",'I. Stream &amp; Compound Data'!Q212/$J157*(1-O$127)*(1-O$123)*$K218)</f>
        <v/>
      </c>
      <c r="P218" s="651" t="str">
        <f>IF(OR(P$122="",I157=""),"",'I. Stream &amp; Compound Data'!T212/$J157*(1-P$127)*(1-P$123)*$K218)</f>
        <v/>
      </c>
      <c r="Q218" s="650" t="str">
        <f>IF(OR(Q$122="",I157=""),"",'I. Stream &amp; Compound Data'!W212/$J157*(1-Q$127)*(1-Q$123)*$K218)</f>
        <v/>
      </c>
      <c r="R218" s="649" t="str">
        <f>IF(OR(R$122="",I157=""),"",'I. Stream &amp; Compound Data'!Z212/$J157*(1-R$127)*(1-R$123)*$K218)</f>
        <v/>
      </c>
      <c r="S218" s="649" t="str">
        <f>IF(OR(S$122="",I157=""),"",'I. Stream &amp; Compound Data'!AC212/$J157*(1-S$127)*(1-S$123)*$K218)</f>
        <v/>
      </c>
      <c r="T218" s="649" t="str">
        <f>IF(OR(T$122="",I157=""),"",'I. Stream &amp; Compound Data'!AF212/$J157*(1-T$127)*(1-T$123)*$K218)</f>
        <v/>
      </c>
      <c r="U218" s="648" t="str">
        <f>IF(OR(U$122="",I157=""),"",'I. Stream &amp; Compound Data'!AI212/$J157*(1-U$127)*(1-U$123)*$K218)</f>
        <v/>
      </c>
      <c r="V218" s="648" t="str">
        <f>IF(OR(V$122="",I157=""),"",'I. Stream &amp; Compound Data'!AL212/$J157*(1-V$127)*(1-V$123)*$K218)</f>
        <v/>
      </c>
      <c r="W218" s="648" t="str">
        <f>IF(OR(W$122="",I157=""),"",'I. Stream &amp; Compound Data'!AO212/$J157*(1-W$127)*(1-W$123)*$K218)</f>
        <v/>
      </c>
      <c r="X218" s="648" t="str">
        <f>IF(OR(X$122="",I157=""),"",'I. Stream &amp; Compound Data'!AR212/$J157*(1-X$127)*(1-X$123)*$K218)</f>
        <v/>
      </c>
      <c r="Y218" s="648" t="str">
        <f>IF(OR(Y$122="",I157=""),"",'I. Stream &amp; Compound Data'!AU212/$J157*(1-Y$127)*(1-Y$123)*$K218)</f>
        <v/>
      </c>
      <c r="Z218" s="648" t="str">
        <f>IF(OR(Z$122="",I157=""),"",'I. Stream &amp; Compound Data'!AX212/$J157*(1-Z$127)*(1-Z$123)*$K218)</f>
        <v/>
      </c>
      <c r="AA218" s="648" t="str">
        <f>IF(OR(AA$122="",I157=""),"",'I. Stream &amp; Compound Data'!BA212/$J157*(1-AA$127)*(1-AA$123)*$K218)</f>
        <v/>
      </c>
      <c r="AB218" s="648" t="str">
        <f>IF(OR(AB$122="",I157=""),"",'I. Stream &amp; Compound Data'!BD212/$J157*(1-AB$127)*(1-AB$123)*$K218)</f>
        <v/>
      </c>
      <c r="AC218" s="648" t="str">
        <f>IF(OR(AC$122="",I157=""),"",'I. Stream &amp; Compound Data'!BG212/$J157*(1-AC$127)*(1-AC$123)*$K218)</f>
        <v/>
      </c>
      <c r="AD218" s="648" t="str">
        <f>IF(OR(AD$122="",I157=""),"",'I. Stream &amp; Compound Data'!BJ212/$J157*(1-AD$127)*(1-AD$123)*$K218)</f>
        <v/>
      </c>
      <c r="AE218" s="648" t="str">
        <f>IF(OR(AE$122="",I157=""),"",'I. Stream &amp; Compound Data'!BM212/$J157*(1-AE$127)*(1-AE$123)*$K218)</f>
        <v/>
      </c>
      <c r="AF218" s="648" t="str">
        <f>IF(OR(AF$122="",I157=""),"",'I. Stream &amp; Compound Data'!BP212/$J157*(1-AF$127)*(1-AF$123)*$K218)</f>
        <v/>
      </c>
      <c r="AG218" s="648" t="str">
        <f>IF(OR(AG$122="",I157=""),"",'I. Stream &amp; Compound Data'!BS212/$J157*(1-AG$127)*(1-AG$123)*$K218)</f>
        <v/>
      </c>
      <c r="AH218" s="648" t="str">
        <f>IF(OR(AH$122="",I157=""),"",'I. Stream &amp; Compound Data'!BV212/$J157*(1-AH$127)*(1-AH$123)*$K218)</f>
        <v/>
      </c>
      <c r="AI218" s="648" t="str">
        <f>IF(OR(AI$122="",I157=""),"",'I. Stream &amp; Compound Data'!BY212/$J157*(1-AI$127)*(1-AI$123)*$K218)</f>
        <v/>
      </c>
      <c r="AJ218" s="648" t="str">
        <f>IF(OR(AJ$122="",I157=""),"",'I. Stream &amp; Compound Data'!CB212/$J157*(1-AJ$127)*(1-AJ$123)*$K218)</f>
        <v/>
      </c>
      <c r="AK218" s="648" t="str">
        <f>IF(OR(AK$122="",I157=""),"",'I. Stream &amp; Compound Data'!CE212/$J157*(1-AK$127)*(1-AK$123)*$K218)</f>
        <v/>
      </c>
      <c r="AL218" s="648" t="str">
        <f>IF(OR(AL$122="",I157=""),"",'I. Stream &amp; Compound Data'!CH212/$J157*(1-AL$127)*(1-AL$123)*$K218)</f>
        <v/>
      </c>
      <c r="AM218" s="648" t="str">
        <f>IF(OR(AM$122="",I157=""),"",'I. Stream &amp; Compound Data'!CK212/$J157*(1-AM$127)*(1-AM$123)*$K218)</f>
        <v/>
      </c>
      <c r="AN218" s="648" t="str">
        <f>IF(OR(AN$122="",I157=""),"",'I. Stream &amp; Compound Data'!CN212/$J157*(1-AN$127)*(1-AN$123)*$K218)</f>
        <v/>
      </c>
      <c r="AO218" s="648" t="str">
        <f>IF(OR(AO$122="",I157=""),"",'I. Stream &amp; Compound Data'!CQ212/$J157*(1-AO$127)*(1-AO$123)*$K218)</f>
        <v/>
      </c>
      <c r="AP218" s="648" t="str">
        <f>IF(OR(AP$122="",I157=""),"",'I. Stream &amp; Compound Data'!CT212/$J157*(1-AP$127)*(1-AP$123)*$K218)</f>
        <v/>
      </c>
      <c r="AQ218" s="648" t="str">
        <f>IF(OR(AQ$122="",I157=""),"",'I. Stream &amp; Compound Data'!CW212/$J157*(1-AQ$127)*(1-AQ$123)*$K218)</f>
        <v/>
      </c>
      <c r="AR218" s="648" t="str">
        <f>IF(OR(AR$122="",I157=""),"",'I. Stream &amp; Compound Data'!CZ212/$J157*(1-AR$127)*(1-AR$123)*$K218)</f>
        <v/>
      </c>
      <c r="AS218" s="648" t="str">
        <f>IF(OR(AS$122="",I157=""),"",'I. Stream &amp; Compound Data'!DC212/$J157*(1-AS$127)*(1-AS$123)*$K218)</f>
        <v/>
      </c>
      <c r="AT218" s="648" t="str">
        <f>IF(OR(AT$122="",I157=""),"",'I. Stream &amp; Compound Data'!DF212/$J157*(1-AT$127)*(1-AT$123)*$K218)</f>
        <v/>
      </c>
      <c r="AU218" s="648" t="str">
        <f>IF(OR(AU$122="",I157=""),"",'I. Stream &amp; Compound Data'!DI212/$J157*(1-AU$127)*(1-AU$123)*$K218)</f>
        <v/>
      </c>
      <c r="AV218" s="648" t="str">
        <f>IF(OR(AV$122="",I157=""),"",'I. Stream &amp; Compound Data'!DL212/$J157*(1-AV$127)*(1-AV$123)*$K218)</f>
        <v/>
      </c>
      <c r="AW218" s="648" t="str">
        <f>IF(OR(AW$122="",I157=""),"",'I. Stream &amp; Compound Data'!DO212/$J157*(1-AW$127)*(1-AW$123)*$K218)</f>
        <v/>
      </c>
      <c r="AX218" s="648" t="str">
        <f>IF(OR(AX$122="",I157=""),"",'I. Stream &amp; Compound Data'!DR212/$J157*(1-AX$127)*(1-AX$123)*$K218)</f>
        <v/>
      </c>
      <c r="AY218" s="647" t="str">
        <f>IF(OR(AY$122="",I157=""),"",'I. Stream &amp; Compound Data'!DU212/$J157*(1-AY$127)*(1-AY$123)*$K218)</f>
        <v/>
      </c>
      <c r="AZ218" s="336"/>
      <c r="BA218" s="632"/>
      <c r="BB218" s="632"/>
      <c r="BC218" s="632"/>
      <c r="BD218" s="632"/>
      <c r="BE218" s="632"/>
      <c r="BF218" s="632"/>
      <c r="BG218" s="632"/>
      <c r="BH218" s="632"/>
      <c r="BI218" s="632"/>
      <c r="BJ218" s="632"/>
      <c r="BK218" s="632"/>
      <c r="BL218" s="632"/>
      <c r="BM218" s="632"/>
      <c r="BN218" s="632"/>
      <c r="BO218" s="632"/>
      <c r="BP218" s="632"/>
      <c r="BQ218" s="632"/>
      <c r="BR218" s="632"/>
      <c r="BS218" s="632"/>
      <c r="BT218" s="632"/>
      <c r="BU218" s="632"/>
      <c r="BV218" s="632"/>
      <c r="BW218" s="632"/>
      <c r="BX218" s="632"/>
      <c r="BY218" s="632"/>
      <c r="BZ218" s="632"/>
      <c r="CA218" s="632"/>
      <c r="CB218" s="632"/>
      <c r="CC218" s="632"/>
      <c r="CD218" s="632"/>
      <c r="CE218" s="632"/>
      <c r="CF218" s="632"/>
      <c r="CG218" s="632"/>
      <c r="CH218" s="632"/>
      <c r="CI218" s="632"/>
      <c r="CJ218" s="632"/>
      <c r="CK218" s="632"/>
      <c r="CL218" s="632"/>
      <c r="CM218" s="632"/>
      <c r="CN218" s="631"/>
    </row>
    <row r="219" spans="2:92" ht="15.75" x14ac:dyDescent="0.2">
      <c r="B219" s="610"/>
      <c r="C219" s="336"/>
      <c r="D219" s="611"/>
      <c r="E219" s="612"/>
      <c r="F219" s="612"/>
      <c r="G219" s="612"/>
      <c r="H219" s="611"/>
      <c r="I219" s="637"/>
      <c r="J219" s="653">
        <f>'I. Stream &amp; Compound Data'!F289</f>
        <v>28</v>
      </c>
      <c r="K219" s="651" t="str">
        <f>IF('I. Stream &amp; Compound Data'!G289="","",IF('I. Stream &amp; Compound Data'!V289=1,0,1))</f>
        <v/>
      </c>
      <c r="L219" s="651" t="str">
        <f>IF(OR(L$122="",I158=""),"",'I. Stream &amp; Compound Data'!H213/$J158*(1-L$127)*(1-L$123)*$K219)</f>
        <v/>
      </c>
      <c r="M219" s="651" t="str">
        <f>IF(OR(M$122="",I158=""),"",'I. Stream &amp; Compound Data'!K213/$J158*(1-M$127)*(1-M$123)*$K219)</f>
        <v/>
      </c>
      <c r="N219" s="652" t="str">
        <f>IF(OR(N$122="",I158=""),"",'I. Stream &amp; Compound Data'!N213/$J158*(1-N$127)*(1-N$123)*$K219)</f>
        <v/>
      </c>
      <c r="O219" s="651" t="str">
        <f>IF(OR(O$122="",I158=""),"",'I. Stream &amp; Compound Data'!Q213/$J158*(1-O$127)*(1-O$123)*$K219)</f>
        <v/>
      </c>
      <c r="P219" s="651" t="str">
        <f>IF(OR(P$122="",I158=""),"",'I. Stream &amp; Compound Data'!T213/$J158*(1-P$127)*(1-P$123)*$K219)</f>
        <v/>
      </c>
      <c r="Q219" s="650" t="str">
        <f>IF(OR(Q$122="",I158=""),"",'I. Stream &amp; Compound Data'!W213/$J158*(1-Q$127)*(1-Q$123)*$K219)</f>
        <v/>
      </c>
      <c r="R219" s="649" t="str">
        <f>IF(OR(R$122="",I158=""),"",'I. Stream &amp; Compound Data'!Z213/$J158*(1-R$127)*(1-R$123)*$K219)</f>
        <v/>
      </c>
      <c r="S219" s="649" t="str">
        <f>IF(OR(S$122="",I158=""),"",'I. Stream &amp; Compound Data'!AC213/$J158*(1-S$127)*(1-S$123)*$K219)</f>
        <v/>
      </c>
      <c r="T219" s="649" t="str">
        <f>IF(OR(T$122="",I158=""),"",'I. Stream &amp; Compound Data'!AF213/$J158*(1-T$127)*(1-T$123)*$K219)</f>
        <v/>
      </c>
      <c r="U219" s="648" t="str">
        <f>IF(OR(U$122="",I158=""),"",'I. Stream &amp; Compound Data'!AI213/$J158*(1-U$127)*(1-U$123)*$K219)</f>
        <v/>
      </c>
      <c r="V219" s="648" t="str">
        <f>IF(OR(V$122="",I158=""),"",'I. Stream &amp; Compound Data'!AL213/$J158*(1-V$127)*(1-V$123)*$K219)</f>
        <v/>
      </c>
      <c r="W219" s="648" t="str">
        <f>IF(OR(W$122="",I158=""),"",'I. Stream &amp; Compound Data'!AO213/$J158*(1-W$127)*(1-W$123)*$K219)</f>
        <v/>
      </c>
      <c r="X219" s="648" t="str">
        <f>IF(OR(X$122="",I158=""),"",'I. Stream &amp; Compound Data'!AR213/$J158*(1-X$127)*(1-X$123)*$K219)</f>
        <v/>
      </c>
      <c r="Y219" s="648" t="str">
        <f>IF(OR(Y$122="",I158=""),"",'I. Stream &amp; Compound Data'!AU213/$J158*(1-Y$127)*(1-Y$123)*$K219)</f>
        <v/>
      </c>
      <c r="Z219" s="648" t="str">
        <f>IF(OR(Z$122="",I158=""),"",'I. Stream &amp; Compound Data'!AX213/$J158*(1-Z$127)*(1-Z$123)*$K219)</f>
        <v/>
      </c>
      <c r="AA219" s="648" t="str">
        <f>IF(OR(AA$122="",I158=""),"",'I. Stream &amp; Compound Data'!BA213/$J158*(1-AA$127)*(1-AA$123)*$K219)</f>
        <v/>
      </c>
      <c r="AB219" s="648" t="str">
        <f>IF(OR(AB$122="",I158=""),"",'I. Stream &amp; Compound Data'!BD213/$J158*(1-AB$127)*(1-AB$123)*$K219)</f>
        <v/>
      </c>
      <c r="AC219" s="648" t="str">
        <f>IF(OR(AC$122="",I158=""),"",'I. Stream &amp; Compound Data'!BG213/$J158*(1-AC$127)*(1-AC$123)*$K219)</f>
        <v/>
      </c>
      <c r="AD219" s="648" t="str">
        <f>IF(OR(AD$122="",I158=""),"",'I. Stream &amp; Compound Data'!BJ213/$J158*(1-AD$127)*(1-AD$123)*$K219)</f>
        <v/>
      </c>
      <c r="AE219" s="648" t="str">
        <f>IF(OR(AE$122="",I158=""),"",'I. Stream &amp; Compound Data'!BM213/$J158*(1-AE$127)*(1-AE$123)*$K219)</f>
        <v/>
      </c>
      <c r="AF219" s="648" t="str">
        <f>IF(OR(AF$122="",I158=""),"",'I. Stream &amp; Compound Data'!BP213/$J158*(1-AF$127)*(1-AF$123)*$K219)</f>
        <v/>
      </c>
      <c r="AG219" s="648" t="str">
        <f>IF(OR(AG$122="",I158=""),"",'I. Stream &amp; Compound Data'!BS213/$J158*(1-AG$127)*(1-AG$123)*$K219)</f>
        <v/>
      </c>
      <c r="AH219" s="648" t="str">
        <f>IF(OR(AH$122="",I158=""),"",'I. Stream &amp; Compound Data'!BV213/$J158*(1-AH$127)*(1-AH$123)*$K219)</f>
        <v/>
      </c>
      <c r="AI219" s="648" t="str">
        <f>IF(OR(AI$122="",I158=""),"",'I. Stream &amp; Compound Data'!BY213/$J158*(1-AI$127)*(1-AI$123)*$K219)</f>
        <v/>
      </c>
      <c r="AJ219" s="648" t="str">
        <f>IF(OR(AJ$122="",I158=""),"",'I. Stream &amp; Compound Data'!CB213/$J158*(1-AJ$127)*(1-AJ$123)*$K219)</f>
        <v/>
      </c>
      <c r="AK219" s="648" t="str">
        <f>IF(OR(AK$122="",I158=""),"",'I. Stream &amp; Compound Data'!CE213/$J158*(1-AK$127)*(1-AK$123)*$K219)</f>
        <v/>
      </c>
      <c r="AL219" s="648" t="str">
        <f>IF(OR(AL$122="",I158=""),"",'I. Stream &amp; Compound Data'!CH213/$J158*(1-AL$127)*(1-AL$123)*$K219)</f>
        <v/>
      </c>
      <c r="AM219" s="648" t="str">
        <f>IF(OR(AM$122="",I158=""),"",'I. Stream &amp; Compound Data'!CK213/$J158*(1-AM$127)*(1-AM$123)*$K219)</f>
        <v/>
      </c>
      <c r="AN219" s="648" t="str">
        <f>IF(OR(AN$122="",I158=""),"",'I. Stream &amp; Compound Data'!CN213/$J158*(1-AN$127)*(1-AN$123)*$K219)</f>
        <v/>
      </c>
      <c r="AO219" s="648" t="str">
        <f>IF(OR(AO$122="",I158=""),"",'I. Stream &amp; Compound Data'!CQ213/$J158*(1-AO$127)*(1-AO$123)*$K219)</f>
        <v/>
      </c>
      <c r="AP219" s="648" t="str">
        <f>IF(OR(AP$122="",I158=""),"",'I. Stream &amp; Compound Data'!CT213/$J158*(1-AP$127)*(1-AP$123)*$K219)</f>
        <v/>
      </c>
      <c r="AQ219" s="648" t="str">
        <f>IF(OR(AQ$122="",I158=""),"",'I. Stream &amp; Compound Data'!CW213/$J158*(1-AQ$127)*(1-AQ$123)*$K219)</f>
        <v/>
      </c>
      <c r="AR219" s="648" t="str">
        <f>IF(OR(AR$122="",I158=""),"",'I. Stream &amp; Compound Data'!CZ213/$J158*(1-AR$127)*(1-AR$123)*$K219)</f>
        <v/>
      </c>
      <c r="AS219" s="648" t="str">
        <f>IF(OR(AS$122="",I158=""),"",'I. Stream &amp; Compound Data'!DC213/$J158*(1-AS$127)*(1-AS$123)*$K219)</f>
        <v/>
      </c>
      <c r="AT219" s="648" t="str">
        <f>IF(OR(AT$122="",I158=""),"",'I. Stream &amp; Compound Data'!DF213/$J158*(1-AT$127)*(1-AT$123)*$K219)</f>
        <v/>
      </c>
      <c r="AU219" s="648" t="str">
        <f>IF(OR(AU$122="",I158=""),"",'I. Stream &amp; Compound Data'!DI213/$J158*(1-AU$127)*(1-AU$123)*$K219)</f>
        <v/>
      </c>
      <c r="AV219" s="648" t="str">
        <f>IF(OR(AV$122="",I158=""),"",'I. Stream &amp; Compound Data'!DL213/$J158*(1-AV$127)*(1-AV$123)*$K219)</f>
        <v/>
      </c>
      <c r="AW219" s="648" t="str">
        <f>IF(OR(AW$122="",I158=""),"",'I. Stream &amp; Compound Data'!DO213/$J158*(1-AW$127)*(1-AW$123)*$K219)</f>
        <v/>
      </c>
      <c r="AX219" s="648" t="str">
        <f>IF(OR(AX$122="",I158=""),"",'I. Stream &amp; Compound Data'!DR213/$J158*(1-AX$127)*(1-AX$123)*$K219)</f>
        <v/>
      </c>
      <c r="AY219" s="647" t="str">
        <f>IF(OR(AY$122="",I158=""),"",'I. Stream &amp; Compound Data'!DU213/$J158*(1-AY$127)*(1-AY$123)*$K219)</f>
        <v/>
      </c>
      <c r="AZ219" s="336"/>
      <c r="BA219" s="632"/>
      <c r="BB219" s="632"/>
      <c r="BC219" s="632"/>
      <c r="BD219" s="632"/>
      <c r="BE219" s="632"/>
      <c r="BF219" s="632"/>
      <c r="BG219" s="632"/>
      <c r="BH219" s="632"/>
      <c r="BI219" s="632"/>
      <c r="BJ219" s="632"/>
      <c r="BK219" s="632"/>
      <c r="BL219" s="632"/>
      <c r="BM219" s="632"/>
      <c r="BN219" s="632"/>
      <c r="BO219" s="632"/>
      <c r="BP219" s="632"/>
      <c r="BQ219" s="632"/>
      <c r="BR219" s="632"/>
      <c r="BS219" s="632"/>
      <c r="BT219" s="632"/>
      <c r="BU219" s="632"/>
      <c r="BV219" s="632"/>
      <c r="BW219" s="632"/>
      <c r="BX219" s="632"/>
      <c r="BY219" s="632"/>
      <c r="BZ219" s="632"/>
      <c r="CA219" s="632"/>
      <c r="CB219" s="632"/>
      <c r="CC219" s="632"/>
      <c r="CD219" s="632"/>
      <c r="CE219" s="632"/>
      <c r="CF219" s="632"/>
      <c r="CG219" s="632"/>
      <c r="CH219" s="632"/>
      <c r="CI219" s="632"/>
      <c r="CJ219" s="632"/>
      <c r="CK219" s="632"/>
      <c r="CL219" s="632"/>
      <c r="CM219" s="632"/>
      <c r="CN219" s="631"/>
    </row>
    <row r="220" spans="2:92" ht="15.75" x14ac:dyDescent="0.2">
      <c r="B220" s="610"/>
      <c r="C220" s="336"/>
      <c r="D220" s="611"/>
      <c r="E220" s="612"/>
      <c r="F220" s="612"/>
      <c r="G220" s="612"/>
      <c r="H220" s="611"/>
      <c r="I220" s="637"/>
      <c r="J220" s="653">
        <f>'I. Stream &amp; Compound Data'!F290</f>
        <v>29</v>
      </c>
      <c r="K220" s="651" t="str">
        <f>IF('I. Stream &amp; Compound Data'!G290="","",IF('I. Stream &amp; Compound Data'!V290=1,0,1))</f>
        <v/>
      </c>
      <c r="L220" s="651" t="str">
        <f>IF(OR(L$122="",I159=""),"",'I. Stream &amp; Compound Data'!H214/$J159*(1-L$127)*(1-L$123)*$K220)</f>
        <v/>
      </c>
      <c r="M220" s="651" t="str">
        <f>IF(OR(M$122="",I159=""),"",'I. Stream &amp; Compound Data'!K214/$J159*(1-M$127)*(1-M$123)*$K220)</f>
        <v/>
      </c>
      <c r="N220" s="652" t="str">
        <f>IF(OR(N$122="",I159=""),"",'I. Stream &amp; Compound Data'!N214/$J159*(1-N$127)*(1-N$123)*$K220)</f>
        <v/>
      </c>
      <c r="O220" s="651" t="str">
        <f>IF(OR(O$122="",I159=""),"",'I. Stream &amp; Compound Data'!Q214/$J159*(1-O$127)*(1-O$123)*$K220)</f>
        <v/>
      </c>
      <c r="P220" s="651" t="str">
        <f>IF(OR(P$122="",I159=""),"",'I. Stream &amp; Compound Data'!T214/$J159*(1-P$127)*(1-P$123)*$K220)</f>
        <v/>
      </c>
      <c r="Q220" s="650" t="str">
        <f>IF(OR(Q$122="",I159=""),"",'I. Stream &amp; Compound Data'!W214/$J159*(1-Q$127)*(1-Q$123)*$K220)</f>
        <v/>
      </c>
      <c r="R220" s="649" t="str">
        <f>IF(OR(R$122="",I159=""),"",'I. Stream &amp; Compound Data'!Z214/$J159*(1-R$127)*(1-R$123)*$K220)</f>
        <v/>
      </c>
      <c r="S220" s="649" t="str">
        <f>IF(OR(S$122="",I159=""),"",'I. Stream &amp; Compound Data'!AC214/$J159*(1-S$127)*(1-S$123)*$K220)</f>
        <v/>
      </c>
      <c r="T220" s="649" t="str">
        <f>IF(OR(T$122="",I159=""),"",'I. Stream &amp; Compound Data'!AF214/$J159*(1-T$127)*(1-T$123)*$K220)</f>
        <v/>
      </c>
      <c r="U220" s="648" t="str">
        <f>IF(OR(U$122="",I159=""),"",'I. Stream &amp; Compound Data'!AI214/$J159*(1-U$127)*(1-U$123)*$K220)</f>
        <v/>
      </c>
      <c r="V220" s="648" t="str">
        <f>IF(OR(V$122="",I159=""),"",'I. Stream &amp; Compound Data'!AL214/$J159*(1-V$127)*(1-V$123)*$K220)</f>
        <v/>
      </c>
      <c r="W220" s="648" t="str">
        <f>IF(OR(W$122="",I159=""),"",'I. Stream &amp; Compound Data'!AO214/$J159*(1-W$127)*(1-W$123)*$K220)</f>
        <v/>
      </c>
      <c r="X220" s="648" t="str">
        <f>IF(OR(X$122="",I159=""),"",'I. Stream &amp; Compound Data'!AR214/$J159*(1-X$127)*(1-X$123)*$K220)</f>
        <v/>
      </c>
      <c r="Y220" s="648" t="str">
        <f>IF(OR(Y$122="",I159=""),"",'I. Stream &amp; Compound Data'!AU214/$J159*(1-Y$127)*(1-Y$123)*$K220)</f>
        <v/>
      </c>
      <c r="Z220" s="648" t="str">
        <f>IF(OR(Z$122="",I159=""),"",'I. Stream &amp; Compound Data'!AX214/$J159*(1-Z$127)*(1-Z$123)*$K220)</f>
        <v/>
      </c>
      <c r="AA220" s="648" t="str">
        <f>IF(OR(AA$122="",I159=""),"",'I. Stream &amp; Compound Data'!BA214/$J159*(1-AA$127)*(1-AA$123)*$K220)</f>
        <v/>
      </c>
      <c r="AB220" s="648" t="str">
        <f>IF(OR(AB$122="",I159=""),"",'I. Stream &amp; Compound Data'!BD214/$J159*(1-AB$127)*(1-AB$123)*$K220)</f>
        <v/>
      </c>
      <c r="AC220" s="648" t="str">
        <f>IF(OR(AC$122="",I159=""),"",'I. Stream &amp; Compound Data'!BG214/$J159*(1-AC$127)*(1-AC$123)*$K220)</f>
        <v/>
      </c>
      <c r="AD220" s="648" t="str">
        <f>IF(OR(AD$122="",I159=""),"",'I. Stream &amp; Compound Data'!BJ214/$J159*(1-AD$127)*(1-AD$123)*$K220)</f>
        <v/>
      </c>
      <c r="AE220" s="648" t="str">
        <f>IF(OR(AE$122="",I159=""),"",'I. Stream &amp; Compound Data'!BM214/$J159*(1-AE$127)*(1-AE$123)*$K220)</f>
        <v/>
      </c>
      <c r="AF220" s="648" t="str">
        <f>IF(OR(AF$122="",I159=""),"",'I. Stream &amp; Compound Data'!BP214/$J159*(1-AF$127)*(1-AF$123)*$K220)</f>
        <v/>
      </c>
      <c r="AG220" s="648" t="str">
        <f>IF(OR(AG$122="",I159=""),"",'I. Stream &amp; Compound Data'!BS214/$J159*(1-AG$127)*(1-AG$123)*$K220)</f>
        <v/>
      </c>
      <c r="AH220" s="648" t="str">
        <f>IF(OR(AH$122="",I159=""),"",'I. Stream &amp; Compound Data'!BV214/$J159*(1-AH$127)*(1-AH$123)*$K220)</f>
        <v/>
      </c>
      <c r="AI220" s="648" t="str">
        <f>IF(OR(AI$122="",I159=""),"",'I. Stream &amp; Compound Data'!BY214/$J159*(1-AI$127)*(1-AI$123)*$K220)</f>
        <v/>
      </c>
      <c r="AJ220" s="648" t="str">
        <f>IF(OR(AJ$122="",I159=""),"",'I. Stream &amp; Compound Data'!CB214/$J159*(1-AJ$127)*(1-AJ$123)*$K220)</f>
        <v/>
      </c>
      <c r="AK220" s="648" t="str">
        <f>IF(OR(AK$122="",I159=""),"",'I. Stream &amp; Compound Data'!CE214/$J159*(1-AK$127)*(1-AK$123)*$K220)</f>
        <v/>
      </c>
      <c r="AL220" s="648" t="str">
        <f>IF(OR(AL$122="",I159=""),"",'I. Stream &amp; Compound Data'!CH214/$J159*(1-AL$127)*(1-AL$123)*$K220)</f>
        <v/>
      </c>
      <c r="AM220" s="648" t="str">
        <f>IF(OR(AM$122="",I159=""),"",'I. Stream &amp; Compound Data'!CK214/$J159*(1-AM$127)*(1-AM$123)*$K220)</f>
        <v/>
      </c>
      <c r="AN220" s="648" t="str">
        <f>IF(OR(AN$122="",I159=""),"",'I. Stream &amp; Compound Data'!CN214/$J159*(1-AN$127)*(1-AN$123)*$K220)</f>
        <v/>
      </c>
      <c r="AO220" s="648" t="str">
        <f>IF(OR(AO$122="",I159=""),"",'I. Stream &amp; Compound Data'!CQ214/$J159*(1-AO$127)*(1-AO$123)*$K220)</f>
        <v/>
      </c>
      <c r="AP220" s="648" t="str">
        <f>IF(OR(AP$122="",I159=""),"",'I. Stream &amp; Compound Data'!CT214/$J159*(1-AP$127)*(1-AP$123)*$K220)</f>
        <v/>
      </c>
      <c r="AQ220" s="648" t="str">
        <f>IF(OR(AQ$122="",I159=""),"",'I. Stream &amp; Compound Data'!CW214/$J159*(1-AQ$127)*(1-AQ$123)*$K220)</f>
        <v/>
      </c>
      <c r="AR220" s="648" t="str">
        <f>IF(OR(AR$122="",I159=""),"",'I. Stream &amp; Compound Data'!CZ214/$J159*(1-AR$127)*(1-AR$123)*$K220)</f>
        <v/>
      </c>
      <c r="AS220" s="648" t="str">
        <f>IF(OR(AS$122="",I159=""),"",'I. Stream &amp; Compound Data'!DC214/$J159*(1-AS$127)*(1-AS$123)*$K220)</f>
        <v/>
      </c>
      <c r="AT220" s="648" t="str">
        <f>IF(OR(AT$122="",I159=""),"",'I. Stream &amp; Compound Data'!DF214/$J159*(1-AT$127)*(1-AT$123)*$K220)</f>
        <v/>
      </c>
      <c r="AU220" s="648" t="str">
        <f>IF(OR(AU$122="",I159=""),"",'I. Stream &amp; Compound Data'!DI214/$J159*(1-AU$127)*(1-AU$123)*$K220)</f>
        <v/>
      </c>
      <c r="AV220" s="648" t="str">
        <f>IF(OR(AV$122="",I159=""),"",'I. Stream &amp; Compound Data'!DL214/$J159*(1-AV$127)*(1-AV$123)*$K220)</f>
        <v/>
      </c>
      <c r="AW220" s="648" t="str">
        <f>IF(OR(AW$122="",I159=""),"",'I. Stream &amp; Compound Data'!DO214/$J159*(1-AW$127)*(1-AW$123)*$K220)</f>
        <v/>
      </c>
      <c r="AX220" s="648" t="str">
        <f>IF(OR(AX$122="",I159=""),"",'I. Stream &amp; Compound Data'!DR214/$J159*(1-AX$127)*(1-AX$123)*$K220)</f>
        <v/>
      </c>
      <c r="AY220" s="647" t="str">
        <f>IF(OR(AY$122="",I159=""),"",'I. Stream &amp; Compound Data'!DU214/$J159*(1-AY$127)*(1-AY$123)*$K220)</f>
        <v/>
      </c>
      <c r="AZ220" s="336"/>
      <c r="BA220" s="632"/>
      <c r="BB220" s="632"/>
      <c r="BC220" s="632"/>
      <c r="BD220" s="632"/>
      <c r="BE220" s="632"/>
      <c r="BF220" s="632"/>
      <c r="BG220" s="632"/>
      <c r="BH220" s="632"/>
      <c r="BI220" s="632"/>
      <c r="BJ220" s="632"/>
      <c r="BK220" s="632"/>
      <c r="BL220" s="632"/>
      <c r="BM220" s="632"/>
      <c r="BN220" s="632"/>
      <c r="BO220" s="632"/>
      <c r="BP220" s="632"/>
      <c r="BQ220" s="632"/>
      <c r="BR220" s="632"/>
      <c r="BS220" s="632"/>
      <c r="BT220" s="632"/>
      <c r="BU220" s="632"/>
      <c r="BV220" s="632"/>
      <c r="BW220" s="632"/>
      <c r="BX220" s="632"/>
      <c r="BY220" s="632"/>
      <c r="BZ220" s="632"/>
      <c r="CA220" s="632"/>
      <c r="CB220" s="632"/>
      <c r="CC220" s="632"/>
      <c r="CD220" s="632"/>
      <c r="CE220" s="632"/>
      <c r="CF220" s="632"/>
      <c r="CG220" s="632"/>
      <c r="CH220" s="632"/>
      <c r="CI220" s="632"/>
      <c r="CJ220" s="632"/>
      <c r="CK220" s="632"/>
      <c r="CL220" s="632"/>
      <c r="CM220" s="632"/>
      <c r="CN220" s="631"/>
    </row>
    <row r="221" spans="2:92" ht="15.75" x14ac:dyDescent="0.2">
      <c r="B221" s="610"/>
      <c r="C221" s="336"/>
      <c r="D221" s="611"/>
      <c r="E221" s="612"/>
      <c r="F221" s="612"/>
      <c r="G221" s="612"/>
      <c r="H221" s="611"/>
      <c r="I221" s="637"/>
      <c r="J221" s="653">
        <f>'I. Stream &amp; Compound Data'!F291</f>
        <v>30</v>
      </c>
      <c r="K221" s="651" t="str">
        <f>IF('I. Stream &amp; Compound Data'!G291="","",IF('I. Stream &amp; Compound Data'!V291=1,0,1))</f>
        <v/>
      </c>
      <c r="L221" s="651" t="str">
        <f>IF(OR(L$122="",I160=""),"",'I. Stream &amp; Compound Data'!H215/$J160*(1-L$127)*(1-L$123)*$K221)</f>
        <v/>
      </c>
      <c r="M221" s="651" t="str">
        <f>IF(OR(M$122="",I160=""),"",'I. Stream &amp; Compound Data'!K215/$J160*(1-M$127)*(1-M$123)*$K221)</f>
        <v/>
      </c>
      <c r="N221" s="652" t="str">
        <f>IF(OR(N$122="",I160=""),"",'I. Stream &amp; Compound Data'!N215/$J160*(1-N$127)*(1-N$123)*$K221)</f>
        <v/>
      </c>
      <c r="O221" s="651" t="str">
        <f>IF(OR(O$122="",I160=""),"",'I. Stream &amp; Compound Data'!Q215/$J160*(1-O$127)*(1-O$123)*$K221)</f>
        <v/>
      </c>
      <c r="P221" s="651" t="str">
        <f>IF(OR(P$122="",I160=""),"",'I. Stream &amp; Compound Data'!T215/$J160*(1-P$127)*(1-P$123)*$K221)</f>
        <v/>
      </c>
      <c r="Q221" s="650" t="str">
        <f>IF(OR(Q$122="",I160=""),"",'I. Stream &amp; Compound Data'!W215/$J160*(1-Q$127)*(1-Q$123)*$K221)</f>
        <v/>
      </c>
      <c r="R221" s="649" t="str">
        <f>IF(OR(R$122="",I160=""),"",'I. Stream &amp; Compound Data'!Z215/$J160*(1-R$127)*(1-R$123)*$K221)</f>
        <v/>
      </c>
      <c r="S221" s="649" t="str">
        <f>IF(OR(S$122="",I160=""),"",'I. Stream &amp; Compound Data'!AC215/$J160*(1-S$127)*(1-S$123)*$K221)</f>
        <v/>
      </c>
      <c r="T221" s="649" t="str">
        <f>IF(OR(T$122="",I160=""),"",'I. Stream &amp; Compound Data'!AF215/$J160*(1-T$127)*(1-T$123)*$K221)</f>
        <v/>
      </c>
      <c r="U221" s="648" t="str">
        <f>IF(OR(U$122="",I160=""),"",'I. Stream &amp; Compound Data'!AI215/$J160*(1-U$127)*(1-U$123)*$K221)</f>
        <v/>
      </c>
      <c r="V221" s="648" t="str">
        <f>IF(OR(V$122="",I160=""),"",'I. Stream &amp; Compound Data'!AL215/$J160*(1-V$127)*(1-V$123)*$K221)</f>
        <v/>
      </c>
      <c r="W221" s="648" t="str">
        <f>IF(OR(W$122="",I160=""),"",'I. Stream &amp; Compound Data'!AO215/$J160*(1-W$127)*(1-W$123)*$K221)</f>
        <v/>
      </c>
      <c r="X221" s="648" t="str">
        <f>IF(OR(X$122="",I160=""),"",'I. Stream &amp; Compound Data'!AR215/$J160*(1-X$127)*(1-X$123)*$K221)</f>
        <v/>
      </c>
      <c r="Y221" s="648" t="str">
        <f>IF(OR(Y$122="",I160=""),"",'I. Stream &amp; Compound Data'!AU215/$J160*(1-Y$127)*(1-Y$123)*$K221)</f>
        <v/>
      </c>
      <c r="Z221" s="648" t="str">
        <f>IF(OR(Z$122="",I160=""),"",'I. Stream &amp; Compound Data'!AX215/$J160*(1-Z$127)*(1-Z$123)*$K221)</f>
        <v/>
      </c>
      <c r="AA221" s="648" t="str">
        <f>IF(OR(AA$122="",I160=""),"",'I. Stream &amp; Compound Data'!BA215/$J160*(1-AA$127)*(1-AA$123)*$K221)</f>
        <v/>
      </c>
      <c r="AB221" s="648" t="str">
        <f>IF(OR(AB$122="",I160=""),"",'I. Stream &amp; Compound Data'!BD215/$J160*(1-AB$127)*(1-AB$123)*$K221)</f>
        <v/>
      </c>
      <c r="AC221" s="648" t="str">
        <f>IF(OR(AC$122="",I160=""),"",'I. Stream &amp; Compound Data'!BG215/$J160*(1-AC$127)*(1-AC$123)*$K221)</f>
        <v/>
      </c>
      <c r="AD221" s="648" t="str">
        <f>IF(OR(AD$122="",I160=""),"",'I. Stream &amp; Compound Data'!BJ215/$J160*(1-AD$127)*(1-AD$123)*$K221)</f>
        <v/>
      </c>
      <c r="AE221" s="648" t="str">
        <f>IF(OR(AE$122="",I160=""),"",'I. Stream &amp; Compound Data'!BM215/$J160*(1-AE$127)*(1-AE$123)*$K221)</f>
        <v/>
      </c>
      <c r="AF221" s="648" t="str">
        <f>IF(OR(AF$122="",I160=""),"",'I. Stream &amp; Compound Data'!BP215/$J160*(1-AF$127)*(1-AF$123)*$K221)</f>
        <v/>
      </c>
      <c r="AG221" s="648" t="str">
        <f>IF(OR(AG$122="",I160=""),"",'I. Stream &amp; Compound Data'!BS215/$J160*(1-AG$127)*(1-AG$123)*$K221)</f>
        <v/>
      </c>
      <c r="AH221" s="648" t="str">
        <f>IF(OR(AH$122="",I160=""),"",'I. Stream &amp; Compound Data'!BV215/$J160*(1-AH$127)*(1-AH$123)*$K221)</f>
        <v/>
      </c>
      <c r="AI221" s="648" t="str">
        <f>IF(OR(AI$122="",I160=""),"",'I. Stream &amp; Compound Data'!BY215/$J160*(1-AI$127)*(1-AI$123)*$K221)</f>
        <v/>
      </c>
      <c r="AJ221" s="648" t="str">
        <f>IF(OR(AJ$122="",I160=""),"",'I. Stream &amp; Compound Data'!CB215/$J160*(1-AJ$127)*(1-AJ$123)*$K221)</f>
        <v/>
      </c>
      <c r="AK221" s="648" t="str">
        <f>IF(OR(AK$122="",I160=""),"",'I. Stream &amp; Compound Data'!CE215/$J160*(1-AK$127)*(1-AK$123)*$K221)</f>
        <v/>
      </c>
      <c r="AL221" s="648" t="str">
        <f>IF(OR(AL$122="",I160=""),"",'I. Stream &amp; Compound Data'!CH215/$J160*(1-AL$127)*(1-AL$123)*$K221)</f>
        <v/>
      </c>
      <c r="AM221" s="648" t="str">
        <f>IF(OR(AM$122="",I160=""),"",'I. Stream &amp; Compound Data'!CK215/$J160*(1-AM$127)*(1-AM$123)*$K221)</f>
        <v/>
      </c>
      <c r="AN221" s="648" t="str">
        <f>IF(OR(AN$122="",I160=""),"",'I. Stream &amp; Compound Data'!CN215/$J160*(1-AN$127)*(1-AN$123)*$K221)</f>
        <v/>
      </c>
      <c r="AO221" s="648" t="str">
        <f>IF(OR(AO$122="",I160=""),"",'I. Stream &amp; Compound Data'!CQ215/$J160*(1-AO$127)*(1-AO$123)*$K221)</f>
        <v/>
      </c>
      <c r="AP221" s="648" t="str">
        <f>IF(OR(AP$122="",I160=""),"",'I. Stream &amp; Compound Data'!CT215/$J160*(1-AP$127)*(1-AP$123)*$K221)</f>
        <v/>
      </c>
      <c r="AQ221" s="648" t="str">
        <f>IF(OR(AQ$122="",I160=""),"",'I. Stream &amp; Compound Data'!CW215/$J160*(1-AQ$127)*(1-AQ$123)*$K221)</f>
        <v/>
      </c>
      <c r="AR221" s="648" t="str">
        <f>IF(OR(AR$122="",I160=""),"",'I. Stream &amp; Compound Data'!CZ215/$J160*(1-AR$127)*(1-AR$123)*$K221)</f>
        <v/>
      </c>
      <c r="AS221" s="648" t="str">
        <f>IF(OR(AS$122="",I160=""),"",'I. Stream &amp; Compound Data'!DC215/$J160*(1-AS$127)*(1-AS$123)*$K221)</f>
        <v/>
      </c>
      <c r="AT221" s="648" t="str">
        <f>IF(OR(AT$122="",I160=""),"",'I. Stream &amp; Compound Data'!DF215/$J160*(1-AT$127)*(1-AT$123)*$K221)</f>
        <v/>
      </c>
      <c r="AU221" s="648" t="str">
        <f>IF(OR(AU$122="",I160=""),"",'I. Stream &amp; Compound Data'!DI215/$J160*(1-AU$127)*(1-AU$123)*$K221)</f>
        <v/>
      </c>
      <c r="AV221" s="648" t="str">
        <f>IF(OR(AV$122="",I160=""),"",'I. Stream &amp; Compound Data'!DL215/$J160*(1-AV$127)*(1-AV$123)*$K221)</f>
        <v/>
      </c>
      <c r="AW221" s="648" t="str">
        <f>IF(OR(AW$122="",I160=""),"",'I. Stream &amp; Compound Data'!DO215/$J160*(1-AW$127)*(1-AW$123)*$K221)</f>
        <v/>
      </c>
      <c r="AX221" s="648" t="str">
        <f>IF(OR(AX$122="",I160=""),"",'I. Stream &amp; Compound Data'!DR215/$J160*(1-AX$127)*(1-AX$123)*$K221)</f>
        <v/>
      </c>
      <c r="AY221" s="647" t="str">
        <f>IF(OR(AY$122="",I160=""),"",'I. Stream &amp; Compound Data'!DU215/$J160*(1-AY$127)*(1-AY$123)*$K221)</f>
        <v/>
      </c>
      <c r="AZ221" s="336"/>
      <c r="BA221" s="632"/>
      <c r="BB221" s="632"/>
      <c r="BC221" s="632"/>
      <c r="BD221" s="632"/>
      <c r="BE221" s="632"/>
      <c r="BF221" s="632"/>
      <c r="BG221" s="632"/>
      <c r="BH221" s="632"/>
      <c r="BI221" s="632"/>
      <c r="BJ221" s="632"/>
      <c r="BK221" s="632"/>
      <c r="BL221" s="632"/>
      <c r="BM221" s="632"/>
      <c r="BN221" s="632"/>
      <c r="BO221" s="632"/>
      <c r="BP221" s="632"/>
      <c r="BQ221" s="632"/>
      <c r="BR221" s="632"/>
      <c r="BS221" s="632"/>
      <c r="BT221" s="632"/>
      <c r="BU221" s="632"/>
      <c r="BV221" s="632"/>
      <c r="BW221" s="632"/>
      <c r="BX221" s="632"/>
      <c r="BY221" s="632"/>
      <c r="BZ221" s="632"/>
      <c r="CA221" s="632"/>
      <c r="CB221" s="632"/>
      <c r="CC221" s="632"/>
      <c r="CD221" s="632"/>
      <c r="CE221" s="632"/>
      <c r="CF221" s="632"/>
      <c r="CG221" s="632"/>
      <c r="CH221" s="632"/>
      <c r="CI221" s="632"/>
      <c r="CJ221" s="632"/>
      <c r="CK221" s="632"/>
      <c r="CL221" s="632"/>
      <c r="CM221" s="632"/>
      <c r="CN221" s="631"/>
    </row>
    <row r="222" spans="2:92" ht="15.75" x14ac:dyDescent="0.2">
      <c r="B222" s="610"/>
      <c r="C222" s="336"/>
      <c r="D222" s="611"/>
      <c r="E222" s="612"/>
      <c r="F222" s="612"/>
      <c r="G222" s="612"/>
      <c r="H222" s="611"/>
      <c r="I222" s="637"/>
      <c r="J222" s="653">
        <f>'I. Stream &amp; Compound Data'!F292</f>
        <v>31</v>
      </c>
      <c r="K222" s="651" t="str">
        <f>IF('I. Stream &amp; Compound Data'!G292="","",IF('I. Stream &amp; Compound Data'!V292=1,0,1))</f>
        <v/>
      </c>
      <c r="L222" s="651" t="str">
        <f>IF(OR(L$122="",I161=""),"",'I. Stream &amp; Compound Data'!H216/$J161*(1-L$127)*(1-L$123)*$K222)</f>
        <v/>
      </c>
      <c r="M222" s="651" t="str">
        <f>IF(OR(M$122="",I161=""),"",'I. Stream &amp; Compound Data'!K216/$J161*(1-M$127)*(1-M$123)*$K222)</f>
        <v/>
      </c>
      <c r="N222" s="652" t="str">
        <f>IF(OR(N$122="",I161=""),"",'I. Stream &amp; Compound Data'!N216/$J161*(1-N$127)*(1-N$123)*$K222)</f>
        <v/>
      </c>
      <c r="O222" s="651" t="str">
        <f>IF(OR(O$122="",I161=""),"",'I. Stream &amp; Compound Data'!Q216/$J161*(1-O$127)*(1-O$123)*$K222)</f>
        <v/>
      </c>
      <c r="P222" s="651" t="str">
        <f>IF(OR(P$122="",I161=""),"",'I. Stream &amp; Compound Data'!T216/$J161*(1-P$127)*(1-P$123)*$K222)</f>
        <v/>
      </c>
      <c r="Q222" s="650" t="str">
        <f>IF(OR(Q$122="",I161=""),"",'I. Stream &amp; Compound Data'!W216/$J161*(1-Q$127)*(1-Q$123)*$K222)</f>
        <v/>
      </c>
      <c r="R222" s="649" t="str">
        <f>IF(OR(R$122="",I161=""),"",'I. Stream &amp; Compound Data'!Z216/$J161*(1-R$127)*(1-R$123)*$K222)</f>
        <v/>
      </c>
      <c r="S222" s="649" t="str">
        <f>IF(OR(S$122="",I161=""),"",'I. Stream &amp; Compound Data'!AC216/$J161*(1-S$127)*(1-S$123)*$K222)</f>
        <v/>
      </c>
      <c r="T222" s="649" t="str">
        <f>IF(OR(T$122="",I161=""),"",'I. Stream &amp; Compound Data'!AF216/$J161*(1-T$127)*(1-T$123)*$K222)</f>
        <v/>
      </c>
      <c r="U222" s="648" t="str">
        <f>IF(OR(U$122="",I161=""),"",'I. Stream &amp; Compound Data'!AI216/$J161*(1-U$127)*(1-U$123)*$K222)</f>
        <v/>
      </c>
      <c r="V222" s="648" t="str">
        <f>IF(OR(V$122="",I161=""),"",'I. Stream &amp; Compound Data'!AL216/$J161*(1-V$127)*(1-V$123)*$K222)</f>
        <v/>
      </c>
      <c r="W222" s="648" t="str">
        <f>IF(OR(W$122="",I161=""),"",'I. Stream &amp; Compound Data'!AO216/$J161*(1-W$127)*(1-W$123)*$K222)</f>
        <v/>
      </c>
      <c r="X222" s="648" t="str">
        <f>IF(OR(X$122="",I161=""),"",'I. Stream &amp; Compound Data'!AR216/$J161*(1-X$127)*(1-X$123)*$K222)</f>
        <v/>
      </c>
      <c r="Y222" s="648" t="str">
        <f>IF(OR(Y$122="",I161=""),"",'I. Stream &amp; Compound Data'!AU216/$J161*(1-Y$127)*(1-Y$123)*$K222)</f>
        <v/>
      </c>
      <c r="Z222" s="648" t="str">
        <f>IF(OR(Z$122="",I161=""),"",'I. Stream &amp; Compound Data'!AX216/$J161*(1-Z$127)*(1-Z$123)*$K222)</f>
        <v/>
      </c>
      <c r="AA222" s="648" t="str">
        <f>IF(OR(AA$122="",I161=""),"",'I. Stream &amp; Compound Data'!BA216/$J161*(1-AA$127)*(1-AA$123)*$K222)</f>
        <v/>
      </c>
      <c r="AB222" s="648" t="str">
        <f>IF(OR(AB$122="",I161=""),"",'I. Stream &amp; Compound Data'!BD216/$J161*(1-AB$127)*(1-AB$123)*$K222)</f>
        <v/>
      </c>
      <c r="AC222" s="648" t="str">
        <f>IF(OR(AC$122="",I161=""),"",'I. Stream &amp; Compound Data'!BG216/$J161*(1-AC$127)*(1-AC$123)*$K222)</f>
        <v/>
      </c>
      <c r="AD222" s="648" t="str">
        <f>IF(OR(AD$122="",I161=""),"",'I. Stream &amp; Compound Data'!BJ216/$J161*(1-AD$127)*(1-AD$123)*$K222)</f>
        <v/>
      </c>
      <c r="AE222" s="648" t="str">
        <f>IF(OR(AE$122="",I161=""),"",'I. Stream &amp; Compound Data'!BM216/$J161*(1-AE$127)*(1-AE$123)*$K222)</f>
        <v/>
      </c>
      <c r="AF222" s="648" t="str">
        <f>IF(OR(AF$122="",I161=""),"",'I. Stream &amp; Compound Data'!BP216/$J161*(1-AF$127)*(1-AF$123)*$K222)</f>
        <v/>
      </c>
      <c r="AG222" s="648" t="str">
        <f>IF(OR(AG$122="",I161=""),"",'I. Stream &amp; Compound Data'!BS216/$J161*(1-AG$127)*(1-AG$123)*$K222)</f>
        <v/>
      </c>
      <c r="AH222" s="648" t="str">
        <f>IF(OR(AH$122="",I161=""),"",'I. Stream &amp; Compound Data'!BV216/$J161*(1-AH$127)*(1-AH$123)*$K222)</f>
        <v/>
      </c>
      <c r="AI222" s="648" t="str">
        <f>IF(OR(AI$122="",I161=""),"",'I. Stream &amp; Compound Data'!BY216/$J161*(1-AI$127)*(1-AI$123)*$K222)</f>
        <v/>
      </c>
      <c r="AJ222" s="648" t="str">
        <f>IF(OR(AJ$122="",I161=""),"",'I. Stream &amp; Compound Data'!CB216/$J161*(1-AJ$127)*(1-AJ$123)*$K222)</f>
        <v/>
      </c>
      <c r="AK222" s="648" t="str">
        <f>IF(OR(AK$122="",I161=""),"",'I. Stream &amp; Compound Data'!CE216/$J161*(1-AK$127)*(1-AK$123)*$K222)</f>
        <v/>
      </c>
      <c r="AL222" s="648" t="str">
        <f>IF(OR(AL$122="",I161=""),"",'I. Stream &amp; Compound Data'!CH216/$J161*(1-AL$127)*(1-AL$123)*$K222)</f>
        <v/>
      </c>
      <c r="AM222" s="648" t="str">
        <f>IF(OR(AM$122="",I161=""),"",'I. Stream &amp; Compound Data'!CK216/$J161*(1-AM$127)*(1-AM$123)*$K222)</f>
        <v/>
      </c>
      <c r="AN222" s="648" t="str">
        <f>IF(OR(AN$122="",I161=""),"",'I. Stream &amp; Compound Data'!CN216/$J161*(1-AN$127)*(1-AN$123)*$K222)</f>
        <v/>
      </c>
      <c r="AO222" s="648" t="str">
        <f>IF(OR(AO$122="",I161=""),"",'I. Stream &amp; Compound Data'!CQ216/$J161*(1-AO$127)*(1-AO$123)*$K222)</f>
        <v/>
      </c>
      <c r="AP222" s="648" t="str">
        <f>IF(OR(AP$122="",I161=""),"",'I. Stream &amp; Compound Data'!CT216/$J161*(1-AP$127)*(1-AP$123)*$K222)</f>
        <v/>
      </c>
      <c r="AQ222" s="648" t="str">
        <f>IF(OR(AQ$122="",I161=""),"",'I. Stream &amp; Compound Data'!CW216/$J161*(1-AQ$127)*(1-AQ$123)*$K222)</f>
        <v/>
      </c>
      <c r="AR222" s="648" t="str">
        <f>IF(OR(AR$122="",I161=""),"",'I. Stream &amp; Compound Data'!CZ216/$J161*(1-AR$127)*(1-AR$123)*$K222)</f>
        <v/>
      </c>
      <c r="AS222" s="648" t="str">
        <f>IF(OR(AS$122="",I161=""),"",'I. Stream &amp; Compound Data'!DC216/$J161*(1-AS$127)*(1-AS$123)*$K222)</f>
        <v/>
      </c>
      <c r="AT222" s="648" t="str">
        <f>IF(OR(AT$122="",I161=""),"",'I. Stream &amp; Compound Data'!DF216/$J161*(1-AT$127)*(1-AT$123)*$K222)</f>
        <v/>
      </c>
      <c r="AU222" s="648" t="str">
        <f>IF(OR(AU$122="",I161=""),"",'I. Stream &amp; Compound Data'!DI216/$J161*(1-AU$127)*(1-AU$123)*$K222)</f>
        <v/>
      </c>
      <c r="AV222" s="648" t="str">
        <f>IF(OR(AV$122="",I161=""),"",'I. Stream &amp; Compound Data'!DL216/$J161*(1-AV$127)*(1-AV$123)*$K222)</f>
        <v/>
      </c>
      <c r="AW222" s="648" t="str">
        <f>IF(OR(AW$122="",I161=""),"",'I. Stream &amp; Compound Data'!DO216/$J161*(1-AW$127)*(1-AW$123)*$K222)</f>
        <v/>
      </c>
      <c r="AX222" s="648" t="str">
        <f>IF(OR(AX$122="",I161=""),"",'I. Stream &amp; Compound Data'!DR216/$J161*(1-AX$127)*(1-AX$123)*$K222)</f>
        <v/>
      </c>
      <c r="AY222" s="647" t="str">
        <f>IF(OR(AY$122="",I161=""),"",'I. Stream &amp; Compound Data'!DU216/$J161*(1-AY$127)*(1-AY$123)*$K222)</f>
        <v/>
      </c>
      <c r="AZ222" s="336"/>
      <c r="BA222" s="632"/>
      <c r="BB222" s="632"/>
      <c r="BC222" s="632"/>
      <c r="BD222" s="632"/>
      <c r="BE222" s="632"/>
      <c r="BF222" s="632"/>
      <c r="BG222" s="632"/>
      <c r="BH222" s="632"/>
      <c r="BI222" s="632"/>
      <c r="BJ222" s="632"/>
      <c r="BK222" s="632"/>
      <c r="BL222" s="632"/>
      <c r="BM222" s="632"/>
      <c r="BN222" s="632"/>
      <c r="BO222" s="632"/>
      <c r="BP222" s="632"/>
      <c r="BQ222" s="632"/>
      <c r="BR222" s="632"/>
      <c r="BS222" s="632"/>
      <c r="BT222" s="632"/>
      <c r="BU222" s="632"/>
      <c r="BV222" s="632"/>
      <c r="BW222" s="632"/>
      <c r="BX222" s="632"/>
      <c r="BY222" s="632"/>
      <c r="BZ222" s="632"/>
      <c r="CA222" s="632"/>
      <c r="CB222" s="632"/>
      <c r="CC222" s="632"/>
      <c r="CD222" s="632"/>
      <c r="CE222" s="632"/>
      <c r="CF222" s="632"/>
      <c r="CG222" s="632"/>
      <c r="CH222" s="632"/>
      <c r="CI222" s="632"/>
      <c r="CJ222" s="632"/>
      <c r="CK222" s="632"/>
      <c r="CL222" s="632"/>
      <c r="CM222" s="632"/>
      <c r="CN222" s="631"/>
    </row>
    <row r="223" spans="2:92" ht="15.75" x14ac:dyDescent="0.2">
      <c r="B223" s="610"/>
      <c r="C223" s="336"/>
      <c r="D223" s="611"/>
      <c r="E223" s="612"/>
      <c r="F223" s="612"/>
      <c r="G223" s="612"/>
      <c r="H223" s="611"/>
      <c r="I223" s="637"/>
      <c r="J223" s="653">
        <f>'I. Stream &amp; Compound Data'!F293</f>
        <v>32</v>
      </c>
      <c r="K223" s="651" t="str">
        <f>IF('I. Stream &amp; Compound Data'!G293="","",IF('I. Stream &amp; Compound Data'!V293=1,0,1))</f>
        <v/>
      </c>
      <c r="L223" s="651" t="str">
        <f>IF(OR(L$122="",I162=""),"",'I. Stream &amp; Compound Data'!H217/$J162*(1-L$127)*(1-L$123)*$K223)</f>
        <v/>
      </c>
      <c r="M223" s="651" t="str">
        <f>IF(OR(M$122="",I162=""),"",'I. Stream &amp; Compound Data'!K217/$J162*(1-M$127)*(1-M$123)*$K223)</f>
        <v/>
      </c>
      <c r="N223" s="652" t="str">
        <f>IF(OR(N$122="",I162=""),"",'I. Stream &amp; Compound Data'!N217/$J162*(1-N$127)*(1-N$123)*$K223)</f>
        <v/>
      </c>
      <c r="O223" s="651" t="str">
        <f>IF(OR(O$122="",I162=""),"",'I. Stream &amp; Compound Data'!Q217/$J162*(1-O$127)*(1-O$123)*$K223)</f>
        <v/>
      </c>
      <c r="P223" s="651" t="str">
        <f>IF(OR(P$122="",I162=""),"",'I. Stream &amp; Compound Data'!T217/$J162*(1-P$127)*(1-P$123)*$K223)</f>
        <v/>
      </c>
      <c r="Q223" s="650" t="str">
        <f>IF(OR(Q$122="",I162=""),"",'I. Stream &amp; Compound Data'!W217/$J162*(1-Q$127)*(1-Q$123)*$K223)</f>
        <v/>
      </c>
      <c r="R223" s="649" t="str">
        <f>IF(OR(R$122="",I162=""),"",'I. Stream &amp; Compound Data'!Z217/$J162*(1-R$127)*(1-R$123)*$K223)</f>
        <v/>
      </c>
      <c r="S223" s="649" t="str">
        <f>IF(OR(S$122="",I162=""),"",'I. Stream &amp; Compound Data'!AC217/$J162*(1-S$127)*(1-S$123)*$K223)</f>
        <v/>
      </c>
      <c r="T223" s="649" t="str">
        <f>IF(OR(T$122="",I162=""),"",'I. Stream &amp; Compound Data'!AF217/$J162*(1-T$127)*(1-T$123)*$K223)</f>
        <v/>
      </c>
      <c r="U223" s="648" t="str">
        <f>IF(OR(U$122="",I162=""),"",'I. Stream &amp; Compound Data'!AI217/$J162*(1-U$127)*(1-U$123)*$K223)</f>
        <v/>
      </c>
      <c r="V223" s="648" t="str">
        <f>IF(OR(V$122="",I162=""),"",'I. Stream &amp; Compound Data'!AL217/$J162*(1-V$127)*(1-V$123)*$K223)</f>
        <v/>
      </c>
      <c r="W223" s="648" t="str">
        <f>IF(OR(W$122="",I162=""),"",'I. Stream &amp; Compound Data'!AO217/$J162*(1-W$127)*(1-W$123)*$K223)</f>
        <v/>
      </c>
      <c r="X223" s="648" t="str">
        <f>IF(OR(X$122="",I162=""),"",'I. Stream &amp; Compound Data'!AR217/$J162*(1-X$127)*(1-X$123)*$K223)</f>
        <v/>
      </c>
      <c r="Y223" s="648" t="str">
        <f>IF(OR(Y$122="",I162=""),"",'I. Stream &amp; Compound Data'!AU217/$J162*(1-Y$127)*(1-Y$123)*$K223)</f>
        <v/>
      </c>
      <c r="Z223" s="648" t="str">
        <f>IF(OR(Z$122="",I162=""),"",'I. Stream &amp; Compound Data'!AX217/$J162*(1-Z$127)*(1-Z$123)*$K223)</f>
        <v/>
      </c>
      <c r="AA223" s="648" t="str">
        <f>IF(OR(AA$122="",I162=""),"",'I. Stream &amp; Compound Data'!BA217/$J162*(1-AA$127)*(1-AA$123)*$K223)</f>
        <v/>
      </c>
      <c r="AB223" s="648" t="str">
        <f>IF(OR(AB$122="",I162=""),"",'I. Stream &amp; Compound Data'!BD217/$J162*(1-AB$127)*(1-AB$123)*$K223)</f>
        <v/>
      </c>
      <c r="AC223" s="648" t="str">
        <f>IF(OR(AC$122="",I162=""),"",'I. Stream &amp; Compound Data'!BG217/$J162*(1-AC$127)*(1-AC$123)*$K223)</f>
        <v/>
      </c>
      <c r="AD223" s="648" t="str">
        <f>IF(OR(AD$122="",I162=""),"",'I. Stream &amp; Compound Data'!BJ217/$J162*(1-AD$127)*(1-AD$123)*$K223)</f>
        <v/>
      </c>
      <c r="AE223" s="648" t="str">
        <f>IF(OR(AE$122="",I162=""),"",'I. Stream &amp; Compound Data'!BM217/$J162*(1-AE$127)*(1-AE$123)*$K223)</f>
        <v/>
      </c>
      <c r="AF223" s="648" t="str">
        <f>IF(OR(AF$122="",I162=""),"",'I. Stream &amp; Compound Data'!BP217/$J162*(1-AF$127)*(1-AF$123)*$K223)</f>
        <v/>
      </c>
      <c r="AG223" s="648" t="str">
        <f>IF(OR(AG$122="",I162=""),"",'I. Stream &amp; Compound Data'!BS217/$J162*(1-AG$127)*(1-AG$123)*$K223)</f>
        <v/>
      </c>
      <c r="AH223" s="648" t="str">
        <f>IF(OR(AH$122="",I162=""),"",'I. Stream &amp; Compound Data'!BV217/$J162*(1-AH$127)*(1-AH$123)*$K223)</f>
        <v/>
      </c>
      <c r="AI223" s="648" t="str">
        <f>IF(OR(AI$122="",I162=""),"",'I. Stream &amp; Compound Data'!BY217/$J162*(1-AI$127)*(1-AI$123)*$K223)</f>
        <v/>
      </c>
      <c r="AJ223" s="648" t="str">
        <f>IF(OR(AJ$122="",I162=""),"",'I. Stream &amp; Compound Data'!CB217/$J162*(1-AJ$127)*(1-AJ$123)*$K223)</f>
        <v/>
      </c>
      <c r="AK223" s="648" t="str">
        <f>IF(OR(AK$122="",I162=""),"",'I. Stream &amp; Compound Data'!CE217/$J162*(1-AK$127)*(1-AK$123)*$K223)</f>
        <v/>
      </c>
      <c r="AL223" s="648" t="str">
        <f>IF(OR(AL$122="",I162=""),"",'I. Stream &amp; Compound Data'!CH217/$J162*(1-AL$127)*(1-AL$123)*$K223)</f>
        <v/>
      </c>
      <c r="AM223" s="648" t="str">
        <f>IF(OR(AM$122="",I162=""),"",'I. Stream &amp; Compound Data'!CK217/$J162*(1-AM$127)*(1-AM$123)*$K223)</f>
        <v/>
      </c>
      <c r="AN223" s="648" t="str">
        <f>IF(OR(AN$122="",I162=""),"",'I. Stream &amp; Compound Data'!CN217/$J162*(1-AN$127)*(1-AN$123)*$K223)</f>
        <v/>
      </c>
      <c r="AO223" s="648" t="str">
        <f>IF(OR(AO$122="",I162=""),"",'I. Stream &amp; Compound Data'!CQ217/$J162*(1-AO$127)*(1-AO$123)*$K223)</f>
        <v/>
      </c>
      <c r="AP223" s="648" t="str">
        <f>IF(OR(AP$122="",I162=""),"",'I. Stream &amp; Compound Data'!CT217/$J162*(1-AP$127)*(1-AP$123)*$K223)</f>
        <v/>
      </c>
      <c r="AQ223" s="648" t="str">
        <f>IF(OR(AQ$122="",I162=""),"",'I. Stream &amp; Compound Data'!CW217/$J162*(1-AQ$127)*(1-AQ$123)*$K223)</f>
        <v/>
      </c>
      <c r="AR223" s="648" t="str">
        <f>IF(OR(AR$122="",I162=""),"",'I. Stream &amp; Compound Data'!CZ217/$J162*(1-AR$127)*(1-AR$123)*$K223)</f>
        <v/>
      </c>
      <c r="AS223" s="648" t="str">
        <f>IF(OR(AS$122="",I162=""),"",'I. Stream &amp; Compound Data'!DC217/$J162*(1-AS$127)*(1-AS$123)*$K223)</f>
        <v/>
      </c>
      <c r="AT223" s="648" t="str">
        <f>IF(OR(AT$122="",I162=""),"",'I. Stream &amp; Compound Data'!DF217/$J162*(1-AT$127)*(1-AT$123)*$K223)</f>
        <v/>
      </c>
      <c r="AU223" s="648" t="str">
        <f>IF(OR(AU$122="",I162=""),"",'I. Stream &amp; Compound Data'!DI217/$J162*(1-AU$127)*(1-AU$123)*$K223)</f>
        <v/>
      </c>
      <c r="AV223" s="648" t="str">
        <f>IF(OR(AV$122="",I162=""),"",'I. Stream &amp; Compound Data'!DL217/$J162*(1-AV$127)*(1-AV$123)*$K223)</f>
        <v/>
      </c>
      <c r="AW223" s="648" t="str">
        <f>IF(OR(AW$122="",I162=""),"",'I. Stream &amp; Compound Data'!DO217/$J162*(1-AW$127)*(1-AW$123)*$K223)</f>
        <v/>
      </c>
      <c r="AX223" s="648" t="str">
        <f>IF(OR(AX$122="",I162=""),"",'I. Stream &amp; Compound Data'!DR217/$J162*(1-AX$127)*(1-AX$123)*$K223)</f>
        <v/>
      </c>
      <c r="AY223" s="647" t="str">
        <f>IF(OR(AY$122="",I162=""),"",'I. Stream &amp; Compound Data'!DU217/$J162*(1-AY$127)*(1-AY$123)*$K223)</f>
        <v/>
      </c>
      <c r="AZ223" s="336"/>
      <c r="BA223" s="632"/>
      <c r="BB223" s="632"/>
      <c r="BC223" s="632"/>
      <c r="BD223" s="632"/>
      <c r="BE223" s="632"/>
      <c r="BF223" s="632"/>
      <c r="BG223" s="632"/>
      <c r="BH223" s="632"/>
      <c r="BI223" s="632"/>
      <c r="BJ223" s="632"/>
      <c r="BK223" s="632"/>
      <c r="BL223" s="632"/>
      <c r="BM223" s="632"/>
      <c r="BN223" s="632"/>
      <c r="BO223" s="632"/>
      <c r="BP223" s="632"/>
      <c r="BQ223" s="632"/>
      <c r="BR223" s="632"/>
      <c r="BS223" s="632"/>
      <c r="BT223" s="632"/>
      <c r="BU223" s="632"/>
      <c r="BV223" s="632"/>
      <c r="BW223" s="632"/>
      <c r="BX223" s="632"/>
      <c r="BY223" s="632"/>
      <c r="BZ223" s="632"/>
      <c r="CA223" s="632"/>
      <c r="CB223" s="632"/>
      <c r="CC223" s="632"/>
      <c r="CD223" s="632"/>
      <c r="CE223" s="632"/>
      <c r="CF223" s="632"/>
      <c r="CG223" s="632"/>
      <c r="CH223" s="632"/>
      <c r="CI223" s="632"/>
      <c r="CJ223" s="632"/>
      <c r="CK223" s="632"/>
      <c r="CL223" s="632"/>
      <c r="CM223" s="632"/>
      <c r="CN223" s="631"/>
    </row>
    <row r="224" spans="2:92" ht="15.75" x14ac:dyDescent="0.2">
      <c r="B224" s="610"/>
      <c r="C224" s="336"/>
      <c r="D224" s="611"/>
      <c r="E224" s="612"/>
      <c r="F224" s="612"/>
      <c r="G224" s="612"/>
      <c r="H224" s="611"/>
      <c r="I224" s="637"/>
      <c r="J224" s="653">
        <f>'I. Stream &amp; Compound Data'!F294</f>
        <v>33</v>
      </c>
      <c r="K224" s="651" t="str">
        <f>IF('I. Stream &amp; Compound Data'!G294="","",IF('I. Stream &amp; Compound Data'!V294=1,0,1))</f>
        <v/>
      </c>
      <c r="L224" s="651" t="str">
        <f>IF(OR(L$122="",I163=""),"",'I. Stream &amp; Compound Data'!H218/$J163*(1-L$127)*(1-L$123)*$K224)</f>
        <v/>
      </c>
      <c r="M224" s="651" t="str">
        <f>IF(OR(M$122="",I163=""),"",'I. Stream &amp; Compound Data'!K218/$J163*(1-M$127)*(1-M$123)*$K224)</f>
        <v/>
      </c>
      <c r="N224" s="652" t="str">
        <f>IF(OR(N$122="",I163=""),"",'I. Stream &amp; Compound Data'!N218/$J163*(1-N$127)*(1-N$123)*$K224)</f>
        <v/>
      </c>
      <c r="O224" s="651" t="str">
        <f>IF(OR(O$122="",I163=""),"",'I. Stream &amp; Compound Data'!Q218/$J163*(1-O$127)*(1-O$123)*$K224)</f>
        <v/>
      </c>
      <c r="P224" s="651" t="str">
        <f>IF(OR(P$122="",I163=""),"",'I. Stream &amp; Compound Data'!T218/$J163*(1-P$127)*(1-P$123)*$K224)</f>
        <v/>
      </c>
      <c r="Q224" s="650" t="str">
        <f>IF(OR(Q$122="",I163=""),"",'I. Stream &amp; Compound Data'!W218/$J163*(1-Q$127)*(1-Q$123)*$K224)</f>
        <v/>
      </c>
      <c r="R224" s="649" t="str">
        <f>IF(OR(R$122="",I163=""),"",'I. Stream &amp; Compound Data'!Z218/$J163*(1-R$127)*(1-R$123)*$K224)</f>
        <v/>
      </c>
      <c r="S224" s="649" t="str">
        <f>IF(OR(S$122="",I163=""),"",'I. Stream &amp; Compound Data'!AC218/$J163*(1-S$127)*(1-S$123)*$K224)</f>
        <v/>
      </c>
      <c r="T224" s="649" t="str">
        <f>IF(OR(T$122="",I163=""),"",'I. Stream &amp; Compound Data'!AF218/$J163*(1-T$127)*(1-T$123)*$K224)</f>
        <v/>
      </c>
      <c r="U224" s="648" t="str">
        <f>IF(OR(U$122="",I163=""),"",'I. Stream &amp; Compound Data'!AI218/$J163*(1-U$127)*(1-U$123)*$K224)</f>
        <v/>
      </c>
      <c r="V224" s="648" t="str">
        <f>IF(OR(V$122="",I163=""),"",'I. Stream &amp; Compound Data'!AL218/$J163*(1-V$127)*(1-V$123)*$K224)</f>
        <v/>
      </c>
      <c r="W224" s="648" t="str">
        <f>IF(OR(W$122="",I163=""),"",'I. Stream &amp; Compound Data'!AO218/$J163*(1-W$127)*(1-W$123)*$K224)</f>
        <v/>
      </c>
      <c r="X224" s="648" t="str">
        <f>IF(OR(X$122="",I163=""),"",'I. Stream &amp; Compound Data'!AR218/$J163*(1-X$127)*(1-X$123)*$K224)</f>
        <v/>
      </c>
      <c r="Y224" s="648" t="str">
        <f>IF(OR(Y$122="",I163=""),"",'I. Stream &amp; Compound Data'!AU218/$J163*(1-Y$127)*(1-Y$123)*$K224)</f>
        <v/>
      </c>
      <c r="Z224" s="648" t="str">
        <f>IF(OR(Z$122="",I163=""),"",'I. Stream &amp; Compound Data'!AX218/$J163*(1-Z$127)*(1-Z$123)*$K224)</f>
        <v/>
      </c>
      <c r="AA224" s="648" t="str">
        <f>IF(OR(AA$122="",I163=""),"",'I. Stream &amp; Compound Data'!BA218/$J163*(1-AA$127)*(1-AA$123)*$K224)</f>
        <v/>
      </c>
      <c r="AB224" s="648" t="str">
        <f>IF(OR(AB$122="",I163=""),"",'I. Stream &amp; Compound Data'!BD218/$J163*(1-AB$127)*(1-AB$123)*$K224)</f>
        <v/>
      </c>
      <c r="AC224" s="648" t="str">
        <f>IF(OR(AC$122="",I163=""),"",'I. Stream &amp; Compound Data'!BG218/$J163*(1-AC$127)*(1-AC$123)*$K224)</f>
        <v/>
      </c>
      <c r="AD224" s="648" t="str">
        <f>IF(OR(AD$122="",I163=""),"",'I. Stream &amp; Compound Data'!BJ218/$J163*(1-AD$127)*(1-AD$123)*$K224)</f>
        <v/>
      </c>
      <c r="AE224" s="648" t="str">
        <f>IF(OR(AE$122="",I163=""),"",'I. Stream &amp; Compound Data'!BM218/$J163*(1-AE$127)*(1-AE$123)*$K224)</f>
        <v/>
      </c>
      <c r="AF224" s="648" t="str">
        <f>IF(OR(AF$122="",I163=""),"",'I. Stream &amp; Compound Data'!BP218/$J163*(1-AF$127)*(1-AF$123)*$K224)</f>
        <v/>
      </c>
      <c r="AG224" s="648" t="str">
        <f>IF(OR(AG$122="",I163=""),"",'I. Stream &amp; Compound Data'!BS218/$J163*(1-AG$127)*(1-AG$123)*$K224)</f>
        <v/>
      </c>
      <c r="AH224" s="648" t="str">
        <f>IF(OR(AH$122="",I163=""),"",'I. Stream &amp; Compound Data'!BV218/$J163*(1-AH$127)*(1-AH$123)*$K224)</f>
        <v/>
      </c>
      <c r="AI224" s="648" t="str">
        <f>IF(OR(AI$122="",I163=""),"",'I. Stream &amp; Compound Data'!BY218/$J163*(1-AI$127)*(1-AI$123)*$K224)</f>
        <v/>
      </c>
      <c r="AJ224" s="648" t="str">
        <f>IF(OR(AJ$122="",I163=""),"",'I. Stream &amp; Compound Data'!CB218/$J163*(1-AJ$127)*(1-AJ$123)*$K224)</f>
        <v/>
      </c>
      <c r="AK224" s="648" t="str">
        <f>IF(OR(AK$122="",I163=""),"",'I. Stream &amp; Compound Data'!CE218/$J163*(1-AK$127)*(1-AK$123)*$K224)</f>
        <v/>
      </c>
      <c r="AL224" s="648" t="str">
        <f>IF(OR(AL$122="",I163=""),"",'I. Stream &amp; Compound Data'!CH218/$J163*(1-AL$127)*(1-AL$123)*$K224)</f>
        <v/>
      </c>
      <c r="AM224" s="648" t="str">
        <f>IF(OR(AM$122="",I163=""),"",'I. Stream &amp; Compound Data'!CK218/$J163*(1-AM$127)*(1-AM$123)*$K224)</f>
        <v/>
      </c>
      <c r="AN224" s="648" t="str">
        <f>IF(OR(AN$122="",I163=""),"",'I. Stream &amp; Compound Data'!CN218/$J163*(1-AN$127)*(1-AN$123)*$K224)</f>
        <v/>
      </c>
      <c r="AO224" s="648" t="str">
        <f>IF(OR(AO$122="",I163=""),"",'I. Stream &amp; Compound Data'!CQ218/$J163*(1-AO$127)*(1-AO$123)*$K224)</f>
        <v/>
      </c>
      <c r="AP224" s="648" t="str">
        <f>IF(OR(AP$122="",I163=""),"",'I. Stream &amp; Compound Data'!CT218/$J163*(1-AP$127)*(1-AP$123)*$K224)</f>
        <v/>
      </c>
      <c r="AQ224" s="648" t="str">
        <f>IF(OR(AQ$122="",I163=""),"",'I. Stream &amp; Compound Data'!CW218/$J163*(1-AQ$127)*(1-AQ$123)*$K224)</f>
        <v/>
      </c>
      <c r="AR224" s="648" t="str">
        <f>IF(OR(AR$122="",I163=""),"",'I. Stream &amp; Compound Data'!CZ218/$J163*(1-AR$127)*(1-AR$123)*$K224)</f>
        <v/>
      </c>
      <c r="AS224" s="648" t="str">
        <f>IF(OR(AS$122="",I163=""),"",'I. Stream &amp; Compound Data'!DC218/$J163*(1-AS$127)*(1-AS$123)*$K224)</f>
        <v/>
      </c>
      <c r="AT224" s="648" t="str">
        <f>IF(OR(AT$122="",I163=""),"",'I. Stream &amp; Compound Data'!DF218/$J163*(1-AT$127)*(1-AT$123)*$K224)</f>
        <v/>
      </c>
      <c r="AU224" s="648" t="str">
        <f>IF(OR(AU$122="",I163=""),"",'I. Stream &amp; Compound Data'!DI218/$J163*(1-AU$127)*(1-AU$123)*$K224)</f>
        <v/>
      </c>
      <c r="AV224" s="648" t="str">
        <f>IF(OR(AV$122="",I163=""),"",'I. Stream &amp; Compound Data'!DL218/$J163*(1-AV$127)*(1-AV$123)*$K224)</f>
        <v/>
      </c>
      <c r="AW224" s="648" t="str">
        <f>IF(OR(AW$122="",I163=""),"",'I. Stream &amp; Compound Data'!DO218/$J163*(1-AW$127)*(1-AW$123)*$K224)</f>
        <v/>
      </c>
      <c r="AX224" s="648" t="str">
        <f>IF(OR(AX$122="",I163=""),"",'I. Stream &amp; Compound Data'!DR218/$J163*(1-AX$127)*(1-AX$123)*$K224)</f>
        <v/>
      </c>
      <c r="AY224" s="647" t="str">
        <f>IF(OR(AY$122="",I163=""),"",'I. Stream &amp; Compound Data'!DU218/$J163*(1-AY$127)*(1-AY$123)*$K224)</f>
        <v/>
      </c>
      <c r="AZ224" s="336"/>
      <c r="BA224" s="632"/>
      <c r="BB224" s="632"/>
      <c r="BC224" s="632"/>
      <c r="BD224" s="632"/>
      <c r="BE224" s="632"/>
      <c r="BF224" s="632"/>
      <c r="BG224" s="632"/>
      <c r="BH224" s="632"/>
      <c r="BI224" s="632"/>
      <c r="BJ224" s="632"/>
      <c r="BK224" s="632"/>
      <c r="BL224" s="632"/>
      <c r="BM224" s="632"/>
      <c r="BN224" s="632"/>
      <c r="BO224" s="632"/>
      <c r="BP224" s="632"/>
      <c r="BQ224" s="632"/>
      <c r="BR224" s="632"/>
      <c r="BS224" s="632"/>
      <c r="BT224" s="632"/>
      <c r="BU224" s="632"/>
      <c r="BV224" s="632"/>
      <c r="BW224" s="632"/>
      <c r="BX224" s="632"/>
      <c r="BY224" s="632"/>
      <c r="BZ224" s="632"/>
      <c r="CA224" s="632"/>
      <c r="CB224" s="632"/>
      <c r="CC224" s="632"/>
      <c r="CD224" s="632"/>
      <c r="CE224" s="632"/>
      <c r="CF224" s="632"/>
      <c r="CG224" s="632"/>
      <c r="CH224" s="632"/>
      <c r="CI224" s="632"/>
      <c r="CJ224" s="632"/>
      <c r="CK224" s="632"/>
      <c r="CL224" s="632"/>
      <c r="CM224" s="632"/>
      <c r="CN224" s="631"/>
    </row>
    <row r="225" spans="2:92" ht="15.75" x14ac:dyDescent="0.2">
      <c r="B225" s="610"/>
      <c r="C225" s="336"/>
      <c r="D225" s="611"/>
      <c r="E225" s="612"/>
      <c r="F225" s="612"/>
      <c r="G225" s="612"/>
      <c r="H225" s="611"/>
      <c r="I225" s="637"/>
      <c r="J225" s="653">
        <f>'I. Stream &amp; Compound Data'!F295</f>
        <v>34</v>
      </c>
      <c r="K225" s="651" t="str">
        <f>IF('I. Stream &amp; Compound Data'!G295="","",IF('I. Stream &amp; Compound Data'!V295=1,0,1))</f>
        <v/>
      </c>
      <c r="L225" s="651" t="str">
        <f>IF(OR(L$122="",I164=""),"",'I. Stream &amp; Compound Data'!H219/$J164*(1-L$127)*(1-L$123)*$K225)</f>
        <v/>
      </c>
      <c r="M225" s="651" t="str">
        <f>IF(OR(M$122="",I164=""),"",'I. Stream &amp; Compound Data'!K219/$J164*(1-M$127)*(1-M$123)*$K225)</f>
        <v/>
      </c>
      <c r="N225" s="652" t="str">
        <f>IF(OR(N$122="",I164=""),"",'I. Stream &amp; Compound Data'!N219/$J164*(1-N$127)*(1-N$123)*$K225)</f>
        <v/>
      </c>
      <c r="O225" s="651" t="str">
        <f>IF(OR(O$122="",I164=""),"",'I. Stream &amp; Compound Data'!Q219/$J164*(1-O$127)*(1-O$123)*$K225)</f>
        <v/>
      </c>
      <c r="P225" s="651" t="str">
        <f>IF(OR(P$122="",I164=""),"",'I. Stream &amp; Compound Data'!T219/$J164*(1-P$127)*(1-P$123)*$K225)</f>
        <v/>
      </c>
      <c r="Q225" s="650" t="str">
        <f>IF(OR(Q$122="",I164=""),"",'I. Stream &amp; Compound Data'!W219/$J164*(1-Q$127)*(1-Q$123)*$K225)</f>
        <v/>
      </c>
      <c r="R225" s="649" t="str">
        <f>IF(OR(R$122="",I164=""),"",'I. Stream &amp; Compound Data'!Z219/$J164*(1-R$127)*(1-R$123)*$K225)</f>
        <v/>
      </c>
      <c r="S225" s="649" t="str">
        <f>IF(OR(S$122="",I164=""),"",'I. Stream &amp; Compound Data'!AC219/$J164*(1-S$127)*(1-S$123)*$K225)</f>
        <v/>
      </c>
      <c r="T225" s="649" t="str">
        <f>IF(OR(T$122="",I164=""),"",'I. Stream &amp; Compound Data'!AF219/$J164*(1-T$127)*(1-T$123)*$K225)</f>
        <v/>
      </c>
      <c r="U225" s="648" t="str">
        <f>IF(OR(U$122="",I164=""),"",'I. Stream &amp; Compound Data'!AI219/$J164*(1-U$127)*(1-U$123)*$K225)</f>
        <v/>
      </c>
      <c r="V225" s="648" t="str">
        <f>IF(OR(V$122="",I164=""),"",'I. Stream &amp; Compound Data'!AL219/$J164*(1-V$127)*(1-V$123)*$K225)</f>
        <v/>
      </c>
      <c r="W225" s="648" t="str">
        <f>IF(OR(W$122="",I164=""),"",'I. Stream &amp; Compound Data'!AO219/$J164*(1-W$127)*(1-W$123)*$K225)</f>
        <v/>
      </c>
      <c r="X225" s="648" t="str">
        <f>IF(OR(X$122="",I164=""),"",'I. Stream &amp; Compound Data'!AR219/$J164*(1-X$127)*(1-X$123)*$K225)</f>
        <v/>
      </c>
      <c r="Y225" s="648" t="str">
        <f>IF(OR(Y$122="",I164=""),"",'I. Stream &amp; Compound Data'!AU219/$J164*(1-Y$127)*(1-Y$123)*$K225)</f>
        <v/>
      </c>
      <c r="Z225" s="648" t="str">
        <f>IF(OR(Z$122="",I164=""),"",'I. Stream &amp; Compound Data'!AX219/$J164*(1-Z$127)*(1-Z$123)*$K225)</f>
        <v/>
      </c>
      <c r="AA225" s="648" t="str">
        <f>IF(OR(AA$122="",I164=""),"",'I. Stream &amp; Compound Data'!BA219/$J164*(1-AA$127)*(1-AA$123)*$K225)</f>
        <v/>
      </c>
      <c r="AB225" s="648" t="str">
        <f>IF(OR(AB$122="",I164=""),"",'I. Stream &amp; Compound Data'!BD219/$J164*(1-AB$127)*(1-AB$123)*$K225)</f>
        <v/>
      </c>
      <c r="AC225" s="648" t="str">
        <f>IF(OR(AC$122="",I164=""),"",'I. Stream &amp; Compound Data'!BG219/$J164*(1-AC$127)*(1-AC$123)*$K225)</f>
        <v/>
      </c>
      <c r="AD225" s="648" t="str">
        <f>IF(OR(AD$122="",I164=""),"",'I. Stream &amp; Compound Data'!BJ219/$J164*(1-AD$127)*(1-AD$123)*$K225)</f>
        <v/>
      </c>
      <c r="AE225" s="648" t="str">
        <f>IF(OR(AE$122="",I164=""),"",'I. Stream &amp; Compound Data'!BM219/$J164*(1-AE$127)*(1-AE$123)*$K225)</f>
        <v/>
      </c>
      <c r="AF225" s="648" t="str">
        <f>IF(OR(AF$122="",I164=""),"",'I. Stream &amp; Compound Data'!BP219/$J164*(1-AF$127)*(1-AF$123)*$K225)</f>
        <v/>
      </c>
      <c r="AG225" s="648" t="str">
        <f>IF(OR(AG$122="",I164=""),"",'I. Stream &amp; Compound Data'!BS219/$J164*(1-AG$127)*(1-AG$123)*$K225)</f>
        <v/>
      </c>
      <c r="AH225" s="648" t="str">
        <f>IF(OR(AH$122="",I164=""),"",'I. Stream &amp; Compound Data'!BV219/$J164*(1-AH$127)*(1-AH$123)*$K225)</f>
        <v/>
      </c>
      <c r="AI225" s="648" t="str">
        <f>IF(OR(AI$122="",I164=""),"",'I. Stream &amp; Compound Data'!BY219/$J164*(1-AI$127)*(1-AI$123)*$K225)</f>
        <v/>
      </c>
      <c r="AJ225" s="648" t="str">
        <f>IF(OR(AJ$122="",I164=""),"",'I. Stream &amp; Compound Data'!CB219/$J164*(1-AJ$127)*(1-AJ$123)*$K225)</f>
        <v/>
      </c>
      <c r="AK225" s="648" t="str">
        <f>IF(OR(AK$122="",I164=""),"",'I. Stream &amp; Compound Data'!CE219/$J164*(1-AK$127)*(1-AK$123)*$K225)</f>
        <v/>
      </c>
      <c r="AL225" s="648" t="str">
        <f>IF(OR(AL$122="",I164=""),"",'I. Stream &amp; Compound Data'!CH219/$J164*(1-AL$127)*(1-AL$123)*$K225)</f>
        <v/>
      </c>
      <c r="AM225" s="648" t="str">
        <f>IF(OR(AM$122="",I164=""),"",'I. Stream &amp; Compound Data'!CK219/$J164*(1-AM$127)*(1-AM$123)*$K225)</f>
        <v/>
      </c>
      <c r="AN225" s="648" t="str">
        <f>IF(OR(AN$122="",I164=""),"",'I. Stream &amp; Compound Data'!CN219/$J164*(1-AN$127)*(1-AN$123)*$K225)</f>
        <v/>
      </c>
      <c r="AO225" s="648" t="str">
        <f>IF(OR(AO$122="",I164=""),"",'I. Stream &amp; Compound Data'!CQ219/$J164*(1-AO$127)*(1-AO$123)*$K225)</f>
        <v/>
      </c>
      <c r="AP225" s="648" t="str">
        <f>IF(OR(AP$122="",I164=""),"",'I. Stream &amp; Compound Data'!CT219/$J164*(1-AP$127)*(1-AP$123)*$K225)</f>
        <v/>
      </c>
      <c r="AQ225" s="648" t="str">
        <f>IF(OR(AQ$122="",I164=""),"",'I. Stream &amp; Compound Data'!CW219/$J164*(1-AQ$127)*(1-AQ$123)*$K225)</f>
        <v/>
      </c>
      <c r="AR225" s="648" t="str">
        <f>IF(OR(AR$122="",I164=""),"",'I. Stream &amp; Compound Data'!CZ219/$J164*(1-AR$127)*(1-AR$123)*$K225)</f>
        <v/>
      </c>
      <c r="AS225" s="648" t="str">
        <f>IF(OR(AS$122="",I164=""),"",'I. Stream &amp; Compound Data'!DC219/$J164*(1-AS$127)*(1-AS$123)*$K225)</f>
        <v/>
      </c>
      <c r="AT225" s="648" t="str">
        <f>IF(OR(AT$122="",I164=""),"",'I. Stream &amp; Compound Data'!DF219/$J164*(1-AT$127)*(1-AT$123)*$K225)</f>
        <v/>
      </c>
      <c r="AU225" s="648" t="str">
        <f>IF(OR(AU$122="",I164=""),"",'I. Stream &amp; Compound Data'!DI219/$J164*(1-AU$127)*(1-AU$123)*$K225)</f>
        <v/>
      </c>
      <c r="AV225" s="648" t="str">
        <f>IF(OR(AV$122="",I164=""),"",'I. Stream &amp; Compound Data'!DL219/$J164*(1-AV$127)*(1-AV$123)*$K225)</f>
        <v/>
      </c>
      <c r="AW225" s="648" t="str">
        <f>IF(OR(AW$122="",I164=""),"",'I. Stream &amp; Compound Data'!DO219/$J164*(1-AW$127)*(1-AW$123)*$K225)</f>
        <v/>
      </c>
      <c r="AX225" s="648" t="str">
        <f>IF(OR(AX$122="",I164=""),"",'I. Stream &amp; Compound Data'!DR219/$J164*(1-AX$127)*(1-AX$123)*$K225)</f>
        <v/>
      </c>
      <c r="AY225" s="647" t="str">
        <f>IF(OR(AY$122="",I164=""),"",'I. Stream &amp; Compound Data'!DU219/$J164*(1-AY$127)*(1-AY$123)*$K225)</f>
        <v/>
      </c>
      <c r="AZ225" s="336"/>
      <c r="BA225" s="632"/>
      <c r="BB225" s="632"/>
      <c r="BC225" s="632"/>
      <c r="BD225" s="632"/>
      <c r="BE225" s="632"/>
      <c r="BF225" s="632"/>
      <c r="BG225" s="632"/>
      <c r="BH225" s="632"/>
      <c r="BI225" s="632"/>
      <c r="BJ225" s="632"/>
      <c r="BK225" s="632"/>
      <c r="BL225" s="632"/>
      <c r="BM225" s="632"/>
      <c r="BN225" s="632"/>
      <c r="BO225" s="632"/>
      <c r="BP225" s="632"/>
      <c r="BQ225" s="632"/>
      <c r="BR225" s="632"/>
      <c r="BS225" s="632"/>
      <c r="BT225" s="632"/>
      <c r="BU225" s="632"/>
      <c r="BV225" s="632"/>
      <c r="BW225" s="632"/>
      <c r="BX225" s="632"/>
      <c r="BY225" s="632"/>
      <c r="BZ225" s="632"/>
      <c r="CA225" s="632"/>
      <c r="CB225" s="632"/>
      <c r="CC225" s="632"/>
      <c r="CD225" s="632"/>
      <c r="CE225" s="632"/>
      <c r="CF225" s="632"/>
      <c r="CG225" s="632"/>
      <c r="CH225" s="632"/>
      <c r="CI225" s="632"/>
      <c r="CJ225" s="632"/>
      <c r="CK225" s="632"/>
      <c r="CL225" s="632"/>
      <c r="CM225" s="632"/>
      <c r="CN225" s="631"/>
    </row>
    <row r="226" spans="2:92" ht="15.75" x14ac:dyDescent="0.2">
      <c r="B226" s="610"/>
      <c r="C226" s="336"/>
      <c r="D226" s="611"/>
      <c r="E226" s="612"/>
      <c r="F226" s="612"/>
      <c r="G226" s="612"/>
      <c r="H226" s="611"/>
      <c r="I226" s="637"/>
      <c r="J226" s="653">
        <f>'I. Stream &amp; Compound Data'!F296</f>
        <v>35</v>
      </c>
      <c r="K226" s="651" t="str">
        <f>IF('I. Stream &amp; Compound Data'!G296="","",IF('I. Stream &amp; Compound Data'!V296=1,0,1))</f>
        <v/>
      </c>
      <c r="L226" s="651" t="str">
        <f>IF(OR(L$122="",I165=""),"",'I. Stream &amp; Compound Data'!H220/$J165*(1-L$127)*(1-L$123)*$K226)</f>
        <v/>
      </c>
      <c r="M226" s="651" t="str">
        <f>IF(OR(M$122="",I165=""),"",'I. Stream &amp; Compound Data'!K220/$J165*(1-M$127)*(1-M$123)*$K226)</f>
        <v/>
      </c>
      <c r="N226" s="652" t="str">
        <f>IF(OR(N$122="",I165=""),"",'I. Stream &amp; Compound Data'!N220/$J165*(1-N$127)*(1-N$123)*$K226)</f>
        <v/>
      </c>
      <c r="O226" s="651" t="str">
        <f>IF(OR(O$122="",I165=""),"",'I. Stream &amp; Compound Data'!Q220/$J165*(1-O$127)*(1-O$123)*$K226)</f>
        <v/>
      </c>
      <c r="P226" s="651" t="str">
        <f>IF(OR(P$122="",I165=""),"",'I. Stream &amp; Compound Data'!T220/$J165*(1-P$127)*(1-P$123)*$K226)</f>
        <v/>
      </c>
      <c r="Q226" s="650" t="str">
        <f>IF(OR(Q$122="",I165=""),"",'I. Stream &amp; Compound Data'!W220/$J165*(1-Q$127)*(1-Q$123)*$K226)</f>
        <v/>
      </c>
      <c r="R226" s="649" t="str">
        <f>IF(OR(R$122="",I165=""),"",'I. Stream &amp; Compound Data'!Z220/$J165*(1-R$127)*(1-R$123)*$K226)</f>
        <v/>
      </c>
      <c r="S226" s="649" t="str">
        <f>IF(OR(S$122="",I165=""),"",'I. Stream &amp; Compound Data'!AC220/$J165*(1-S$127)*(1-S$123)*$K226)</f>
        <v/>
      </c>
      <c r="T226" s="649" t="str">
        <f>IF(OR(T$122="",I165=""),"",'I. Stream &amp; Compound Data'!AF220/$J165*(1-T$127)*(1-T$123)*$K226)</f>
        <v/>
      </c>
      <c r="U226" s="648" t="str">
        <f>IF(OR(U$122="",I165=""),"",'I. Stream &amp; Compound Data'!AI220/$J165*(1-U$127)*(1-U$123)*$K226)</f>
        <v/>
      </c>
      <c r="V226" s="648" t="str">
        <f>IF(OR(V$122="",I165=""),"",'I. Stream &amp; Compound Data'!AL220/$J165*(1-V$127)*(1-V$123)*$K226)</f>
        <v/>
      </c>
      <c r="W226" s="648" t="str">
        <f>IF(OR(W$122="",I165=""),"",'I. Stream &amp; Compound Data'!AO220/$J165*(1-W$127)*(1-W$123)*$K226)</f>
        <v/>
      </c>
      <c r="X226" s="648" t="str">
        <f>IF(OR(X$122="",I165=""),"",'I. Stream &amp; Compound Data'!AR220/$J165*(1-X$127)*(1-X$123)*$K226)</f>
        <v/>
      </c>
      <c r="Y226" s="648" t="str">
        <f>IF(OR(Y$122="",I165=""),"",'I. Stream &amp; Compound Data'!AU220/$J165*(1-Y$127)*(1-Y$123)*$K226)</f>
        <v/>
      </c>
      <c r="Z226" s="648" t="str">
        <f>IF(OR(Z$122="",I165=""),"",'I. Stream &amp; Compound Data'!AX220/$J165*(1-Z$127)*(1-Z$123)*$K226)</f>
        <v/>
      </c>
      <c r="AA226" s="648" t="str">
        <f>IF(OR(AA$122="",I165=""),"",'I. Stream &amp; Compound Data'!BA220/$J165*(1-AA$127)*(1-AA$123)*$K226)</f>
        <v/>
      </c>
      <c r="AB226" s="648" t="str">
        <f>IF(OR(AB$122="",I165=""),"",'I. Stream &amp; Compound Data'!BD220/$J165*(1-AB$127)*(1-AB$123)*$K226)</f>
        <v/>
      </c>
      <c r="AC226" s="648" t="str">
        <f>IF(OR(AC$122="",I165=""),"",'I. Stream &amp; Compound Data'!BG220/$J165*(1-AC$127)*(1-AC$123)*$K226)</f>
        <v/>
      </c>
      <c r="AD226" s="648" t="str">
        <f>IF(OR(AD$122="",I165=""),"",'I. Stream &amp; Compound Data'!BJ220/$J165*(1-AD$127)*(1-AD$123)*$K226)</f>
        <v/>
      </c>
      <c r="AE226" s="648" t="str">
        <f>IF(OR(AE$122="",I165=""),"",'I. Stream &amp; Compound Data'!BM220/$J165*(1-AE$127)*(1-AE$123)*$K226)</f>
        <v/>
      </c>
      <c r="AF226" s="648" t="str">
        <f>IF(OR(AF$122="",I165=""),"",'I. Stream &amp; Compound Data'!BP220/$J165*(1-AF$127)*(1-AF$123)*$K226)</f>
        <v/>
      </c>
      <c r="AG226" s="648" t="str">
        <f>IF(OR(AG$122="",I165=""),"",'I. Stream &amp; Compound Data'!BS220/$J165*(1-AG$127)*(1-AG$123)*$K226)</f>
        <v/>
      </c>
      <c r="AH226" s="648" t="str">
        <f>IF(OR(AH$122="",I165=""),"",'I. Stream &amp; Compound Data'!BV220/$J165*(1-AH$127)*(1-AH$123)*$K226)</f>
        <v/>
      </c>
      <c r="AI226" s="648" t="str">
        <f>IF(OR(AI$122="",I165=""),"",'I. Stream &amp; Compound Data'!BY220/$J165*(1-AI$127)*(1-AI$123)*$K226)</f>
        <v/>
      </c>
      <c r="AJ226" s="648" t="str">
        <f>IF(OR(AJ$122="",I165=""),"",'I. Stream &amp; Compound Data'!CB220/$J165*(1-AJ$127)*(1-AJ$123)*$K226)</f>
        <v/>
      </c>
      <c r="AK226" s="648" t="str">
        <f>IF(OR(AK$122="",I165=""),"",'I. Stream &amp; Compound Data'!CE220/$J165*(1-AK$127)*(1-AK$123)*$K226)</f>
        <v/>
      </c>
      <c r="AL226" s="648" t="str">
        <f>IF(OR(AL$122="",I165=""),"",'I. Stream &amp; Compound Data'!CH220/$J165*(1-AL$127)*(1-AL$123)*$K226)</f>
        <v/>
      </c>
      <c r="AM226" s="648" t="str">
        <f>IF(OR(AM$122="",I165=""),"",'I. Stream &amp; Compound Data'!CK220/$J165*(1-AM$127)*(1-AM$123)*$K226)</f>
        <v/>
      </c>
      <c r="AN226" s="648" t="str">
        <f>IF(OR(AN$122="",I165=""),"",'I. Stream &amp; Compound Data'!CN220/$J165*(1-AN$127)*(1-AN$123)*$K226)</f>
        <v/>
      </c>
      <c r="AO226" s="648" t="str">
        <f>IF(OR(AO$122="",I165=""),"",'I. Stream &amp; Compound Data'!CQ220/$J165*(1-AO$127)*(1-AO$123)*$K226)</f>
        <v/>
      </c>
      <c r="AP226" s="648" t="str">
        <f>IF(OR(AP$122="",I165=""),"",'I. Stream &amp; Compound Data'!CT220/$J165*(1-AP$127)*(1-AP$123)*$K226)</f>
        <v/>
      </c>
      <c r="AQ226" s="648" t="str">
        <f>IF(OR(AQ$122="",I165=""),"",'I. Stream &amp; Compound Data'!CW220/$J165*(1-AQ$127)*(1-AQ$123)*$K226)</f>
        <v/>
      </c>
      <c r="AR226" s="648" t="str">
        <f>IF(OR(AR$122="",I165=""),"",'I. Stream &amp; Compound Data'!CZ220/$J165*(1-AR$127)*(1-AR$123)*$K226)</f>
        <v/>
      </c>
      <c r="AS226" s="648" t="str">
        <f>IF(OR(AS$122="",I165=""),"",'I. Stream &amp; Compound Data'!DC220/$J165*(1-AS$127)*(1-AS$123)*$K226)</f>
        <v/>
      </c>
      <c r="AT226" s="648" t="str">
        <f>IF(OR(AT$122="",I165=""),"",'I. Stream &amp; Compound Data'!DF220/$J165*(1-AT$127)*(1-AT$123)*$K226)</f>
        <v/>
      </c>
      <c r="AU226" s="648" t="str">
        <f>IF(OR(AU$122="",I165=""),"",'I. Stream &amp; Compound Data'!DI220/$J165*(1-AU$127)*(1-AU$123)*$K226)</f>
        <v/>
      </c>
      <c r="AV226" s="648" t="str">
        <f>IF(OR(AV$122="",I165=""),"",'I. Stream &amp; Compound Data'!DL220/$J165*(1-AV$127)*(1-AV$123)*$K226)</f>
        <v/>
      </c>
      <c r="AW226" s="648" t="str">
        <f>IF(OR(AW$122="",I165=""),"",'I. Stream &amp; Compound Data'!DO220/$J165*(1-AW$127)*(1-AW$123)*$K226)</f>
        <v/>
      </c>
      <c r="AX226" s="648" t="str">
        <f>IF(OR(AX$122="",I165=""),"",'I. Stream &amp; Compound Data'!DR220/$J165*(1-AX$127)*(1-AX$123)*$K226)</f>
        <v/>
      </c>
      <c r="AY226" s="647" t="str">
        <f>IF(OR(AY$122="",I165=""),"",'I. Stream &amp; Compound Data'!DU220/$J165*(1-AY$127)*(1-AY$123)*$K226)</f>
        <v/>
      </c>
      <c r="AZ226" s="336"/>
      <c r="BA226" s="632"/>
      <c r="BB226" s="632"/>
      <c r="BC226" s="632"/>
      <c r="BD226" s="632"/>
      <c r="BE226" s="632"/>
      <c r="BF226" s="632"/>
      <c r="BG226" s="632"/>
      <c r="BH226" s="632"/>
      <c r="BI226" s="632"/>
      <c r="BJ226" s="632"/>
      <c r="BK226" s="632"/>
      <c r="BL226" s="632"/>
      <c r="BM226" s="632"/>
      <c r="BN226" s="632"/>
      <c r="BO226" s="632"/>
      <c r="BP226" s="632"/>
      <c r="BQ226" s="632"/>
      <c r="BR226" s="632"/>
      <c r="BS226" s="632"/>
      <c r="BT226" s="632"/>
      <c r="BU226" s="632"/>
      <c r="BV226" s="632"/>
      <c r="BW226" s="632"/>
      <c r="BX226" s="632"/>
      <c r="BY226" s="632"/>
      <c r="BZ226" s="632"/>
      <c r="CA226" s="632"/>
      <c r="CB226" s="632"/>
      <c r="CC226" s="632"/>
      <c r="CD226" s="632"/>
      <c r="CE226" s="632"/>
      <c r="CF226" s="632"/>
      <c r="CG226" s="632"/>
      <c r="CH226" s="632"/>
      <c r="CI226" s="632"/>
      <c r="CJ226" s="632"/>
      <c r="CK226" s="632"/>
      <c r="CL226" s="632"/>
      <c r="CM226" s="632"/>
      <c r="CN226" s="631"/>
    </row>
    <row r="227" spans="2:92" ht="15.75" x14ac:dyDescent="0.2">
      <c r="B227" s="610"/>
      <c r="C227" s="336"/>
      <c r="D227" s="611"/>
      <c r="E227" s="612"/>
      <c r="F227" s="612"/>
      <c r="G227" s="612"/>
      <c r="H227" s="611"/>
      <c r="I227" s="637"/>
      <c r="J227" s="653">
        <f>'I. Stream &amp; Compound Data'!F297</f>
        <v>36</v>
      </c>
      <c r="K227" s="651" t="str">
        <f>IF('I. Stream &amp; Compound Data'!G297="","",IF('I. Stream &amp; Compound Data'!V297=1,0,1))</f>
        <v/>
      </c>
      <c r="L227" s="651" t="str">
        <f>IF(OR(L$122="",I166=""),"",'I. Stream &amp; Compound Data'!H221/$J166*(1-L$127)*(1-L$123)*$K227)</f>
        <v/>
      </c>
      <c r="M227" s="651" t="str">
        <f>IF(OR(M$122="",I166=""),"",'I. Stream &amp; Compound Data'!K221/$J166*(1-M$127)*(1-M$123)*$K227)</f>
        <v/>
      </c>
      <c r="N227" s="652" t="str">
        <f>IF(OR(N$122="",I166=""),"",'I. Stream &amp; Compound Data'!N221/$J166*(1-N$127)*(1-N$123)*$K227)</f>
        <v/>
      </c>
      <c r="O227" s="651" t="str">
        <f>IF(OR(O$122="",I166=""),"",'I. Stream &amp; Compound Data'!Q221/$J166*(1-O$127)*(1-O$123)*$K227)</f>
        <v/>
      </c>
      <c r="P227" s="651" t="str">
        <f>IF(OR(P$122="",I166=""),"",'I. Stream &amp; Compound Data'!T221/$J166*(1-P$127)*(1-P$123)*$K227)</f>
        <v/>
      </c>
      <c r="Q227" s="650" t="str">
        <f>IF(OR(Q$122="",I166=""),"",'I. Stream &amp; Compound Data'!W221/$J166*(1-Q$127)*(1-Q$123)*$K227)</f>
        <v/>
      </c>
      <c r="R227" s="649" t="str">
        <f>IF(OR(R$122="",I166=""),"",'I. Stream &amp; Compound Data'!Z221/$J166*(1-R$127)*(1-R$123)*$K227)</f>
        <v/>
      </c>
      <c r="S227" s="649" t="str">
        <f>IF(OR(S$122="",I166=""),"",'I. Stream &amp; Compound Data'!AC221/$J166*(1-S$127)*(1-S$123)*$K227)</f>
        <v/>
      </c>
      <c r="T227" s="649" t="str">
        <f>IF(OR(T$122="",I166=""),"",'I. Stream &amp; Compound Data'!AF221/$J166*(1-T$127)*(1-T$123)*$K227)</f>
        <v/>
      </c>
      <c r="U227" s="648" t="str">
        <f>IF(OR(U$122="",I166=""),"",'I. Stream &amp; Compound Data'!AI221/$J166*(1-U$127)*(1-U$123)*$K227)</f>
        <v/>
      </c>
      <c r="V227" s="648" t="str">
        <f>IF(OR(V$122="",I166=""),"",'I. Stream &amp; Compound Data'!AL221/$J166*(1-V$127)*(1-V$123)*$K227)</f>
        <v/>
      </c>
      <c r="W227" s="648" t="str">
        <f>IF(OR(W$122="",I166=""),"",'I. Stream &amp; Compound Data'!AO221/$J166*(1-W$127)*(1-W$123)*$K227)</f>
        <v/>
      </c>
      <c r="X227" s="648" t="str">
        <f>IF(OR(X$122="",I166=""),"",'I. Stream &amp; Compound Data'!AR221/$J166*(1-X$127)*(1-X$123)*$K227)</f>
        <v/>
      </c>
      <c r="Y227" s="648" t="str">
        <f>IF(OR(Y$122="",I166=""),"",'I. Stream &amp; Compound Data'!AU221/$J166*(1-Y$127)*(1-Y$123)*$K227)</f>
        <v/>
      </c>
      <c r="Z227" s="648" t="str">
        <f>IF(OR(Z$122="",I166=""),"",'I. Stream &amp; Compound Data'!AX221/$J166*(1-Z$127)*(1-Z$123)*$K227)</f>
        <v/>
      </c>
      <c r="AA227" s="648" t="str">
        <f>IF(OR(AA$122="",I166=""),"",'I. Stream &amp; Compound Data'!BA221/$J166*(1-AA$127)*(1-AA$123)*$K227)</f>
        <v/>
      </c>
      <c r="AB227" s="648" t="str">
        <f>IF(OR(AB$122="",I166=""),"",'I. Stream &amp; Compound Data'!BD221/$J166*(1-AB$127)*(1-AB$123)*$K227)</f>
        <v/>
      </c>
      <c r="AC227" s="648" t="str">
        <f>IF(OR(AC$122="",I166=""),"",'I. Stream &amp; Compound Data'!BG221/$J166*(1-AC$127)*(1-AC$123)*$K227)</f>
        <v/>
      </c>
      <c r="AD227" s="648" t="str">
        <f>IF(OR(AD$122="",I166=""),"",'I. Stream &amp; Compound Data'!BJ221/$J166*(1-AD$127)*(1-AD$123)*$K227)</f>
        <v/>
      </c>
      <c r="AE227" s="648" t="str">
        <f>IF(OR(AE$122="",I166=""),"",'I. Stream &amp; Compound Data'!BM221/$J166*(1-AE$127)*(1-AE$123)*$K227)</f>
        <v/>
      </c>
      <c r="AF227" s="648" t="str">
        <f>IF(OR(AF$122="",I166=""),"",'I. Stream &amp; Compound Data'!BP221/$J166*(1-AF$127)*(1-AF$123)*$K227)</f>
        <v/>
      </c>
      <c r="AG227" s="648" t="str">
        <f>IF(OR(AG$122="",I166=""),"",'I. Stream &amp; Compound Data'!BS221/$J166*(1-AG$127)*(1-AG$123)*$K227)</f>
        <v/>
      </c>
      <c r="AH227" s="648" t="str">
        <f>IF(OR(AH$122="",I166=""),"",'I. Stream &amp; Compound Data'!BV221/$J166*(1-AH$127)*(1-AH$123)*$K227)</f>
        <v/>
      </c>
      <c r="AI227" s="648" t="str">
        <f>IF(OR(AI$122="",I166=""),"",'I. Stream &amp; Compound Data'!BY221/$J166*(1-AI$127)*(1-AI$123)*$K227)</f>
        <v/>
      </c>
      <c r="AJ227" s="648" t="str">
        <f>IF(OR(AJ$122="",I166=""),"",'I. Stream &amp; Compound Data'!CB221/$J166*(1-AJ$127)*(1-AJ$123)*$K227)</f>
        <v/>
      </c>
      <c r="AK227" s="648" t="str">
        <f>IF(OR(AK$122="",I166=""),"",'I. Stream &amp; Compound Data'!CE221/$J166*(1-AK$127)*(1-AK$123)*$K227)</f>
        <v/>
      </c>
      <c r="AL227" s="648" t="str">
        <f>IF(OR(AL$122="",I166=""),"",'I. Stream &amp; Compound Data'!CH221/$J166*(1-AL$127)*(1-AL$123)*$K227)</f>
        <v/>
      </c>
      <c r="AM227" s="648" t="str">
        <f>IF(OR(AM$122="",I166=""),"",'I. Stream &amp; Compound Data'!CK221/$J166*(1-AM$127)*(1-AM$123)*$K227)</f>
        <v/>
      </c>
      <c r="AN227" s="648" t="str">
        <f>IF(OR(AN$122="",I166=""),"",'I. Stream &amp; Compound Data'!CN221/$J166*(1-AN$127)*(1-AN$123)*$K227)</f>
        <v/>
      </c>
      <c r="AO227" s="648" t="str">
        <f>IF(OR(AO$122="",I166=""),"",'I. Stream &amp; Compound Data'!CQ221/$J166*(1-AO$127)*(1-AO$123)*$K227)</f>
        <v/>
      </c>
      <c r="AP227" s="648" t="str">
        <f>IF(OR(AP$122="",I166=""),"",'I. Stream &amp; Compound Data'!CT221/$J166*(1-AP$127)*(1-AP$123)*$K227)</f>
        <v/>
      </c>
      <c r="AQ227" s="648" t="str">
        <f>IF(OR(AQ$122="",I166=""),"",'I. Stream &amp; Compound Data'!CW221/$J166*(1-AQ$127)*(1-AQ$123)*$K227)</f>
        <v/>
      </c>
      <c r="AR227" s="648" t="str">
        <f>IF(OR(AR$122="",I166=""),"",'I. Stream &amp; Compound Data'!CZ221/$J166*(1-AR$127)*(1-AR$123)*$K227)</f>
        <v/>
      </c>
      <c r="AS227" s="648" t="str">
        <f>IF(OR(AS$122="",I166=""),"",'I. Stream &amp; Compound Data'!DC221/$J166*(1-AS$127)*(1-AS$123)*$K227)</f>
        <v/>
      </c>
      <c r="AT227" s="648" t="str">
        <f>IF(OR(AT$122="",I166=""),"",'I. Stream &amp; Compound Data'!DF221/$J166*(1-AT$127)*(1-AT$123)*$K227)</f>
        <v/>
      </c>
      <c r="AU227" s="648" t="str">
        <f>IF(OR(AU$122="",I166=""),"",'I. Stream &amp; Compound Data'!DI221/$J166*(1-AU$127)*(1-AU$123)*$K227)</f>
        <v/>
      </c>
      <c r="AV227" s="648" t="str">
        <f>IF(OR(AV$122="",I166=""),"",'I. Stream &amp; Compound Data'!DL221/$J166*(1-AV$127)*(1-AV$123)*$K227)</f>
        <v/>
      </c>
      <c r="AW227" s="648" t="str">
        <f>IF(OR(AW$122="",I166=""),"",'I. Stream &amp; Compound Data'!DO221/$J166*(1-AW$127)*(1-AW$123)*$K227)</f>
        <v/>
      </c>
      <c r="AX227" s="648" t="str">
        <f>IF(OR(AX$122="",I166=""),"",'I. Stream &amp; Compound Data'!DR221/$J166*(1-AX$127)*(1-AX$123)*$K227)</f>
        <v/>
      </c>
      <c r="AY227" s="647" t="str">
        <f>IF(OR(AY$122="",I166=""),"",'I. Stream &amp; Compound Data'!DU221/$J166*(1-AY$127)*(1-AY$123)*$K227)</f>
        <v/>
      </c>
      <c r="AZ227" s="336"/>
      <c r="BA227" s="632"/>
      <c r="BB227" s="632"/>
      <c r="BC227" s="632"/>
      <c r="BD227" s="632"/>
      <c r="BE227" s="632"/>
      <c r="BF227" s="632"/>
      <c r="BG227" s="632"/>
      <c r="BH227" s="632"/>
      <c r="BI227" s="632"/>
      <c r="BJ227" s="632"/>
      <c r="BK227" s="632"/>
      <c r="BL227" s="632"/>
      <c r="BM227" s="632"/>
      <c r="BN227" s="632"/>
      <c r="BO227" s="632"/>
      <c r="BP227" s="632"/>
      <c r="BQ227" s="632"/>
      <c r="BR227" s="632"/>
      <c r="BS227" s="632"/>
      <c r="BT227" s="632"/>
      <c r="BU227" s="632"/>
      <c r="BV227" s="632"/>
      <c r="BW227" s="632"/>
      <c r="BX227" s="632"/>
      <c r="BY227" s="632"/>
      <c r="BZ227" s="632"/>
      <c r="CA227" s="632"/>
      <c r="CB227" s="632"/>
      <c r="CC227" s="632"/>
      <c r="CD227" s="632"/>
      <c r="CE227" s="632"/>
      <c r="CF227" s="632"/>
      <c r="CG227" s="632"/>
      <c r="CH227" s="632"/>
      <c r="CI227" s="632"/>
      <c r="CJ227" s="632"/>
      <c r="CK227" s="632"/>
      <c r="CL227" s="632"/>
      <c r="CM227" s="632"/>
      <c r="CN227" s="631"/>
    </row>
    <row r="228" spans="2:92" ht="15.75" x14ac:dyDescent="0.2">
      <c r="B228" s="610"/>
      <c r="C228" s="336"/>
      <c r="D228" s="611"/>
      <c r="E228" s="612"/>
      <c r="F228" s="612"/>
      <c r="G228" s="612"/>
      <c r="H228" s="611"/>
      <c r="I228" s="637"/>
      <c r="J228" s="653">
        <f>'I. Stream &amp; Compound Data'!F298</f>
        <v>37</v>
      </c>
      <c r="K228" s="651" t="str">
        <f>IF('I. Stream &amp; Compound Data'!G298="","",IF('I. Stream &amp; Compound Data'!V298=1,0,1))</f>
        <v/>
      </c>
      <c r="L228" s="651" t="str">
        <f>IF(OR(L$122="",I167=""),"",'I. Stream &amp; Compound Data'!H222/$J167*(1-L$127)*(1-L$123)*$K228)</f>
        <v/>
      </c>
      <c r="M228" s="651" t="str">
        <f>IF(OR(M$122="",I167=""),"",'I. Stream &amp; Compound Data'!K222/$J167*(1-M$127)*(1-M$123)*$K228)</f>
        <v/>
      </c>
      <c r="N228" s="652" t="str">
        <f>IF(OR(N$122="",I167=""),"",'I. Stream &amp; Compound Data'!N222/$J167*(1-N$127)*(1-N$123)*$K228)</f>
        <v/>
      </c>
      <c r="O228" s="651" t="str">
        <f>IF(OR(O$122="",I167=""),"",'I. Stream &amp; Compound Data'!Q222/$J167*(1-O$127)*(1-O$123)*$K228)</f>
        <v/>
      </c>
      <c r="P228" s="651" t="str">
        <f>IF(OR(P$122="",I167=""),"",'I. Stream &amp; Compound Data'!T222/$J167*(1-P$127)*(1-P$123)*$K228)</f>
        <v/>
      </c>
      <c r="Q228" s="650" t="str">
        <f>IF(OR(Q$122="",I167=""),"",'I. Stream &amp; Compound Data'!W222/$J167*(1-Q$127)*(1-Q$123)*$K228)</f>
        <v/>
      </c>
      <c r="R228" s="649" t="str">
        <f>IF(OR(R$122="",I167=""),"",'I. Stream &amp; Compound Data'!Z222/$J167*(1-R$127)*(1-R$123)*$K228)</f>
        <v/>
      </c>
      <c r="S228" s="649" t="str">
        <f>IF(OR(S$122="",I167=""),"",'I. Stream &amp; Compound Data'!AC222/$J167*(1-S$127)*(1-S$123)*$K228)</f>
        <v/>
      </c>
      <c r="T228" s="649" t="str">
        <f>IF(OR(T$122="",I167=""),"",'I. Stream &amp; Compound Data'!AF222/$J167*(1-T$127)*(1-T$123)*$K228)</f>
        <v/>
      </c>
      <c r="U228" s="648" t="str">
        <f>IF(OR(U$122="",I167=""),"",'I. Stream &amp; Compound Data'!AI222/$J167*(1-U$127)*(1-U$123)*$K228)</f>
        <v/>
      </c>
      <c r="V228" s="648" t="str">
        <f>IF(OR(V$122="",I167=""),"",'I. Stream &amp; Compound Data'!AL222/$J167*(1-V$127)*(1-V$123)*$K228)</f>
        <v/>
      </c>
      <c r="W228" s="648" t="str">
        <f>IF(OR(W$122="",I167=""),"",'I. Stream &amp; Compound Data'!AO222/$J167*(1-W$127)*(1-W$123)*$K228)</f>
        <v/>
      </c>
      <c r="X228" s="648" t="str">
        <f>IF(OR(X$122="",I167=""),"",'I. Stream &amp; Compound Data'!AR222/$J167*(1-X$127)*(1-X$123)*$K228)</f>
        <v/>
      </c>
      <c r="Y228" s="648" t="str">
        <f>IF(OR(Y$122="",I167=""),"",'I. Stream &amp; Compound Data'!AU222/$J167*(1-Y$127)*(1-Y$123)*$K228)</f>
        <v/>
      </c>
      <c r="Z228" s="648" t="str">
        <f>IF(OR(Z$122="",I167=""),"",'I. Stream &amp; Compound Data'!AX222/$J167*(1-Z$127)*(1-Z$123)*$K228)</f>
        <v/>
      </c>
      <c r="AA228" s="648" t="str">
        <f>IF(OR(AA$122="",I167=""),"",'I. Stream &amp; Compound Data'!BA222/$J167*(1-AA$127)*(1-AA$123)*$K228)</f>
        <v/>
      </c>
      <c r="AB228" s="648" t="str">
        <f>IF(OR(AB$122="",I167=""),"",'I. Stream &amp; Compound Data'!BD222/$J167*(1-AB$127)*(1-AB$123)*$K228)</f>
        <v/>
      </c>
      <c r="AC228" s="648" t="str">
        <f>IF(OR(AC$122="",I167=""),"",'I. Stream &amp; Compound Data'!BG222/$J167*(1-AC$127)*(1-AC$123)*$K228)</f>
        <v/>
      </c>
      <c r="AD228" s="648" t="str">
        <f>IF(OR(AD$122="",I167=""),"",'I. Stream &amp; Compound Data'!BJ222/$J167*(1-AD$127)*(1-AD$123)*$K228)</f>
        <v/>
      </c>
      <c r="AE228" s="648" t="str">
        <f>IF(OR(AE$122="",I167=""),"",'I. Stream &amp; Compound Data'!BM222/$J167*(1-AE$127)*(1-AE$123)*$K228)</f>
        <v/>
      </c>
      <c r="AF228" s="648" t="str">
        <f>IF(OR(AF$122="",I167=""),"",'I. Stream &amp; Compound Data'!BP222/$J167*(1-AF$127)*(1-AF$123)*$K228)</f>
        <v/>
      </c>
      <c r="AG228" s="648" t="str">
        <f>IF(OR(AG$122="",I167=""),"",'I. Stream &amp; Compound Data'!BS222/$J167*(1-AG$127)*(1-AG$123)*$K228)</f>
        <v/>
      </c>
      <c r="AH228" s="648" t="str">
        <f>IF(OR(AH$122="",I167=""),"",'I. Stream &amp; Compound Data'!BV222/$J167*(1-AH$127)*(1-AH$123)*$K228)</f>
        <v/>
      </c>
      <c r="AI228" s="648" t="str">
        <f>IF(OR(AI$122="",I167=""),"",'I. Stream &amp; Compound Data'!BY222/$J167*(1-AI$127)*(1-AI$123)*$K228)</f>
        <v/>
      </c>
      <c r="AJ228" s="648" t="str">
        <f>IF(OR(AJ$122="",I167=""),"",'I. Stream &amp; Compound Data'!CB222/$J167*(1-AJ$127)*(1-AJ$123)*$K228)</f>
        <v/>
      </c>
      <c r="AK228" s="648" t="str">
        <f>IF(OR(AK$122="",I167=""),"",'I. Stream &amp; Compound Data'!CE222/$J167*(1-AK$127)*(1-AK$123)*$K228)</f>
        <v/>
      </c>
      <c r="AL228" s="648" t="str">
        <f>IF(OR(AL$122="",I167=""),"",'I. Stream &amp; Compound Data'!CH222/$J167*(1-AL$127)*(1-AL$123)*$K228)</f>
        <v/>
      </c>
      <c r="AM228" s="648" t="str">
        <f>IF(OR(AM$122="",I167=""),"",'I. Stream &amp; Compound Data'!CK222/$J167*(1-AM$127)*(1-AM$123)*$K228)</f>
        <v/>
      </c>
      <c r="AN228" s="648" t="str">
        <f>IF(OR(AN$122="",I167=""),"",'I. Stream &amp; Compound Data'!CN222/$J167*(1-AN$127)*(1-AN$123)*$K228)</f>
        <v/>
      </c>
      <c r="AO228" s="648" t="str">
        <f>IF(OR(AO$122="",I167=""),"",'I. Stream &amp; Compound Data'!CQ222/$J167*(1-AO$127)*(1-AO$123)*$K228)</f>
        <v/>
      </c>
      <c r="AP228" s="648" t="str">
        <f>IF(OR(AP$122="",I167=""),"",'I. Stream &amp; Compound Data'!CT222/$J167*(1-AP$127)*(1-AP$123)*$K228)</f>
        <v/>
      </c>
      <c r="AQ228" s="648" t="str">
        <f>IF(OR(AQ$122="",I167=""),"",'I. Stream &amp; Compound Data'!CW222/$J167*(1-AQ$127)*(1-AQ$123)*$K228)</f>
        <v/>
      </c>
      <c r="AR228" s="648" t="str">
        <f>IF(OR(AR$122="",I167=""),"",'I. Stream &amp; Compound Data'!CZ222/$J167*(1-AR$127)*(1-AR$123)*$K228)</f>
        <v/>
      </c>
      <c r="AS228" s="648" t="str">
        <f>IF(OR(AS$122="",I167=""),"",'I. Stream &amp; Compound Data'!DC222/$J167*(1-AS$127)*(1-AS$123)*$K228)</f>
        <v/>
      </c>
      <c r="AT228" s="648" t="str">
        <f>IF(OR(AT$122="",I167=""),"",'I. Stream &amp; Compound Data'!DF222/$J167*(1-AT$127)*(1-AT$123)*$K228)</f>
        <v/>
      </c>
      <c r="AU228" s="648" t="str">
        <f>IF(OR(AU$122="",I167=""),"",'I. Stream &amp; Compound Data'!DI222/$J167*(1-AU$127)*(1-AU$123)*$K228)</f>
        <v/>
      </c>
      <c r="AV228" s="648" t="str">
        <f>IF(OR(AV$122="",I167=""),"",'I. Stream &amp; Compound Data'!DL222/$J167*(1-AV$127)*(1-AV$123)*$K228)</f>
        <v/>
      </c>
      <c r="AW228" s="648" t="str">
        <f>IF(OR(AW$122="",I167=""),"",'I. Stream &amp; Compound Data'!DO222/$J167*(1-AW$127)*(1-AW$123)*$K228)</f>
        <v/>
      </c>
      <c r="AX228" s="648" t="str">
        <f>IF(OR(AX$122="",I167=""),"",'I. Stream &amp; Compound Data'!DR222/$J167*(1-AX$127)*(1-AX$123)*$K228)</f>
        <v/>
      </c>
      <c r="AY228" s="647" t="str">
        <f>IF(OR(AY$122="",I167=""),"",'I. Stream &amp; Compound Data'!DU222/$J167*(1-AY$127)*(1-AY$123)*$K228)</f>
        <v/>
      </c>
      <c r="AZ228" s="336"/>
      <c r="BA228" s="632"/>
      <c r="BB228" s="632"/>
      <c r="BC228" s="632"/>
      <c r="BD228" s="632"/>
      <c r="BE228" s="632"/>
      <c r="BF228" s="632"/>
      <c r="BG228" s="632"/>
      <c r="BH228" s="632"/>
      <c r="BI228" s="632"/>
      <c r="BJ228" s="632"/>
      <c r="BK228" s="632"/>
      <c r="BL228" s="632"/>
      <c r="BM228" s="632"/>
      <c r="BN228" s="632"/>
      <c r="BO228" s="632"/>
      <c r="BP228" s="632"/>
      <c r="BQ228" s="632"/>
      <c r="BR228" s="632"/>
      <c r="BS228" s="632"/>
      <c r="BT228" s="632"/>
      <c r="BU228" s="632"/>
      <c r="BV228" s="632"/>
      <c r="BW228" s="632"/>
      <c r="BX228" s="632"/>
      <c r="BY228" s="632"/>
      <c r="BZ228" s="632"/>
      <c r="CA228" s="632"/>
      <c r="CB228" s="632"/>
      <c r="CC228" s="632"/>
      <c r="CD228" s="632"/>
      <c r="CE228" s="632"/>
      <c r="CF228" s="632"/>
      <c r="CG228" s="632"/>
      <c r="CH228" s="632"/>
      <c r="CI228" s="632"/>
      <c r="CJ228" s="632"/>
      <c r="CK228" s="632"/>
      <c r="CL228" s="632"/>
      <c r="CM228" s="632"/>
      <c r="CN228" s="631"/>
    </row>
    <row r="229" spans="2:92" ht="15.75" x14ac:dyDescent="0.2">
      <c r="B229" s="610"/>
      <c r="C229" s="336"/>
      <c r="D229" s="611"/>
      <c r="E229" s="612"/>
      <c r="F229" s="612"/>
      <c r="G229" s="612"/>
      <c r="H229" s="611"/>
      <c r="I229" s="637"/>
      <c r="J229" s="653">
        <f>'I. Stream &amp; Compound Data'!F299</f>
        <v>38</v>
      </c>
      <c r="K229" s="651" t="str">
        <f>IF('I. Stream &amp; Compound Data'!G299="","",IF('I. Stream &amp; Compound Data'!V299=1,0,1))</f>
        <v/>
      </c>
      <c r="L229" s="651" t="str">
        <f>IF(OR(L$122="",I168=""),"",'I. Stream &amp; Compound Data'!H223/$J168*(1-L$127)*(1-L$123)*$K229)</f>
        <v/>
      </c>
      <c r="M229" s="651" t="str">
        <f>IF(OR(M$122="",I168=""),"",'I. Stream &amp; Compound Data'!K223/$J168*(1-M$127)*(1-M$123)*$K229)</f>
        <v/>
      </c>
      <c r="N229" s="652" t="str">
        <f>IF(OR(N$122="",I168=""),"",'I. Stream &amp; Compound Data'!N223/$J168*(1-N$127)*(1-N$123)*$K229)</f>
        <v/>
      </c>
      <c r="O229" s="651" t="str">
        <f>IF(OR(O$122="",I168=""),"",'I. Stream &amp; Compound Data'!Q223/$J168*(1-O$127)*(1-O$123)*$K229)</f>
        <v/>
      </c>
      <c r="P229" s="651" t="str">
        <f>IF(OR(P$122="",I168=""),"",'I. Stream &amp; Compound Data'!T223/$J168*(1-P$127)*(1-P$123)*$K229)</f>
        <v/>
      </c>
      <c r="Q229" s="650" t="str">
        <f>IF(OR(Q$122="",I168=""),"",'I. Stream &amp; Compound Data'!W223/$J168*(1-Q$127)*(1-Q$123)*$K229)</f>
        <v/>
      </c>
      <c r="R229" s="649" t="str">
        <f>IF(OR(R$122="",I168=""),"",'I. Stream &amp; Compound Data'!Z223/$J168*(1-R$127)*(1-R$123)*$K229)</f>
        <v/>
      </c>
      <c r="S229" s="649" t="str">
        <f>IF(OR(S$122="",I168=""),"",'I. Stream &amp; Compound Data'!AC223/$J168*(1-S$127)*(1-S$123)*$K229)</f>
        <v/>
      </c>
      <c r="T229" s="649" t="str">
        <f>IF(OR(T$122="",I168=""),"",'I. Stream &amp; Compound Data'!AF223/$J168*(1-T$127)*(1-T$123)*$K229)</f>
        <v/>
      </c>
      <c r="U229" s="648" t="str">
        <f>IF(OR(U$122="",I168=""),"",'I. Stream &amp; Compound Data'!AI223/$J168*(1-U$127)*(1-U$123)*$K229)</f>
        <v/>
      </c>
      <c r="V229" s="648" t="str">
        <f>IF(OR(V$122="",I168=""),"",'I. Stream &amp; Compound Data'!AL223/$J168*(1-V$127)*(1-V$123)*$K229)</f>
        <v/>
      </c>
      <c r="W229" s="648" t="str">
        <f>IF(OR(W$122="",I168=""),"",'I. Stream &amp; Compound Data'!AO223/$J168*(1-W$127)*(1-W$123)*$K229)</f>
        <v/>
      </c>
      <c r="X229" s="648" t="str">
        <f>IF(OR(X$122="",I168=""),"",'I. Stream &amp; Compound Data'!AR223/$J168*(1-X$127)*(1-X$123)*$K229)</f>
        <v/>
      </c>
      <c r="Y229" s="648" t="str">
        <f>IF(OR(Y$122="",I168=""),"",'I. Stream &amp; Compound Data'!AU223/$J168*(1-Y$127)*(1-Y$123)*$K229)</f>
        <v/>
      </c>
      <c r="Z229" s="648" t="str">
        <f>IF(OR(Z$122="",I168=""),"",'I. Stream &amp; Compound Data'!AX223/$J168*(1-Z$127)*(1-Z$123)*$K229)</f>
        <v/>
      </c>
      <c r="AA229" s="648" t="str">
        <f>IF(OR(AA$122="",I168=""),"",'I. Stream &amp; Compound Data'!BA223/$J168*(1-AA$127)*(1-AA$123)*$K229)</f>
        <v/>
      </c>
      <c r="AB229" s="648" t="str">
        <f>IF(OR(AB$122="",I168=""),"",'I. Stream &amp; Compound Data'!BD223/$J168*(1-AB$127)*(1-AB$123)*$K229)</f>
        <v/>
      </c>
      <c r="AC229" s="648" t="str">
        <f>IF(OR(AC$122="",I168=""),"",'I. Stream &amp; Compound Data'!BG223/$J168*(1-AC$127)*(1-AC$123)*$K229)</f>
        <v/>
      </c>
      <c r="AD229" s="648" t="str">
        <f>IF(OR(AD$122="",I168=""),"",'I. Stream &amp; Compound Data'!BJ223/$J168*(1-AD$127)*(1-AD$123)*$K229)</f>
        <v/>
      </c>
      <c r="AE229" s="648" t="str">
        <f>IF(OR(AE$122="",I168=""),"",'I. Stream &amp; Compound Data'!BM223/$J168*(1-AE$127)*(1-AE$123)*$K229)</f>
        <v/>
      </c>
      <c r="AF229" s="648" t="str">
        <f>IF(OR(AF$122="",I168=""),"",'I. Stream &amp; Compound Data'!BP223/$J168*(1-AF$127)*(1-AF$123)*$K229)</f>
        <v/>
      </c>
      <c r="AG229" s="648" t="str">
        <f>IF(OR(AG$122="",I168=""),"",'I. Stream &amp; Compound Data'!BS223/$J168*(1-AG$127)*(1-AG$123)*$K229)</f>
        <v/>
      </c>
      <c r="AH229" s="648" t="str">
        <f>IF(OR(AH$122="",I168=""),"",'I. Stream &amp; Compound Data'!BV223/$J168*(1-AH$127)*(1-AH$123)*$K229)</f>
        <v/>
      </c>
      <c r="AI229" s="648" t="str">
        <f>IF(OR(AI$122="",I168=""),"",'I. Stream &amp; Compound Data'!BY223/$J168*(1-AI$127)*(1-AI$123)*$K229)</f>
        <v/>
      </c>
      <c r="AJ229" s="648" t="str">
        <f>IF(OR(AJ$122="",I168=""),"",'I. Stream &amp; Compound Data'!CB223/$J168*(1-AJ$127)*(1-AJ$123)*$K229)</f>
        <v/>
      </c>
      <c r="AK229" s="648" t="str">
        <f>IF(OR(AK$122="",I168=""),"",'I. Stream &amp; Compound Data'!CE223/$J168*(1-AK$127)*(1-AK$123)*$K229)</f>
        <v/>
      </c>
      <c r="AL229" s="648" t="str">
        <f>IF(OR(AL$122="",I168=""),"",'I. Stream &amp; Compound Data'!CH223/$J168*(1-AL$127)*(1-AL$123)*$K229)</f>
        <v/>
      </c>
      <c r="AM229" s="648" t="str">
        <f>IF(OR(AM$122="",I168=""),"",'I. Stream &amp; Compound Data'!CK223/$J168*(1-AM$127)*(1-AM$123)*$K229)</f>
        <v/>
      </c>
      <c r="AN229" s="648" t="str">
        <f>IF(OR(AN$122="",I168=""),"",'I. Stream &amp; Compound Data'!CN223/$J168*(1-AN$127)*(1-AN$123)*$K229)</f>
        <v/>
      </c>
      <c r="AO229" s="648" t="str">
        <f>IF(OR(AO$122="",I168=""),"",'I. Stream &amp; Compound Data'!CQ223/$J168*(1-AO$127)*(1-AO$123)*$K229)</f>
        <v/>
      </c>
      <c r="AP229" s="648" t="str">
        <f>IF(OR(AP$122="",I168=""),"",'I. Stream &amp; Compound Data'!CT223/$J168*(1-AP$127)*(1-AP$123)*$K229)</f>
        <v/>
      </c>
      <c r="AQ229" s="648" t="str">
        <f>IF(OR(AQ$122="",I168=""),"",'I. Stream &amp; Compound Data'!CW223/$J168*(1-AQ$127)*(1-AQ$123)*$K229)</f>
        <v/>
      </c>
      <c r="AR229" s="648" t="str">
        <f>IF(OR(AR$122="",I168=""),"",'I. Stream &amp; Compound Data'!CZ223/$J168*(1-AR$127)*(1-AR$123)*$K229)</f>
        <v/>
      </c>
      <c r="AS229" s="648" t="str">
        <f>IF(OR(AS$122="",I168=""),"",'I. Stream &amp; Compound Data'!DC223/$J168*(1-AS$127)*(1-AS$123)*$K229)</f>
        <v/>
      </c>
      <c r="AT229" s="648" t="str">
        <f>IF(OR(AT$122="",I168=""),"",'I. Stream &amp; Compound Data'!DF223/$J168*(1-AT$127)*(1-AT$123)*$K229)</f>
        <v/>
      </c>
      <c r="AU229" s="648" t="str">
        <f>IF(OR(AU$122="",I168=""),"",'I. Stream &amp; Compound Data'!DI223/$J168*(1-AU$127)*(1-AU$123)*$K229)</f>
        <v/>
      </c>
      <c r="AV229" s="648" t="str">
        <f>IF(OR(AV$122="",I168=""),"",'I. Stream &amp; Compound Data'!DL223/$J168*(1-AV$127)*(1-AV$123)*$K229)</f>
        <v/>
      </c>
      <c r="AW229" s="648" t="str">
        <f>IF(OR(AW$122="",I168=""),"",'I. Stream &amp; Compound Data'!DO223/$J168*(1-AW$127)*(1-AW$123)*$K229)</f>
        <v/>
      </c>
      <c r="AX229" s="648" t="str">
        <f>IF(OR(AX$122="",I168=""),"",'I. Stream &amp; Compound Data'!DR223/$J168*(1-AX$127)*(1-AX$123)*$K229)</f>
        <v/>
      </c>
      <c r="AY229" s="647" t="str">
        <f>IF(OR(AY$122="",I168=""),"",'I. Stream &amp; Compound Data'!DU223/$J168*(1-AY$127)*(1-AY$123)*$K229)</f>
        <v/>
      </c>
      <c r="AZ229" s="336"/>
      <c r="BA229" s="632"/>
      <c r="BB229" s="632"/>
      <c r="BC229" s="632"/>
      <c r="BD229" s="632"/>
      <c r="BE229" s="632"/>
      <c r="BF229" s="632"/>
      <c r="BG229" s="632"/>
      <c r="BH229" s="632"/>
      <c r="BI229" s="632"/>
      <c r="BJ229" s="632"/>
      <c r="BK229" s="632"/>
      <c r="BL229" s="632"/>
      <c r="BM229" s="632"/>
      <c r="BN229" s="632"/>
      <c r="BO229" s="632"/>
      <c r="BP229" s="632"/>
      <c r="BQ229" s="632"/>
      <c r="BR229" s="632"/>
      <c r="BS229" s="632"/>
      <c r="BT229" s="632"/>
      <c r="BU229" s="632"/>
      <c r="BV229" s="632"/>
      <c r="BW229" s="632"/>
      <c r="BX229" s="632"/>
      <c r="BY229" s="632"/>
      <c r="BZ229" s="632"/>
      <c r="CA229" s="632"/>
      <c r="CB229" s="632"/>
      <c r="CC229" s="632"/>
      <c r="CD229" s="632"/>
      <c r="CE229" s="632"/>
      <c r="CF229" s="632"/>
      <c r="CG229" s="632"/>
      <c r="CH229" s="632"/>
      <c r="CI229" s="632"/>
      <c r="CJ229" s="632"/>
      <c r="CK229" s="632"/>
      <c r="CL229" s="632"/>
      <c r="CM229" s="632"/>
      <c r="CN229" s="631"/>
    </row>
    <row r="230" spans="2:92" ht="15.75" x14ac:dyDescent="0.2">
      <c r="B230" s="610"/>
      <c r="C230" s="336"/>
      <c r="D230" s="611"/>
      <c r="E230" s="612"/>
      <c r="F230" s="612"/>
      <c r="G230" s="612"/>
      <c r="H230" s="611"/>
      <c r="I230" s="637"/>
      <c r="J230" s="653">
        <f>'I. Stream &amp; Compound Data'!F300</f>
        <v>39</v>
      </c>
      <c r="K230" s="651" t="str">
        <f>IF('I. Stream &amp; Compound Data'!G300="","",IF('I. Stream &amp; Compound Data'!V300=1,0,1))</f>
        <v/>
      </c>
      <c r="L230" s="651" t="str">
        <f>IF(OR(L$122="",I169=""),"",'I. Stream &amp; Compound Data'!H224/$J169*(1-L$127)*(1-L$123)*$K230)</f>
        <v/>
      </c>
      <c r="M230" s="651" t="str">
        <f>IF(OR(M$122="",I169=""),"",'I. Stream &amp; Compound Data'!K224/$J169*(1-M$127)*(1-M$123)*$K230)</f>
        <v/>
      </c>
      <c r="N230" s="652" t="str">
        <f>IF(OR(N$122="",I169=""),"",'I. Stream &amp; Compound Data'!N224/$J169*(1-N$127)*(1-N$123)*$K230)</f>
        <v/>
      </c>
      <c r="O230" s="651" t="str">
        <f>IF(OR(O$122="",I169=""),"",'I. Stream &amp; Compound Data'!Q224/$J169*(1-O$127)*(1-O$123)*$K230)</f>
        <v/>
      </c>
      <c r="P230" s="651" t="str">
        <f>IF(OR(P$122="",I169=""),"",'I. Stream &amp; Compound Data'!T224/$J169*(1-P$127)*(1-P$123)*$K230)</f>
        <v/>
      </c>
      <c r="Q230" s="650" t="str">
        <f>IF(OR(Q$122="",I169=""),"",'I. Stream &amp; Compound Data'!W224/$J169*(1-Q$127)*(1-Q$123)*$K230)</f>
        <v/>
      </c>
      <c r="R230" s="649" t="str">
        <f>IF(OR(R$122="",I169=""),"",'I. Stream &amp; Compound Data'!Z224/$J169*(1-R$127)*(1-R$123)*$K230)</f>
        <v/>
      </c>
      <c r="S230" s="649" t="str">
        <f>IF(OR(S$122="",I169=""),"",'I. Stream &amp; Compound Data'!AC224/$J169*(1-S$127)*(1-S$123)*$K230)</f>
        <v/>
      </c>
      <c r="T230" s="649" t="str">
        <f>IF(OR(T$122="",I169=""),"",'I. Stream &amp; Compound Data'!AF224/$J169*(1-T$127)*(1-T$123)*$K230)</f>
        <v/>
      </c>
      <c r="U230" s="648" t="str">
        <f>IF(OR(U$122="",I169=""),"",'I. Stream &amp; Compound Data'!AI224/$J169*(1-U$127)*(1-U$123)*$K230)</f>
        <v/>
      </c>
      <c r="V230" s="648" t="str">
        <f>IF(OR(V$122="",I169=""),"",'I. Stream &amp; Compound Data'!AL224/$J169*(1-V$127)*(1-V$123)*$K230)</f>
        <v/>
      </c>
      <c r="W230" s="648" t="str">
        <f>IF(OR(W$122="",I169=""),"",'I. Stream &amp; Compound Data'!AO224/$J169*(1-W$127)*(1-W$123)*$K230)</f>
        <v/>
      </c>
      <c r="X230" s="648" t="str">
        <f>IF(OR(X$122="",I169=""),"",'I. Stream &amp; Compound Data'!AR224/$J169*(1-X$127)*(1-X$123)*$K230)</f>
        <v/>
      </c>
      <c r="Y230" s="648" t="str">
        <f>IF(OR(Y$122="",I169=""),"",'I. Stream &amp; Compound Data'!AU224/$J169*(1-Y$127)*(1-Y$123)*$K230)</f>
        <v/>
      </c>
      <c r="Z230" s="648" t="str">
        <f>IF(OR(Z$122="",I169=""),"",'I. Stream &amp; Compound Data'!AX224/$J169*(1-Z$127)*(1-Z$123)*$K230)</f>
        <v/>
      </c>
      <c r="AA230" s="648" t="str">
        <f>IF(OR(AA$122="",I169=""),"",'I. Stream &amp; Compound Data'!BA224/$J169*(1-AA$127)*(1-AA$123)*$K230)</f>
        <v/>
      </c>
      <c r="AB230" s="648" t="str">
        <f>IF(OR(AB$122="",I169=""),"",'I. Stream &amp; Compound Data'!BD224/$J169*(1-AB$127)*(1-AB$123)*$K230)</f>
        <v/>
      </c>
      <c r="AC230" s="648" t="str">
        <f>IF(OR(AC$122="",I169=""),"",'I. Stream &amp; Compound Data'!BG224/$J169*(1-AC$127)*(1-AC$123)*$K230)</f>
        <v/>
      </c>
      <c r="AD230" s="648" t="str">
        <f>IF(OR(AD$122="",I169=""),"",'I. Stream &amp; Compound Data'!BJ224/$J169*(1-AD$127)*(1-AD$123)*$K230)</f>
        <v/>
      </c>
      <c r="AE230" s="648" t="str">
        <f>IF(OR(AE$122="",I169=""),"",'I. Stream &amp; Compound Data'!BM224/$J169*(1-AE$127)*(1-AE$123)*$K230)</f>
        <v/>
      </c>
      <c r="AF230" s="648" t="str">
        <f>IF(OR(AF$122="",I169=""),"",'I. Stream &amp; Compound Data'!BP224/$J169*(1-AF$127)*(1-AF$123)*$K230)</f>
        <v/>
      </c>
      <c r="AG230" s="648" t="str">
        <f>IF(OR(AG$122="",I169=""),"",'I. Stream &amp; Compound Data'!BS224/$J169*(1-AG$127)*(1-AG$123)*$K230)</f>
        <v/>
      </c>
      <c r="AH230" s="648" t="str">
        <f>IF(OR(AH$122="",I169=""),"",'I. Stream &amp; Compound Data'!BV224/$J169*(1-AH$127)*(1-AH$123)*$K230)</f>
        <v/>
      </c>
      <c r="AI230" s="648" t="str">
        <f>IF(OR(AI$122="",I169=""),"",'I. Stream &amp; Compound Data'!BY224/$J169*(1-AI$127)*(1-AI$123)*$K230)</f>
        <v/>
      </c>
      <c r="AJ230" s="648" t="str">
        <f>IF(OR(AJ$122="",I169=""),"",'I. Stream &amp; Compound Data'!CB224/$J169*(1-AJ$127)*(1-AJ$123)*$K230)</f>
        <v/>
      </c>
      <c r="AK230" s="648" t="str">
        <f>IF(OR(AK$122="",I169=""),"",'I. Stream &amp; Compound Data'!CE224/$J169*(1-AK$127)*(1-AK$123)*$K230)</f>
        <v/>
      </c>
      <c r="AL230" s="648" t="str">
        <f>IF(OR(AL$122="",I169=""),"",'I. Stream &amp; Compound Data'!CH224/$J169*(1-AL$127)*(1-AL$123)*$K230)</f>
        <v/>
      </c>
      <c r="AM230" s="648" t="str">
        <f>IF(OR(AM$122="",I169=""),"",'I. Stream &amp; Compound Data'!CK224/$J169*(1-AM$127)*(1-AM$123)*$K230)</f>
        <v/>
      </c>
      <c r="AN230" s="648" t="str">
        <f>IF(OR(AN$122="",I169=""),"",'I. Stream &amp; Compound Data'!CN224/$J169*(1-AN$127)*(1-AN$123)*$K230)</f>
        <v/>
      </c>
      <c r="AO230" s="648" t="str">
        <f>IF(OR(AO$122="",I169=""),"",'I. Stream &amp; Compound Data'!CQ224/$J169*(1-AO$127)*(1-AO$123)*$K230)</f>
        <v/>
      </c>
      <c r="AP230" s="648" t="str">
        <f>IF(OR(AP$122="",I169=""),"",'I. Stream &amp; Compound Data'!CT224/$J169*(1-AP$127)*(1-AP$123)*$K230)</f>
        <v/>
      </c>
      <c r="AQ230" s="648" t="str">
        <f>IF(OR(AQ$122="",I169=""),"",'I. Stream &amp; Compound Data'!CW224/$J169*(1-AQ$127)*(1-AQ$123)*$K230)</f>
        <v/>
      </c>
      <c r="AR230" s="648" t="str">
        <f>IF(OR(AR$122="",I169=""),"",'I. Stream &amp; Compound Data'!CZ224/$J169*(1-AR$127)*(1-AR$123)*$K230)</f>
        <v/>
      </c>
      <c r="AS230" s="648" t="str">
        <f>IF(OR(AS$122="",I169=""),"",'I. Stream &amp; Compound Data'!DC224/$J169*(1-AS$127)*(1-AS$123)*$K230)</f>
        <v/>
      </c>
      <c r="AT230" s="648" t="str">
        <f>IF(OR(AT$122="",I169=""),"",'I. Stream &amp; Compound Data'!DF224/$J169*(1-AT$127)*(1-AT$123)*$K230)</f>
        <v/>
      </c>
      <c r="AU230" s="648" t="str">
        <f>IF(OR(AU$122="",I169=""),"",'I. Stream &amp; Compound Data'!DI224/$J169*(1-AU$127)*(1-AU$123)*$K230)</f>
        <v/>
      </c>
      <c r="AV230" s="648" t="str">
        <f>IF(OR(AV$122="",I169=""),"",'I. Stream &amp; Compound Data'!DL224/$J169*(1-AV$127)*(1-AV$123)*$K230)</f>
        <v/>
      </c>
      <c r="AW230" s="648" t="str">
        <f>IF(OR(AW$122="",I169=""),"",'I. Stream &amp; Compound Data'!DO224/$J169*(1-AW$127)*(1-AW$123)*$K230)</f>
        <v/>
      </c>
      <c r="AX230" s="648" t="str">
        <f>IF(OR(AX$122="",I169=""),"",'I. Stream &amp; Compound Data'!DR224/$J169*(1-AX$127)*(1-AX$123)*$K230)</f>
        <v/>
      </c>
      <c r="AY230" s="647" t="str">
        <f>IF(OR(AY$122="",I169=""),"",'I. Stream &amp; Compound Data'!DU224/$J169*(1-AY$127)*(1-AY$123)*$K230)</f>
        <v/>
      </c>
      <c r="AZ230" s="336"/>
      <c r="BA230" s="632"/>
      <c r="BB230" s="632"/>
      <c r="BC230" s="632"/>
      <c r="BD230" s="632"/>
      <c r="BE230" s="632"/>
      <c r="BF230" s="632"/>
      <c r="BG230" s="632"/>
      <c r="BH230" s="632"/>
      <c r="BI230" s="632"/>
      <c r="BJ230" s="632"/>
      <c r="BK230" s="632"/>
      <c r="BL230" s="632"/>
      <c r="BM230" s="632"/>
      <c r="BN230" s="632"/>
      <c r="BO230" s="632"/>
      <c r="BP230" s="632"/>
      <c r="BQ230" s="632"/>
      <c r="BR230" s="632"/>
      <c r="BS230" s="632"/>
      <c r="BT230" s="632"/>
      <c r="BU230" s="632"/>
      <c r="BV230" s="632"/>
      <c r="BW230" s="632"/>
      <c r="BX230" s="632"/>
      <c r="BY230" s="632"/>
      <c r="BZ230" s="632"/>
      <c r="CA230" s="632"/>
      <c r="CB230" s="632"/>
      <c r="CC230" s="632"/>
      <c r="CD230" s="632"/>
      <c r="CE230" s="632"/>
      <c r="CF230" s="632"/>
      <c r="CG230" s="632"/>
      <c r="CH230" s="632"/>
      <c r="CI230" s="632"/>
      <c r="CJ230" s="632"/>
      <c r="CK230" s="632"/>
      <c r="CL230" s="632"/>
      <c r="CM230" s="632"/>
      <c r="CN230" s="631"/>
    </row>
    <row r="231" spans="2:92" ht="15.75" x14ac:dyDescent="0.2">
      <c r="B231" s="610"/>
      <c r="C231" s="336"/>
      <c r="D231" s="611"/>
      <c r="E231" s="612"/>
      <c r="F231" s="612"/>
      <c r="G231" s="612"/>
      <c r="H231" s="611"/>
      <c r="I231" s="637"/>
      <c r="J231" s="653">
        <f>'I. Stream &amp; Compound Data'!F301</f>
        <v>40</v>
      </c>
      <c r="K231" s="651" t="str">
        <f>IF('I. Stream &amp; Compound Data'!G301="","",IF('I. Stream &amp; Compound Data'!V301=1,0,1))</f>
        <v/>
      </c>
      <c r="L231" s="651" t="str">
        <f>IF(OR(L$122="",I170=""),"",'I. Stream &amp; Compound Data'!H225/$J170*(1-L$127)*(1-L$123)*$K231)</f>
        <v/>
      </c>
      <c r="M231" s="651" t="str">
        <f>IF(OR(M$122="",I170=""),"",'I. Stream &amp; Compound Data'!K225/$J170*(1-M$127)*(1-M$123)*$K231)</f>
        <v/>
      </c>
      <c r="N231" s="652" t="str">
        <f>IF(OR(N$122="",I170=""),"",'I. Stream &amp; Compound Data'!N225/$J170*(1-N$127)*(1-N$123)*$K231)</f>
        <v/>
      </c>
      <c r="O231" s="651" t="str">
        <f>IF(OR(O$122="",I170=""),"",'I. Stream &amp; Compound Data'!Q225/$J170*(1-O$127)*(1-O$123)*$K231)</f>
        <v/>
      </c>
      <c r="P231" s="651" t="str">
        <f>IF(OR(P$122="",I170=""),"",'I. Stream &amp; Compound Data'!T225/$J170*(1-P$127)*(1-P$123)*$K231)</f>
        <v/>
      </c>
      <c r="Q231" s="650" t="str">
        <f>IF(OR(Q$122="",I170=""),"",'I. Stream &amp; Compound Data'!W225/$J170*(1-Q$127)*(1-Q$123)*$K231)</f>
        <v/>
      </c>
      <c r="R231" s="649" t="str">
        <f>IF(OR(R$122="",I170=""),"",'I. Stream &amp; Compound Data'!Z225/$J170*(1-R$127)*(1-R$123)*$K231)</f>
        <v/>
      </c>
      <c r="S231" s="649" t="str">
        <f>IF(OR(S$122="",I170=""),"",'I. Stream &amp; Compound Data'!AC225/$J170*(1-S$127)*(1-S$123)*$K231)</f>
        <v/>
      </c>
      <c r="T231" s="649" t="str">
        <f>IF(OR(T$122="",I170=""),"",'I. Stream &amp; Compound Data'!AF225/$J170*(1-T$127)*(1-T$123)*$K231)</f>
        <v/>
      </c>
      <c r="U231" s="648" t="str">
        <f>IF(OR(U$122="",I170=""),"",'I. Stream &amp; Compound Data'!AI225/$J170*(1-U$127)*(1-U$123)*$K231)</f>
        <v/>
      </c>
      <c r="V231" s="648" t="str">
        <f>IF(OR(V$122="",I170=""),"",'I. Stream &amp; Compound Data'!AL225/$J170*(1-V$127)*(1-V$123)*$K231)</f>
        <v/>
      </c>
      <c r="W231" s="648" t="str">
        <f>IF(OR(W$122="",I170=""),"",'I. Stream &amp; Compound Data'!AO225/$J170*(1-W$127)*(1-W$123)*$K231)</f>
        <v/>
      </c>
      <c r="X231" s="648" t="str">
        <f>IF(OR(X$122="",I170=""),"",'I. Stream &amp; Compound Data'!AR225/$J170*(1-X$127)*(1-X$123)*$K231)</f>
        <v/>
      </c>
      <c r="Y231" s="648" t="str">
        <f>IF(OR(Y$122="",I170=""),"",'I. Stream &amp; Compound Data'!AU225/$J170*(1-Y$127)*(1-Y$123)*$K231)</f>
        <v/>
      </c>
      <c r="Z231" s="648" t="str">
        <f>IF(OR(Z$122="",I170=""),"",'I. Stream &amp; Compound Data'!AX225/$J170*(1-Z$127)*(1-Z$123)*$K231)</f>
        <v/>
      </c>
      <c r="AA231" s="648" t="str">
        <f>IF(OR(AA$122="",I170=""),"",'I. Stream &amp; Compound Data'!BA225/$J170*(1-AA$127)*(1-AA$123)*$K231)</f>
        <v/>
      </c>
      <c r="AB231" s="648" t="str">
        <f>IF(OR(AB$122="",I170=""),"",'I. Stream &amp; Compound Data'!BD225/$J170*(1-AB$127)*(1-AB$123)*$K231)</f>
        <v/>
      </c>
      <c r="AC231" s="648" t="str">
        <f>IF(OR(AC$122="",I170=""),"",'I. Stream &amp; Compound Data'!BG225/$J170*(1-AC$127)*(1-AC$123)*$K231)</f>
        <v/>
      </c>
      <c r="AD231" s="648" t="str">
        <f>IF(OR(AD$122="",I170=""),"",'I. Stream &amp; Compound Data'!BJ225/$J170*(1-AD$127)*(1-AD$123)*$K231)</f>
        <v/>
      </c>
      <c r="AE231" s="648" t="str">
        <f>IF(OR(AE$122="",I170=""),"",'I. Stream &amp; Compound Data'!BM225/$J170*(1-AE$127)*(1-AE$123)*$K231)</f>
        <v/>
      </c>
      <c r="AF231" s="648" t="str">
        <f>IF(OR(AF$122="",I170=""),"",'I. Stream &amp; Compound Data'!BP225/$J170*(1-AF$127)*(1-AF$123)*$K231)</f>
        <v/>
      </c>
      <c r="AG231" s="648" t="str">
        <f>IF(OR(AG$122="",I170=""),"",'I. Stream &amp; Compound Data'!BS225/$J170*(1-AG$127)*(1-AG$123)*$K231)</f>
        <v/>
      </c>
      <c r="AH231" s="648" t="str">
        <f>IF(OR(AH$122="",I170=""),"",'I. Stream &amp; Compound Data'!BV225/$J170*(1-AH$127)*(1-AH$123)*$K231)</f>
        <v/>
      </c>
      <c r="AI231" s="648" t="str">
        <f>IF(OR(AI$122="",I170=""),"",'I. Stream &amp; Compound Data'!BY225/$J170*(1-AI$127)*(1-AI$123)*$K231)</f>
        <v/>
      </c>
      <c r="AJ231" s="648" t="str">
        <f>IF(OR(AJ$122="",I170=""),"",'I. Stream &amp; Compound Data'!CB225/$J170*(1-AJ$127)*(1-AJ$123)*$K231)</f>
        <v/>
      </c>
      <c r="AK231" s="648" t="str">
        <f>IF(OR(AK$122="",I170=""),"",'I. Stream &amp; Compound Data'!CE225/$J170*(1-AK$127)*(1-AK$123)*$K231)</f>
        <v/>
      </c>
      <c r="AL231" s="648" t="str">
        <f>IF(OR(AL$122="",I170=""),"",'I. Stream &amp; Compound Data'!CH225/$J170*(1-AL$127)*(1-AL$123)*$K231)</f>
        <v/>
      </c>
      <c r="AM231" s="648" t="str">
        <f>IF(OR(AM$122="",I170=""),"",'I. Stream &amp; Compound Data'!CK225/$J170*(1-AM$127)*(1-AM$123)*$K231)</f>
        <v/>
      </c>
      <c r="AN231" s="648" t="str">
        <f>IF(OR(AN$122="",I170=""),"",'I. Stream &amp; Compound Data'!CN225/$J170*(1-AN$127)*(1-AN$123)*$K231)</f>
        <v/>
      </c>
      <c r="AO231" s="648" t="str">
        <f>IF(OR(AO$122="",I170=""),"",'I. Stream &amp; Compound Data'!CQ225/$J170*(1-AO$127)*(1-AO$123)*$K231)</f>
        <v/>
      </c>
      <c r="AP231" s="648" t="str">
        <f>IF(OR(AP$122="",I170=""),"",'I. Stream &amp; Compound Data'!CT225/$J170*(1-AP$127)*(1-AP$123)*$K231)</f>
        <v/>
      </c>
      <c r="AQ231" s="648" t="str">
        <f>IF(OR(AQ$122="",I170=""),"",'I. Stream &amp; Compound Data'!CW225/$J170*(1-AQ$127)*(1-AQ$123)*$K231)</f>
        <v/>
      </c>
      <c r="AR231" s="648" t="str">
        <f>IF(OR(AR$122="",I170=""),"",'I. Stream &amp; Compound Data'!CZ225/$J170*(1-AR$127)*(1-AR$123)*$K231)</f>
        <v/>
      </c>
      <c r="AS231" s="648" t="str">
        <f>IF(OR(AS$122="",I170=""),"",'I. Stream &amp; Compound Data'!DC225/$J170*(1-AS$127)*(1-AS$123)*$K231)</f>
        <v/>
      </c>
      <c r="AT231" s="648" t="str">
        <f>IF(OR(AT$122="",I170=""),"",'I. Stream &amp; Compound Data'!DF225/$J170*(1-AT$127)*(1-AT$123)*$K231)</f>
        <v/>
      </c>
      <c r="AU231" s="648" t="str">
        <f>IF(OR(AU$122="",I170=""),"",'I. Stream &amp; Compound Data'!DI225/$J170*(1-AU$127)*(1-AU$123)*$K231)</f>
        <v/>
      </c>
      <c r="AV231" s="648" t="str">
        <f>IF(OR(AV$122="",I170=""),"",'I. Stream &amp; Compound Data'!DL225/$J170*(1-AV$127)*(1-AV$123)*$K231)</f>
        <v/>
      </c>
      <c r="AW231" s="648" t="str">
        <f>IF(OR(AW$122="",I170=""),"",'I. Stream &amp; Compound Data'!DO225/$J170*(1-AW$127)*(1-AW$123)*$K231)</f>
        <v/>
      </c>
      <c r="AX231" s="648" t="str">
        <f>IF(OR(AX$122="",I170=""),"",'I. Stream &amp; Compound Data'!DR225/$J170*(1-AX$127)*(1-AX$123)*$K231)</f>
        <v/>
      </c>
      <c r="AY231" s="647" t="str">
        <f>IF(OR(AY$122="",I170=""),"",'I. Stream &amp; Compound Data'!DU225/$J170*(1-AY$127)*(1-AY$123)*$K231)</f>
        <v/>
      </c>
      <c r="AZ231" s="336"/>
      <c r="BA231" s="632"/>
      <c r="BB231" s="632"/>
      <c r="BC231" s="632"/>
      <c r="BD231" s="632"/>
      <c r="BE231" s="632"/>
      <c r="BF231" s="632"/>
      <c r="BG231" s="632"/>
      <c r="BH231" s="632"/>
      <c r="BI231" s="632"/>
      <c r="BJ231" s="632"/>
      <c r="BK231" s="632"/>
      <c r="BL231" s="632"/>
      <c r="BM231" s="632"/>
      <c r="BN231" s="632"/>
      <c r="BO231" s="632"/>
      <c r="BP231" s="632"/>
      <c r="BQ231" s="632"/>
      <c r="BR231" s="632"/>
      <c r="BS231" s="632"/>
      <c r="BT231" s="632"/>
      <c r="BU231" s="632"/>
      <c r="BV231" s="632"/>
      <c r="BW231" s="632"/>
      <c r="BX231" s="632"/>
      <c r="BY231" s="632"/>
      <c r="BZ231" s="632"/>
      <c r="CA231" s="632"/>
      <c r="CB231" s="632"/>
      <c r="CC231" s="632"/>
      <c r="CD231" s="632"/>
      <c r="CE231" s="632"/>
      <c r="CF231" s="632"/>
      <c r="CG231" s="632"/>
      <c r="CH231" s="632"/>
      <c r="CI231" s="632"/>
      <c r="CJ231" s="632"/>
      <c r="CK231" s="632"/>
      <c r="CL231" s="632"/>
      <c r="CM231" s="632"/>
      <c r="CN231" s="631"/>
    </row>
    <row r="232" spans="2:92" ht="15.75" x14ac:dyDescent="0.2">
      <c r="B232" s="610"/>
      <c r="C232" s="336"/>
      <c r="D232" s="611"/>
      <c r="E232" s="612"/>
      <c r="F232" s="612"/>
      <c r="G232" s="612"/>
      <c r="H232" s="611"/>
      <c r="I232" s="637"/>
      <c r="J232" s="653">
        <f>'I. Stream &amp; Compound Data'!F302</f>
        <v>41</v>
      </c>
      <c r="K232" s="651" t="str">
        <f>IF('I. Stream &amp; Compound Data'!G302="","",IF('I. Stream &amp; Compound Data'!V302=1,0,1))</f>
        <v/>
      </c>
      <c r="L232" s="651" t="str">
        <f>IF(OR(L$122="",I171=""),"",'I. Stream &amp; Compound Data'!H226/$J171*(1-L$127)*(1-L$123)*$K232)</f>
        <v/>
      </c>
      <c r="M232" s="651" t="str">
        <f>IF(OR(M$122="",I171=""),"",'I. Stream &amp; Compound Data'!K226/$J171*(1-M$127)*(1-M$123)*$K232)</f>
        <v/>
      </c>
      <c r="N232" s="652" t="str">
        <f>IF(OR(N$122="",I171=""),"",'I. Stream &amp; Compound Data'!N226/$J171*(1-N$127)*(1-N$123)*$K232)</f>
        <v/>
      </c>
      <c r="O232" s="651" t="str">
        <f>IF(OR(O$122="",I171=""),"",'I. Stream &amp; Compound Data'!Q226/$J171*(1-O$127)*(1-O$123)*$K232)</f>
        <v/>
      </c>
      <c r="P232" s="651" t="str">
        <f>IF(OR(P$122="",I171=""),"",'I. Stream &amp; Compound Data'!T226/$J171*(1-P$127)*(1-P$123)*$K232)</f>
        <v/>
      </c>
      <c r="Q232" s="650" t="str">
        <f>IF(OR(Q$122="",I171=""),"",'I. Stream &amp; Compound Data'!W226/$J171*(1-Q$127)*(1-Q$123)*$K232)</f>
        <v/>
      </c>
      <c r="R232" s="649" t="str">
        <f>IF(OR(R$122="",I171=""),"",'I. Stream &amp; Compound Data'!Z226/$J171*(1-R$127)*(1-R$123)*$K232)</f>
        <v/>
      </c>
      <c r="S232" s="649" t="str">
        <f>IF(OR(S$122="",I171=""),"",'I. Stream &amp; Compound Data'!AC226/$J171*(1-S$127)*(1-S$123)*$K232)</f>
        <v/>
      </c>
      <c r="T232" s="649" t="str">
        <f>IF(OR(T$122="",I171=""),"",'I. Stream &amp; Compound Data'!AF226/$J171*(1-T$127)*(1-T$123)*$K232)</f>
        <v/>
      </c>
      <c r="U232" s="648" t="str">
        <f>IF(OR(U$122="",I171=""),"",'I. Stream &amp; Compound Data'!AI226/$J171*(1-U$127)*(1-U$123)*$K232)</f>
        <v/>
      </c>
      <c r="V232" s="648" t="str">
        <f>IF(OR(V$122="",I171=""),"",'I. Stream &amp; Compound Data'!AL226/$J171*(1-V$127)*(1-V$123)*$K232)</f>
        <v/>
      </c>
      <c r="W232" s="648" t="str">
        <f>IF(OR(W$122="",I171=""),"",'I. Stream &amp; Compound Data'!AO226/$J171*(1-W$127)*(1-W$123)*$K232)</f>
        <v/>
      </c>
      <c r="X232" s="648" t="str">
        <f>IF(OR(X$122="",I171=""),"",'I. Stream &amp; Compound Data'!AR226/$J171*(1-X$127)*(1-X$123)*$K232)</f>
        <v/>
      </c>
      <c r="Y232" s="648" t="str">
        <f>IF(OR(Y$122="",I171=""),"",'I. Stream &amp; Compound Data'!AU226/$J171*(1-Y$127)*(1-Y$123)*$K232)</f>
        <v/>
      </c>
      <c r="Z232" s="648" t="str">
        <f>IF(OR(Z$122="",I171=""),"",'I. Stream &amp; Compound Data'!AX226/$J171*(1-Z$127)*(1-Z$123)*$K232)</f>
        <v/>
      </c>
      <c r="AA232" s="648" t="str">
        <f>IF(OR(AA$122="",I171=""),"",'I. Stream &amp; Compound Data'!BA226/$J171*(1-AA$127)*(1-AA$123)*$K232)</f>
        <v/>
      </c>
      <c r="AB232" s="648" t="str">
        <f>IF(OR(AB$122="",I171=""),"",'I. Stream &amp; Compound Data'!BD226/$J171*(1-AB$127)*(1-AB$123)*$K232)</f>
        <v/>
      </c>
      <c r="AC232" s="648" t="str">
        <f>IF(OR(AC$122="",I171=""),"",'I. Stream &amp; Compound Data'!BG226/$J171*(1-AC$127)*(1-AC$123)*$K232)</f>
        <v/>
      </c>
      <c r="AD232" s="648" t="str">
        <f>IF(OR(AD$122="",I171=""),"",'I. Stream &amp; Compound Data'!BJ226/$J171*(1-AD$127)*(1-AD$123)*$K232)</f>
        <v/>
      </c>
      <c r="AE232" s="648" t="str">
        <f>IF(OR(AE$122="",I171=""),"",'I. Stream &amp; Compound Data'!BM226/$J171*(1-AE$127)*(1-AE$123)*$K232)</f>
        <v/>
      </c>
      <c r="AF232" s="648" t="str">
        <f>IF(OR(AF$122="",I171=""),"",'I. Stream &amp; Compound Data'!BP226/$J171*(1-AF$127)*(1-AF$123)*$K232)</f>
        <v/>
      </c>
      <c r="AG232" s="648" t="str">
        <f>IF(OR(AG$122="",I171=""),"",'I. Stream &amp; Compound Data'!BS226/$J171*(1-AG$127)*(1-AG$123)*$K232)</f>
        <v/>
      </c>
      <c r="AH232" s="648" t="str">
        <f>IF(OR(AH$122="",I171=""),"",'I. Stream &amp; Compound Data'!BV226/$J171*(1-AH$127)*(1-AH$123)*$K232)</f>
        <v/>
      </c>
      <c r="AI232" s="648" t="str">
        <f>IF(OR(AI$122="",I171=""),"",'I. Stream &amp; Compound Data'!BY226/$J171*(1-AI$127)*(1-AI$123)*$K232)</f>
        <v/>
      </c>
      <c r="AJ232" s="648" t="str">
        <f>IF(OR(AJ$122="",I171=""),"",'I. Stream &amp; Compound Data'!CB226/$J171*(1-AJ$127)*(1-AJ$123)*$K232)</f>
        <v/>
      </c>
      <c r="AK232" s="648" t="str">
        <f>IF(OR(AK$122="",I171=""),"",'I. Stream &amp; Compound Data'!CE226/$J171*(1-AK$127)*(1-AK$123)*$K232)</f>
        <v/>
      </c>
      <c r="AL232" s="648" t="str">
        <f>IF(OR(AL$122="",I171=""),"",'I. Stream &amp; Compound Data'!CH226/$J171*(1-AL$127)*(1-AL$123)*$K232)</f>
        <v/>
      </c>
      <c r="AM232" s="648" t="str">
        <f>IF(OR(AM$122="",I171=""),"",'I. Stream &amp; Compound Data'!CK226/$J171*(1-AM$127)*(1-AM$123)*$K232)</f>
        <v/>
      </c>
      <c r="AN232" s="648" t="str">
        <f>IF(OR(AN$122="",I171=""),"",'I. Stream &amp; Compound Data'!CN226/$J171*(1-AN$127)*(1-AN$123)*$K232)</f>
        <v/>
      </c>
      <c r="AO232" s="648" t="str">
        <f>IF(OR(AO$122="",I171=""),"",'I. Stream &amp; Compound Data'!CQ226/$J171*(1-AO$127)*(1-AO$123)*$K232)</f>
        <v/>
      </c>
      <c r="AP232" s="648" t="str">
        <f>IF(OR(AP$122="",I171=""),"",'I. Stream &amp; Compound Data'!CT226/$J171*(1-AP$127)*(1-AP$123)*$K232)</f>
        <v/>
      </c>
      <c r="AQ232" s="648" t="str">
        <f>IF(OR(AQ$122="",I171=""),"",'I. Stream &amp; Compound Data'!CW226/$J171*(1-AQ$127)*(1-AQ$123)*$K232)</f>
        <v/>
      </c>
      <c r="AR232" s="648" t="str">
        <f>IF(OR(AR$122="",I171=""),"",'I. Stream &amp; Compound Data'!CZ226/$J171*(1-AR$127)*(1-AR$123)*$K232)</f>
        <v/>
      </c>
      <c r="AS232" s="648" t="str">
        <f>IF(OR(AS$122="",I171=""),"",'I. Stream &amp; Compound Data'!DC226/$J171*(1-AS$127)*(1-AS$123)*$K232)</f>
        <v/>
      </c>
      <c r="AT232" s="648" t="str">
        <f>IF(OR(AT$122="",I171=""),"",'I. Stream &amp; Compound Data'!DF226/$J171*(1-AT$127)*(1-AT$123)*$K232)</f>
        <v/>
      </c>
      <c r="AU232" s="648" t="str">
        <f>IF(OR(AU$122="",I171=""),"",'I. Stream &amp; Compound Data'!DI226/$J171*(1-AU$127)*(1-AU$123)*$K232)</f>
        <v/>
      </c>
      <c r="AV232" s="648" t="str">
        <f>IF(OR(AV$122="",I171=""),"",'I. Stream &amp; Compound Data'!DL226/$J171*(1-AV$127)*(1-AV$123)*$K232)</f>
        <v/>
      </c>
      <c r="AW232" s="648" t="str">
        <f>IF(OR(AW$122="",I171=""),"",'I. Stream &amp; Compound Data'!DO226/$J171*(1-AW$127)*(1-AW$123)*$K232)</f>
        <v/>
      </c>
      <c r="AX232" s="648" t="str">
        <f>IF(OR(AX$122="",I171=""),"",'I. Stream &amp; Compound Data'!DR226/$J171*(1-AX$127)*(1-AX$123)*$K232)</f>
        <v/>
      </c>
      <c r="AY232" s="647" t="str">
        <f>IF(OR(AY$122="",I171=""),"",'I. Stream &amp; Compound Data'!DU226/$J171*(1-AY$127)*(1-AY$123)*$K232)</f>
        <v/>
      </c>
      <c r="AZ232" s="336"/>
      <c r="BA232" s="632"/>
      <c r="BB232" s="632"/>
      <c r="BC232" s="632"/>
      <c r="BD232" s="632"/>
      <c r="BE232" s="632"/>
      <c r="BF232" s="632"/>
      <c r="BG232" s="632"/>
      <c r="BH232" s="632"/>
      <c r="BI232" s="632"/>
      <c r="BJ232" s="632"/>
      <c r="BK232" s="632"/>
      <c r="BL232" s="632"/>
      <c r="BM232" s="632"/>
      <c r="BN232" s="632"/>
      <c r="BO232" s="632"/>
      <c r="BP232" s="632"/>
      <c r="BQ232" s="632"/>
      <c r="BR232" s="632"/>
      <c r="BS232" s="632"/>
      <c r="BT232" s="632"/>
      <c r="BU232" s="632"/>
      <c r="BV232" s="632"/>
      <c r="BW232" s="632"/>
      <c r="BX232" s="632"/>
      <c r="BY232" s="632"/>
      <c r="BZ232" s="632"/>
      <c r="CA232" s="632"/>
      <c r="CB232" s="632"/>
      <c r="CC232" s="632"/>
      <c r="CD232" s="632"/>
      <c r="CE232" s="632"/>
      <c r="CF232" s="632"/>
      <c r="CG232" s="632"/>
      <c r="CH232" s="632"/>
      <c r="CI232" s="632"/>
      <c r="CJ232" s="632"/>
      <c r="CK232" s="632"/>
      <c r="CL232" s="632"/>
      <c r="CM232" s="632"/>
      <c r="CN232" s="631"/>
    </row>
    <row r="233" spans="2:92" ht="15.75" x14ac:dyDescent="0.2">
      <c r="B233" s="610"/>
      <c r="C233" s="336"/>
      <c r="D233" s="611"/>
      <c r="E233" s="612"/>
      <c r="F233" s="612"/>
      <c r="G233" s="612"/>
      <c r="H233" s="611"/>
      <c r="I233" s="637"/>
      <c r="J233" s="653">
        <f>'I. Stream &amp; Compound Data'!F303</f>
        <v>42</v>
      </c>
      <c r="K233" s="651" t="str">
        <f>IF('I. Stream &amp; Compound Data'!G303="","",IF('I. Stream &amp; Compound Data'!V303=1,0,1))</f>
        <v/>
      </c>
      <c r="L233" s="651" t="str">
        <f>IF(OR(L$122="",I172=""),"",'I. Stream &amp; Compound Data'!H227/$J172*(1-L$127)*(1-L$123)*$K233)</f>
        <v/>
      </c>
      <c r="M233" s="651" t="str">
        <f>IF(OR(M$122="",I172=""),"",'I. Stream &amp; Compound Data'!K227/$J172*(1-M$127)*(1-M$123)*$K233)</f>
        <v/>
      </c>
      <c r="N233" s="652" t="str">
        <f>IF(OR(N$122="",I172=""),"",'I. Stream &amp; Compound Data'!N227/$J172*(1-N$127)*(1-N$123)*$K233)</f>
        <v/>
      </c>
      <c r="O233" s="651" t="str">
        <f>IF(OR(O$122="",I172=""),"",'I. Stream &amp; Compound Data'!Q227/$J172*(1-O$127)*(1-O$123)*$K233)</f>
        <v/>
      </c>
      <c r="P233" s="651" t="str">
        <f>IF(OR(P$122="",I172=""),"",'I. Stream &amp; Compound Data'!T227/$J172*(1-P$127)*(1-P$123)*$K233)</f>
        <v/>
      </c>
      <c r="Q233" s="650" t="str">
        <f>IF(OR(Q$122="",I172=""),"",'I. Stream &amp; Compound Data'!W227/$J172*(1-Q$127)*(1-Q$123)*$K233)</f>
        <v/>
      </c>
      <c r="R233" s="649" t="str">
        <f>IF(OR(R$122="",I172=""),"",'I. Stream &amp; Compound Data'!Z227/$J172*(1-R$127)*(1-R$123)*$K233)</f>
        <v/>
      </c>
      <c r="S233" s="649" t="str">
        <f>IF(OR(S$122="",I172=""),"",'I. Stream &amp; Compound Data'!AC227/$J172*(1-S$127)*(1-S$123)*$K233)</f>
        <v/>
      </c>
      <c r="T233" s="649" t="str">
        <f>IF(OR(T$122="",I172=""),"",'I. Stream &amp; Compound Data'!AF227/$J172*(1-T$127)*(1-T$123)*$K233)</f>
        <v/>
      </c>
      <c r="U233" s="648" t="str">
        <f>IF(OR(U$122="",I172=""),"",'I. Stream &amp; Compound Data'!AI227/$J172*(1-U$127)*(1-U$123)*$K233)</f>
        <v/>
      </c>
      <c r="V233" s="648" t="str">
        <f>IF(OR(V$122="",I172=""),"",'I. Stream &amp; Compound Data'!AL227/$J172*(1-V$127)*(1-V$123)*$K233)</f>
        <v/>
      </c>
      <c r="W233" s="648" t="str">
        <f>IF(OR(W$122="",I172=""),"",'I. Stream &amp; Compound Data'!AO227/$J172*(1-W$127)*(1-W$123)*$K233)</f>
        <v/>
      </c>
      <c r="X233" s="648" t="str">
        <f>IF(OR(X$122="",I172=""),"",'I. Stream &amp; Compound Data'!AR227/$J172*(1-X$127)*(1-X$123)*$K233)</f>
        <v/>
      </c>
      <c r="Y233" s="648" t="str">
        <f>IF(OR(Y$122="",I172=""),"",'I. Stream &amp; Compound Data'!AU227/$J172*(1-Y$127)*(1-Y$123)*$K233)</f>
        <v/>
      </c>
      <c r="Z233" s="648" t="str">
        <f>IF(OR(Z$122="",I172=""),"",'I. Stream &amp; Compound Data'!AX227/$J172*(1-Z$127)*(1-Z$123)*$K233)</f>
        <v/>
      </c>
      <c r="AA233" s="648" t="str">
        <f>IF(OR(AA$122="",I172=""),"",'I. Stream &amp; Compound Data'!BA227/$J172*(1-AA$127)*(1-AA$123)*$K233)</f>
        <v/>
      </c>
      <c r="AB233" s="648" t="str">
        <f>IF(OR(AB$122="",I172=""),"",'I. Stream &amp; Compound Data'!BD227/$J172*(1-AB$127)*(1-AB$123)*$K233)</f>
        <v/>
      </c>
      <c r="AC233" s="648" t="str">
        <f>IF(OR(AC$122="",I172=""),"",'I. Stream &amp; Compound Data'!BG227/$J172*(1-AC$127)*(1-AC$123)*$K233)</f>
        <v/>
      </c>
      <c r="AD233" s="648" t="str">
        <f>IF(OR(AD$122="",I172=""),"",'I. Stream &amp; Compound Data'!BJ227/$J172*(1-AD$127)*(1-AD$123)*$K233)</f>
        <v/>
      </c>
      <c r="AE233" s="648" t="str">
        <f>IF(OR(AE$122="",I172=""),"",'I. Stream &amp; Compound Data'!BM227/$J172*(1-AE$127)*(1-AE$123)*$K233)</f>
        <v/>
      </c>
      <c r="AF233" s="648" t="str">
        <f>IF(OR(AF$122="",I172=""),"",'I. Stream &amp; Compound Data'!BP227/$J172*(1-AF$127)*(1-AF$123)*$K233)</f>
        <v/>
      </c>
      <c r="AG233" s="648" t="str">
        <f>IF(OR(AG$122="",I172=""),"",'I. Stream &amp; Compound Data'!BS227/$J172*(1-AG$127)*(1-AG$123)*$K233)</f>
        <v/>
      </c>
      <c r="AH233" s="648" t="str">
        <f>IF(OR(AH$122="",I172=""),"",'I. Stream &amp; Compound Data'!BV227/$J172*(1-AH$127)*(1-AH$123)*$K233)</f>
        <v/>
      </c>
      <c r="AI233" s="648" t="str">
        <f>IF(OR(AI$122="",I172=""),"",'I. Stream &amp; Compound Data'!BY227/$J172*(1-AI$127)*(1-AI$123)*$K233)</f>
        <v/>
      </c>
      <c r="AJ233" s="648" t="str">
        <f>IF(OR(AJ$122="",I172=""),"",'I. Stream &amp; Compound Data'!CB227/$J172*(1-AJ$127)*(1-AJ$123)*$K233)</f>
        <v/>
      </c>
      <c r="AK233" s="648" t="str">
        <f>IF(OR(AK$122="",I172=""),"",'I. Stream &amp; Compound Data'!CE227/$J172*(1-AK$127)*(1-AK$123)*$K233)</f>
        <v/>
      </c>
      <c r="AL233" s="648" t="str">
        <f>IF(OR(AL$122="",I172=""),"",'I. Stream &amp; Compound Data'!CH227/$J172*(1-AL$127)*(1-AL$123)*$K233)</f>
        <v/>
      </c>
      <c r="AM233" s="648" t="str">
        <f>IF(OR(AM$122="",I172=""),"",'I. Stream &amp; Compound Data'!CK227/$J172*(1-AM$127)*(1-AM$123)*$K233)</f>
        <v/>
      </c>
      <c r="AN233" s="648" t="str">
        <f>IF(OR(AN$122="",I172=""),"",'I. Stream &amp; Compound Data'!CN227/$J172*(1-AN$127)*(1-AN$123)*$K233)</f>
        <v/>
      </c>
      <c r="AO233" s="648" t="str">
        <f>IF(OR(AO$122="",I172=""),"",'I. Stream &amp; Compound Data'!CQ227/$J172*(1-AO$127)*(1-AO$123)*$K233)</f>
        <v/>
      </c>
      <c r="AP233" s="648" t="str">
        <f>IF(OR(AP$122="",I172=""),"",'I. Stream &amp; Compound Data'!CT227/$J172*(1-AP$127)*(1-AP$123)*$K233)</f>
        <v/>
      </c>
      <c r="AQ233" s="648" t="str">
        <f>IF(OR(AQ$122="",I172=""),"",'I. Stream &amp; Compound Data'!CW227/$J172*(1-AQ$127)*(1-AQ$123)*$K233)</f>
        <v/>
      </c>
      <c r="AR233" s="648" t="str">
        <f>IF(OR(AR$122="",I172=""),"",'I. Stream &amp; Compound Data'!CZ227/$J172*(1-AR$127)*(1-AR$123)*$K233)</f>
        <v/>
      </c>
      <c r="AS233" s="648" t="str">
        <f>IF(OR(AS$122="",I172=""),"",'I. Stream &amp; Compound Data'!DC227/$J172*(1-AS$127)*(1-AS$123)*$K233)</f>
        <v/>
      </c>
      <c r="AT233" s="648" t="str">
        <f>IF(OR(AT$122="",I172=""),"",'I. Stream &amp; Compound Data'!DF227/$J172*(1-AT$127)*(1-AT$123)*$K233)</f>
        <v/>
      </c>
      <c r="AU233" s="648" t="str">
        <f>IF(OR(AU$122="",I172=""),"",'I. Stream &amp; Compound Data'!DI227/$J172*(1-AU$127)*(1-AU$123)*$K233)</f>
        <v/>
      </c>
      <c r="AV233" s="648" t="str">
        <f>IF(OR(AV$122="",I172=""),"",'I. Stream &amp; Compound Data'!DL227/$J172*(1-AV$127)*(1-AV$123)*$K233)</f>
        <v/>
      </c>
      <c r="AW233" s="648" t="str">
        <f>IF(OR(AW$122="",I172=""),"",'I. Stream &amp; Compound Data'!DO227/$J172*(1-AW$127)*(1-AW$123)*$K233)</f>
        <v/>
      </c>
      <c r="AX233" s="648" t="str">
        <f>IF(OR(AX$122="",I172=""),"",'I. Stream &amp; Compound Data'!DR227/$J172*(1-AX$127)*(1-AX$123)*$K233)</f>
        <v/>
      </c>
      <c r="AY233" s="647" t="str">
        <f>IF(OR(AY$122="",I172=""),"",'I. Stream &amp; Compound Data'!DU227/$J172*(1-AY$127)*(1-AY$123)*$K233)</f>
        <v/>
      </c>
      <c r="AZ233" s="336"/>
      <c r="BA233" s="632"/>
      <c r="BB233" s="632"/>
      <c r="BC233" s="632"/>
      <c r="BD233" s="632"/>
      <c r="BE233" s="632"/>
      <c r="BF233" s="632"/>
      <c r="BG233" s="632"/>
      <c r="BH233" s="632"/>
      <c r="BI233" s="632"/>
      <c r="BJ233" s="632"/>
      <c r="BK233" s="632"/>
      <c r="BL233" s="632"/>
      <c r="BM233" s="632"/>
      <c r="BN233" s="632"/>
      <c r="BO233" s="632"/>
      <c r="BP233" s="632"/>
      <c r="BQ233" s="632"/>
      <c r="BR233" s="632"/>
      <c r="BS233" s="632"/>
      <c r="BT233" s="632"/>
      <c r="BU233" s="632"/>
      <c r="BV233" s="632"/>
      <c r="BW233" s="632"/>
      <c r="BX233" s="632"/>
      <c r="BY233" s="632"/>
      <c r="BZ233" s="632"/>
      <c r="CA233" s="632"/>
      <c r="CB233" s="632"/>
      <c r="CC233" s="632"/>
      <c r="CD233" s="632"/>
      <c r="CE233" s="632"/>
      <c r="CF233" s="632"/>
      <c r="CG233" s="632"/>
      <c r="CH233" s="632"/>
      <c r="CI233" s="632"/>
      <c r="CJ233" s="632"/>
      <c r="CK233" s="632"/>
      <c r="CL233" s="632"/>
      <c r="CM233" s="632"/>
      <c r="CN233" s="631"/>
    </row>
    <row r="234" spans="2:92" ht="15.75" x14ac:dyDescent="0.2">
      <c r="B234" s="610"/>
      <c r="C234" s="336"/>
      <c r="D234" s="611"/>
      <c r="E234" s="612"/>
      <c r="F234" s="612"/>
      <c r="G234" s="612"/>
      <c r="H234" s="611"/>
      <c r="I234" s="637"/>
      <c r="J234" s="653">
        <f>'I. Stream &amp; Compound Data'!F304</f>
        <v>43</v>
      </c>
      <c r="K234" s="651" t="str">
        <f>IF('I. Stream &amp; Compound Data'!G304="","",IF('I. Stream &amp; Compound Data'!V304=1,0,1))</f>
        <v/>
      </c>
      <c r="L234" s="651" t="str">
        <f>IF(OR(L$122="",I173=""),"",'I. Stream &amp; Compound Data'!H228/$J173*(1-L$127)*(1-L$123)*$K234)</f>
        <v/>
      </c>
      <c r="M234" s="651" t="str">
        <f>IF(OR(M$122="",I173=""),"",'I. Stream &amp; Compound Data'!K228/$J173*(1-M$127)*(1-M$123)*$K234)</f>
        <v/>
      </c>
      <c r="N234" s="652" t="str">
        <f>IF(OR(N$122="",I173=""),"",'I. Stream &amp; Compound Data'!N228/$J173*(1-N$127)*(1-N$123)*$K234)</f>
        <v/>
      </c>
      <c r="O234" s="651" t="str">
        <f>IF(OR(O$122="",I173=""),"",'I. Stream &amp; Compound Data'!Q228/$J173*(1-O$127)*(1-O$123)*$K234)</f>
        <v/>
      </c>
      <c r="P234" s="651" t="str">
        <f>IF(OR(P$122="",I173=""),"",'I. Stream &amp; Compound Data'!T228/$J173*(1-P$127)*(1-P$123)*$K234)</f>
        <v/>
      </c>
      <c r="Q234" s="650" t="str">
        <f>IF(OR(Q$122="",I173=""),"",'I. Stream &amp; Compound Data'!W228/$J173*(1-Q$127)*(1-Q$123)*$K234)</f>
        <v/>
      </c>
      <c r="R234" s="649" t="str">
        <f>IF(OR(R$122="",I173=""),"",'I. Stream &amp; Compound Data'!Z228/$J173*(1-R$127)*(1-R$123)*$K234)</f>
        <v/>
      </c>
      <c r="S234" s="649" t="str">
        <f>IF(OR(S$122="",I173=""),"",'I. Stream &amp; Compound Data'!AC228/$J173*(1-S$127)*(1-S$123)*$K234)</f>
        <v/>
      </c>
      <c r="T234" s="649" t="str">
        <f>IF(OR(T$122="",I173=""),"",'I. Stream &amp; Compound Data'!AF228/$J173*(1-T$127)*(1-T$123)*$K234)</f>
        <v/>
      </c>
      <c r="U234" s="648" t="str">
        <f>IF(OR(U$122="",I173=""),"",'I. Stream &amp; Compound Data'!AI228/$J173*(1-U$127)*(1-U$123)*$K234)</f>
        <v/>
      </c>
      <c r="V234" s="648" t="str">
        <f>IF(OR(V$122="",I173=""),"",'I. Stream &amp; Compound Data'!AL228/$J173*(1-V$127)*(1-V$123)*$K234)</f>
        <v/>
      </c>
      <c r="W234" s="648" t="str">
        <f>IF(OR(W$122="",I173=""),"",'I. Stream &amp; Compound Data'!AO228/$J173*(1-W$127)*(1-W$123)*$K234)</f>
        <v/>
      </c>
      <c r="X234" s="648" t="str">
        <f>IF(OR(X$122="",I173=""),"",'I. Stream &amp; Compound Data'!AR228/$J173*(1-X$127)*(1-X$123)*$K234)</f>
        <v/>
      </c>
      <c r="Y234" s="648" t="str">
        <f>IF(OR(Y$122="",I173=""),"",'I. Stream &amp; Compound Data'!AU228/$J173*(1-Y$127)*(1-Y$123)*$K234)</f>
        <v/>
      </c>
      <c r="Z234" s="648" t="str">
        <f>IF(OR(Z$122="",I173=""),"",'I. Stream &amp; Compound Data'!AX228/$J173*(1-Z$127)*(1-Z$123)*$K234)</f>
        <v/>
      </c>
      <c r="AA234" s="648" t="str">
        <f>IF(OR(AA$122="",I173=""),"",'I. Stream &amp; Compound Data'!BA228/$J173*(1-AA$127)*(1-AA$123)*$K234)</f>
        <v/>
      </c>
      <c r="AB234" s="648" t="str">
        <f>IF(OR(AB$122="",I173=""),"",'I. Stream &amp; Compound Data'!BD228/$J173*(1-AB$127)*(1-AB$123)*$K234)</f>
        <v/>
      </c>
      <c r="AC234" s="648" t="str">
        <f>IF(OR(AC$122="",I173=""),"",'I. Stream &amp; Compound Data'!BG228/$J173*(1-AC$127)*(1-AC$123)*$K234)</f>
        <v/>
      </c>
      <c r="AD234" s="648" t="str">
        <f>IF(OR(AD$122="",I173=""),"",'I. Stream &amp; Compound Data'!BJ228/$J173*(1-AD$127)*(1-AD$123)*$K234)</f>
        <v/>
      </c>
      <c r="AE234" s="648" t="str">
        <f>IF(OR(AE$122="",I173=""),"",'I. Stream &amp; Compound Data'!BM228/$J173*(1-AE$127)*(1-AE$123)*$K234)</f>
        <v/>
      </c>
      <c r="AF234" s="648" t="str">
        <f>IF(OR(AF$122="",I173=""),"",'I. Stream &amp; Compound Data'!BP228/$J173*(1-AF$127)*(1-AF$123)*$K234)</f>
        <v/>
      </c>
      <c r="AG234" s="648" t="str">
        <f>IF(OR(AG$122="",I173=""),"",'I. Stream &amp; Compound Data'!BS228/$J173*(1-AG$127)*(1-AG$123)*$K234)</f>
        <v/>
      </c>
      <c r="AH234" s="648" t="str">
        <f>IF(OR(AH$122="",I173=""),"",'I. Stream &amp; Compound Data'!BV228/$J173*(1-AH$127)*(1-AH$123)*$K234)</f>
        <v/>
      </c>
      <c r="AI234" s="648" t="str">
        <f>IF(OR(AI$122="",I173=""),"",'I. Stream &amp; Compound Data'!BY228/$J173*(1-AI$127)*(1-AI$123)*$K234)</f>
        <v/>
      </c>
      <c r="AJ234" s="648" t="str">
        <f>IF(OR(AJ$122="",I173=""),"",'I. Stream &amp; Compound Data'!CB228/$J173*(1-AJ$127)*(1-AJ$123)*$K234)</f>
        <v/>
      </c>
      <c r="AK234" s="648" t="str">
        <f>IF(OR(AK$122="",I173=""),"",'I. Stream &amp; Compound Data'!CE228/$J173*(1-AK$127)*(1-AK$123)*$K234)</f>
        <v/>
      </c>
      <c r="AL234" s="648" t="str">
        <f>IF(OR(AL$122="",I173=""),"",'I. Stream &amp; Compound Data'!CH228/$J173*(1-AL$127)*(1-AL$123)*$K234)</f>
        <v/>
      </c>
      <c r="AM234" s="648" t="str">
        <f>IF(OR(AM$122="",I173=""),"",'I. Stream &amp; Compound Data'!CK228/$J173*(1-AM$127)*(1-AM$123)*$K234)</f>
        <v/>
      </c>
      <c r="AN234" s="648" t="str">
        <f>IF(OR(AN$122="",I173=""),"",'I. Stream &amp; Compound Data'!CN228/$J173*(1-AN$127)*(1-AN$123)*$K234)</f>
        <v/>
      </c>
      <c r="AO234" s="648" t="str">
        <f>IF(OR(AO$122="",I173=""),"",'I. Stream &amp; Compound Data'!CQ228/$J173*(1-AO$127)*(1-AO$123)*$K234)</f>
        <v/>
      </c>
      <c r="AP234" s="648" t="str">
        <f>IF(OR(AP$122="",I173=""),"",'I. Stream &amp; Compound Data'!CT228/$J173*(1-AP$127)*(1-AP$123)*$K234)</f>
        <v/>
      </c>
      <c r="AQ234" s="648" t="str">
        <f>IF(OR(AQ$122="",I173=""),"",'I. Stream &amp; Compound Data'!CW228/$J173*(1-AQ$127)*(1-AQ$123)*$K234)</f>
        <v/>
      </c>
      <c r="AR234" s="648" t="str">
        <f>IF(OR(AR$122="",I173=""),"",'I. Stream &amp; Compound Data'!CZ228/$J173*(1-AR$127)*(1-AR$123)*$K234)</f>
        <v/>
      </c>
      <c r="AS234" s="648" t="str">
        <f>IF(OR(AS$122="",I173=""),"",'I. Stream &amp; Compound Data'!DC228/$J173*(1-AS$127)*(1-AS$123)*$K234)</f>
        <v/>
      </c>
      <c r="AT234" s="648" t="str">
        <f>IF(OR(AT$122="",I173=""),"",'I. Stream &amp; Compound Data'!DF228/$J173*(1-AT$127)*(1-AT$123)*$K234)</f>
        <v/>
      </c>
      <c r="AU234" s="648" t="str">
        <f>IF(OR(AU$122="",I173=""),"",'I. Stream &amp; Compound Data'!DI228/$J173*(1-AU$127)*(1-AU$123)*$K234)</f>
        <v/>
      </c>
      <c r="AV234" s="648" t="str">
        <f>IF(OR(AV$122="",I173=""),"",'I. Stream &amp; Compound Data'!DL228/$J173*(1-AV$127)*(1-AV$123)*$K234)</f>
        <v/>
      </c>
      <c r="AW234" s="648" t="str">
        <f>IF(OR(AW$122="",I173=""),"",'I. Stream &amp; Compound Data'!DO228/$J173*(1-AW$127)*(1-AW$123)*$K234)</f>
        <v/>
      </c>
      <c r="AX234" s="648" t="str">
        <f>IF(OR(AX$122="",I173=""),"",'I. Stream &amp; Compound Data'!DR228/$J173*(1-AX$127)*(1-AX$123)*$K234)</f>
        <v/>
      </c>
      <c r="AY234" s="647" t="str">
        <f>IF(OR(AY$122="",I173=""),"",'I. Stream &amp; Compound Data'!DU228/$J173*(1-AY$127)*(1-AY$123)*$K234)</f>
        <v/>
      </c>
      <c r="AZ234" s="336"/>
      <c r="BA234" s="632"/>
      <c r="BB234" s="632"/>
      <c r="BC234" s="632"/>
      <c r="BD234" s="632"/>
      <c r="BE234" s="632"/>
      <c r="BF234" s="632"/>
      <c r="BG234" s="632"/>
      <c r="BH234" s="632"/>
      <c r="BI234" s="632"/>
      <c r="BJ234" s="632"/>
      <c r="BK234" s="632"/>
      <c r="BL234" s="632"/>
      <c r="BM234" s="632"/>
      <c r="BN234" s="632"/>
      <c r="BO234" s="632"/>
      <c r="BP234" s="632"/>
      <c r="BQ234" s="632"/>
      <c r="BR234" s="632"/>
      <c r="BS234" s="632"/>
      <c r="BT234" s="632"/>
      <c r="BU234" s="632"/>
      <c r="BV234" s="632"/>
      <c r="BW234" s="632"/>
      <c r="BX234" s="632"/>
      <c r="BY234" s="632"/>
      <c r="BZ234" s="632"/>
      <c r="CA234" s="632"/>
      <c r="CB234" s="632"/>
      <c r="CC234" s="632"/>
      <c r="CD234" s="632"/>
      <c r="CE234" s="632"/>
      <c r="CF234" s="632"/>
      <c r="CG234" s="632"/>
      <c r="CH234" s="632"/>
      <c r="CI234" s="632"/>
      <c r="CJ234" s="632"/>
      <c r="CK234" s="632"/>
      <c r="CL234" s="632"/>
      <c r="CM234" s="632"/>
      <c r="CN234" s="631"/>
    </row>
    <row r="235" spans="2:92" ht="15.75" x14ac:dyDescent="0.2">
      <c r="B235" s="610"/>
      <c r="C235" s="336"/>
      <c r="D235" s="611"/>
      <c r="E235" s="612"/>
      <c r="F235" s="612"/>
      <c r="G235" s="612"/>
      <c r="H235" s="611"/>
      <c r="I235" s="637"/>
      <c r="J235" s="653">
        <f>'I. Stream &amp; Compound Data'!F305</f>
        <v>44</v>
      </c>
      <c r="K235" s="651" t="str">
        <f>IF('I. Stream &amp; Compound Data'!G305="","",IF('I. Stream &amp; Compound Data'!V305=1,0,1))</f>
        <v/>
      </c>
      <c r="L235" s="651" t="str">
        <f>IF(OR(L$122="",I174=""),"",'I. Stream &amp; Compound Data'!H229/$J174*(1-L$127)*(1-L$123)*$K235)</f>
        <v/>
      </c>
      <c r="M235" s="651" t="str">
        <f>IF(OR(M$122="",I174=""),"",'I. Stream &amp; Compound Data'!K229/$J174*(1-M$127)*(1-M$123)*$K235)</f>
        <v/>
      </c>
      <c r="N235" s="652" t="str">
        <f>IF(OR(N$122="",I174=""),"",'I. Stream &amp; Compound Data'!N229/$J174*(1-N$127)*(1-N$123)*$K235)</f>
        <v/>
      </c>
      <c r="O235" s="651" t="str">
        <f>IF(OR(O$122="",I174=""),"",'I. Stream &amp; Compound Data'!Q229/$J174*(1-O$127)*(1-O$123)*$K235)</f>
        <v/>
      </c>
      <c r="P235" s="651" t="str">
        <f>IF(OR(P$122="",I174=""),"",'I. Stream &amp; Compound Data'!T229/$J174*(1-P$127)*(1-P$123)*$K235)</f>
        <v/>
      </c>
      <c r="Q235" s="650" t="str">
        <f>IF(OR(Q$122="",I174=""),"",'I. Stream &amp; Compound Data'!W229/$J174*(1-Q$127)*(1-Q$123)*$K235)</f>
        <v/>
      </c>
      <c r="R235" s="649" t="str">
        <f>IF(OR(R$122="",I174=""),"",'I. Stream &amp; Compound Data'!Z229/$J174*(1-R$127)*(1-R$123)*$K235)</f>
        <v/>
      </c>
      <c r="S235" s="649" t="str">
        <f>IF(OR(S$122="",I174=""),"",'I. Stream &amp; Compound Data'!AC229/$J174*(1-S$127)*(1-S$123)*$K235)</f>
        <v/>
      </c>
      <c r="T235" s="649" t="str">
        <f>IF(OR(T$122="",I174=""),"",'I. Stream &amp; Compound Data'!AF229/$J174*(1-T$127)*(1-T$123)*$K235)</f>
        <v/>
      </c>
      <c r="U235" s="648" t="str">
        <f>IF(OR(U$122="",I174=""),"",'I. Stream &amp; Compound Data'!AI229/$J174*(1-U$127)*(1-U$123)*$K235)</f>
        <v/>
      </c>
      <c r="V235" s="648" t="str">
        <f>IF(OR(V$122="",I174=""),"",'I. Stream &amp; Compound Data'!AL229/$J174*(1-V$127)*(1-V$123)*$K235)</f>
        <v/>
      </c>
      <c r="W235" s="648" t="str">
        <f>IF(OR(W$122="",I174=""),"",'I. Stream &amp; Compound Data'!AO229/$J174*(1-W$127)*(1-W$123)*$K235)</f>
        <v/>
      </c>
      <c r="X235" s="648" t="str">
        <f>IF(OR(X$122="",I174=""),"",'I. Stream &amp; Compound Data'!AR229/$J174*(1-X$127)*(1-X$123)*$K235)</f>
        <v/>
      </c>
      <c r="Y235" s="648" t="str">
        <f>IF(OR(Y$122="",I174=""),"",'I. Stream &amp; Compound Data'!AU229/$J174*(1-Y$127)*(1-Y$123)*$K235)</f>
        <v/>
      </c>
      <c r="Z235" s="648" t="str">
        <f>IF(OR(Z$122="",I174=""),"",'I. Stream &amp; Compound Data'!AX229/$J174*(1-Z$127)*(1-Z$123)*$K235)</f>
        <v/>
      </c>
      <c r="AA235" s="648" t="str">
        <f>IF(OR(AA$122="",I174=""),"",'I. Stream &amp; Compound Data'!BA229/$J174*(1-AA$127)*(1-AA$123)*$K235)</f>
        <v/>
      </c>
      <c r="AB235" s="648" t="str">
        <f>IF(OR(AB$122="",I174=""),"",'I. Stream &amp; Compound Data'!BD229/$J174*(1-AB$127)*(1-AB$123)*$K235)</f>
        <v/>
      </c>
      <c r="AC235" s="648" t="str">
        <f>IF(OR(AC$122="",I174=""),"",'I. Stream &amp; Compound Data'!BG229/$J174*(1-AC$127)*(1-AC$123)*$K235)</f>
        <v/>
      </c>
      <c r="AD235" s="648" t="str">
        <f>IF(OR(AD$122="",I174=""),"",'I. Stream &amp; Compound Data'!BJ229/$J174*(1-AD$127)*(1-AD$123)*$K235)</f>
        <v/>
      </c>
      <c r="AE235" s="648" t="str">
        <f>IF(OR(AE$122="",I174=""),"",'I. Stream &amp; Compound Data'!BM229/$J174*(1-AE$127)*(1-AE$123)*$K235)</f>
        <v/>
      </c>
      <c r="AF235" s="648" t="str">
        <f>IF(OR(AF$122="",I174=""),"",'I. Stream &amp; Compound Data'!BP229/$J174*(1-AF$127)*(1-AF$123)*$K235)</f>
        <v/>
      </c>
      <c r="AG235" s="648" t="str">
        <f>IF(OR(AG$122="",I174=""),"",'I. Stream &amp; Compound Data'!BS229/$J174*(1-AG$127)*(1-AG$123)*$K235)</f>
        <v/>
      </c>
      <c r="AH235" s="648" t="str">
        <f>IF(OR(AH$122="",I174=""),"",'I. Stream &amp; Compound Data'!BV229/$J174*(1-AH$127)*(1-AH$123)*$K235)</f>
        <v/>
      </c>
      <c r="AI235" s="648" t="str">
        <f>IF(OR(AI$122="",I174=""),"",'I. Stream &amp; Compound Data'!BY229/$J174*(1-AI$127)*(1-AI$123)*$K235)</f>
        <v/>
      </c>
      <c r="AJ235" s="648" t="str">
        <f>IF(OR(AJ$122="",I174=""),"",'I. Stream &amp; Compound Data'!CB229/$J174*(1-AJ$127)*(1-AJ$123)*$K235)</f>
        <v/>
      </c>
      <c r="AK235" s="648" t="str">
        <f>IF(OR(AK$122="",I174=""),"",'I. Stream &amp; Compound Data'!CE229/$J174*(1-AK$127)*(1-AK$123)*$K235)</f>
        <v/>
      </c>
      <c r="AL235" s="648" t="str">
        <f>IF(OR(AL$122="",I174=""),"",'I. Stream &amp; Compound Data'!CH229/$J174*(1-AL$127)*(1-AL$123)*$K235)</f>
        <v/>
      </c>
      <c r="AM235" s="648" t="str">
        <f>IF(OR(AM$122="",I174=""),"",'I. Stream &amp; Compound Data'!CK229/$J174*(1-AM$127)*(1-AM$123)*$K235)</f>
        <v/>
      </c>
      <c r="AN235" s="648" t="str">
        <f>IF(OR(AN$122="",I174=""),"",'I. Stream &amp; Compound Data'!CN229/$J174*(1-AN$127)*(1-AN$123)*$K235)</f>
        <v/>
      </c>
      <c r="AO235" s="648" t="str">
        <f>IF(OR(AO$122="",I174=""),"",'I. Stream &amp; Compound Data'!CQ229/$J174*(1-AO$127)*(1-AO$123)*$K235)</f>
        <v/>
      </c>
      <c r="AP235" s="648" t="str">
        <f>IF(OR(AP$122="",I174=""),"",'I. Stream &amp; Compound Data'!CT229/$J174*(1-AP$127)*(1-AP$123)*$K235)</f>
        <v/>
      </c>
      <c r="AQ235" s="648" t="str">
        <f>IF(OR(AQ$122="",I174=""),"",'I. Stream &amp; Compound Data'!CW229/$J174*(1-AQ$127)*(1-AQ$123)*$K235)</f>
        <v/>
      </c>
      <c r="AR235" s="648" t="str">
        <f>IF(OR(AR$122="",I174=""),"",'I. Stream &amp; Compound Data'!CZ229/$J174*(1-AR$127)*(1-AR$123)*$K235)</f>
        <v/>
      </c>
      <c r="AS235" s="648" t="str">
        <f>IF(OR(AS$122="",I174=""),"",'I. Stream &amp; Compound Data'!DC229/$J174*(1-AS$127)*(1-AS$123)*$K235)</f>
        <v/>
      </c>
      <c r="AT235" s="648" t="str">
        <f>IF(OR(AT$122="",I174=""),"",'I. Stream &amp; Compound Data'!DF229/$J174*(1-AT$127)*(1-AT$123)*$K235)</f>
        <v/>
      </c>
      <c r="AU235" s="648" t="str">
        <f>IF(OR(AU$122="",I174=""),"",'I. Stream &amp; Compound Data'!DI229/$J174*(1-AU$127)*(1-AU$123)*$K235)</f>
        <v/>
      </c>
      <c r="AV235" s="648" t="str">
        <f>IF(OR(AV$122="",I174=""),"",'I. Stream &amp; Compound Data'!DL229/$J174*(1-AV$127)*(1-AV$123)*$K235)</f>
        <v/>
      </c>
      <c r="AW235" s="648" t="str">
        <f>IF(OR(AW$122="",I174=""),"",'I. Stream &amp; Compound Data'!DO229/$J174*(1-AW$127)*(1-AW$123)*$K235)</f>
        <v/>
      </c>
      <c r="AX235" s="648" t="str">
        <f>IF(OR(AX$122="",I174=""),"",'I. Stream &amp; Compound Data'!DR229/$J174*(1-AX$127)*(1-AX$123)*$K235)</f>
        <v/>
      </c>
      <c r="AY235" s="647" t="str">
        <f>IF(OR(AY$122="",I174=""),"",'I. Stream &amp; Compound Data'!DU229/$J174*(1-AY$127)*(1-AY$123)*$K235)</f>
        <v/>
      </c>
      <c r="AZ235" s="336"/>
      <c r="BA235" s="632"/>
      <c r="BB235" s="632"/>
      <c r="BC235" s="632"/>
      <c r="BD235" s="632"/>
      <c r="BE235" s="632"/>
      <c r="BF235" s="632"/>
      <c r="BG235" s="632"/>
      <c r="BH235" s="632"/>
      <c r="BI235" s="632"/>
      <c r="BJ235" s="632"/>
      <c r="BK235" s="632"/>
      <c r="BL235" s="632"/>
      <c r="BM235" s="632"/>
      <c r="BN235" s="632"/>
      <c r="BO235" s="632"/>
      <c r="BP235" s="632"/>
      <c r="BQ235" s="632"/>
      <c r="BR235" s="632"/>
      <c r="BS235" s="632"/>
      <c r="BT235" s="632"/>
      <c r="BU235" s="632"/>
      <c r="BV235" s="632"/>
      <c r="BW235" s="632"/>
      <c r="BX235" s="632"/>
      <c r="BY235" s="632"/>
      <c r="BZ235" s="632"/>
      <c r="CA235" s="632"/>
      <c r="CB235" s="632"/>
      <c r="CC235" s="632"/>
      <c r="CD235" s="632"/>
      <c r="CE235" s="632"/>
      <c r="CF235" s="632"/>
      <c r="CG235" s="632"/>
      <c r="CH235" s="632"/>
      <c r="CI235" s="632"/>
      <c r="CJ235" s="632"/>
      <c r="CK235" s="632"/>
      <c r="CL235" s="632"/>
      <c r="CM235" s="632"/>
      <c r="CN235" s="631"/>
    </row>
    <row r="236" spans="2:92" ht="15.75" x14ac:dyDescent="0.2">
      <c r="B236" s="610"/>
      <c r="C236" s="336"/>
      <c r="D236" s="611"/>
      <c r="E236" s="612"/>
      <c r="F236" s="612"/>
      <c r="G236" s="612"/>
      <c r="H236" s="611"/>
      <c r="I236" s="637"/>
      <c r="J236" s="653">
        <f>'I. Stream &amp; Compound Data'!F306</f>
        <v>45</v>
      </c>
      <c r="K236" s="651" t="str">
        <f>IF('I. Stream &amp; Compound Data'!G306="","",IF('I. Stream &amp; Compound Data'!V306=1,0,1))</f>
        <v/>
      </c>
      <c r="L236" s="651" t="str">
        <f>IF(OR(L$122="",I175=""),"",'I. Stream &amp; Compound Data'!H230/$J175*(1-L$127)*(1-L$123)*$K236)</f>
        <v/>
      </c>
      <c r="M236" s="651" t="str">
        <f>IF(OR(M$122="",I175=""),"",'I. Stream &amp; Compound Data'!K230/$J175*(1-M$127)*(1-M$123)*$K236)</f>
        <v/>
      </c>
      <c r="N236" s="652" t="str">
        <f>IF(OR(N$122="",I175=""),"",'I. Stream &amp; Compound Data'!N230/$J175*(1-N$127)*(1-N$123)*$K236)</f>
        <v/>
      </c>
      <c r="O236" s="651" t="str">
        <f>IF(OR(O$122="",I175=""),"",'I. Stream &amp; Compound Data'!Q230/$J175*(1-O$127)*(1-O$123)*$K236)</f>
        <v/>
      </c>
      <c r="P236" s="651" t="str">
        <f>IF(OR(P$122="",I175=""),"",'I. Stream &amp; Compound Data'!T230/$J175*(1-P$127)*(1-P$123)*$K236)</f>
        <v/>
      </c>
      <c r="Q236" s="650" t="str">
        <f>IF(OR(Q$122="",I175=""),"",'I. Stream &amp; Compound Data'!W230/$J175*(1-Q$127)*(1-Q$123)*$K236)</f>
        <v/>
      </c>
      <c r="R236" s="649" t="str">
        <f>IF(OR(R$122="",I175=""),"",'I. Stream &amp; Compound Data'!Z230/$J175*(1-R$127)*(1-R$123)*$K236)</f>
        <v/>
      </c>
      <c r="S236" s="649" t="str">
        <f>IF(OR(S$122="",I175=""),"",'I. Stream &amp; Compound Data'!AC230/$J175*(1-S$127)*(1-S$123)*$K236)</f>
        <v/>
      </c>
      <c r="T236" s="649" t="str">
        <f>IF(OR(T$122="",I175=""),"",'I. Stream &amp; Compound Data'!AF230/$J175*(1-T$127)*(1-T$123)*$K236)</f>
        <v/>
      </c>
      <c r="U236" s="648" t="str">
        <f>IF(OR(U$122="",I175=""),"",'I. Stream &amp; Compound Data'!AI230/$J175*(1-U$127)*(1-U$123)*$K236)</f>
        <v/>
      </c>
      <c r="V236" s="648" t="str">
        <f>IF(OR(V$122="",I175=""),"",'I. Stream &amp; Compound Data'!AL230/$J175*(1-V$127)*(1-V$123)*$K236)</f>
        <v/>
      </c>
      <c r="W236" s="648" t="str">
        <f>IF(OR(W$122="",I175=""),"",'I. Stream &amp; Compound Data'!AO230/$J175*(1-W$127)*(1-W$123)*$K236)</f>
        <v/>
      </c>
      <c r="X236" s="648" t="str">
        <f>IF(OR(X$122="",I175=""),"",'I. Stream &amp; Compound Data'!AR230/$J175*(1-X$127)*(1-X$123)*$K236)</f>
        <v/>
      </c>
      <c r="Y236" s="648" t="str">
        <f>IF(OR(Y$122="",I175=""),"",'I. Stream &amp; Compound Data'!AU230/$J175*(1-Y$127)*(1-Y$123)*$K236)</f>
        <v/>
      </c>
      <c r="Z236" s="648" t="str">
        <f>IF(OR(Z$122="",I175=""),"",'I. Stream &amp; Compound Data'!AX230/$J175*(1-Z$127)*(1-Z$123)*$K236)</f>
        <v/>
      </c>
      <c r="AA236" s="648" t="str">
        <f>IF(OR(AA$122="",I175=""),"",'I. Stream &amp; Compound Data'!BA230/$J175*(1-AA$127)*(1-AA$123)*$K236)</f>
        <v/>
      </c>
      <c r="AB236" s="648" t="str">
        <f>IF(OR(AB$122="",I175=""),"",'I. Stream &amp; Compound Data'!BD230/$J175*(1-AB$127)*(1-AB$123)*$K236)</f>
        <v/>
      </c>
      <c r="AC236" s="648" t="str">
        <f>IF(OR(AC$122="",I175=""),"",'I. Stream &amp; Compound Data'!BG230/$J175*(1-AC$127)*(1-AC$123)*$K236)</f>
        <v/>
      </c>
      <c r="AD236" s="648" t="str">
        <f>IF(OR(AD$122="",I175=""),"",'I. Stream &amp; Compound Data'!BJ230/$J175*(1-AD$127)*(1-AD$123)*$K236)</f>
        <v/>
      </c>
      <c r="AE236" s="648" t="str">
        <f>IF(OR(AE$122="",I175=""),"",'I. Stream &amp; Compound Data'!BM230/$J175*(1-AE$127)*(1-AE$123)*$K236)</f>
        <v/>
      </c>
      <c r="AF236" s="648" t="str">
        <f>IF(OR(AF$122="",I175=""),"",'I. Stream &amp; Compound Data'!BP230/$J175*(1-AF$127)*(1-AF$123)*$K236)</f>
        <v/>
      </c>
      <c r="AG236" s="648" t="str">
        <f>IF(OR(AG$122="",I175=""),"",'I. Stream &amp; Compound Data'!BS230/$J175*(1-AG$127)*(1-AG$123)*$K236)</f>
        <v/>
      </c>
      <c r="AH236" s="648" t="str">
        <f>IF(OR(AH$122="",I175=""),"",'I. Stream &amp; Compound Data'!BV230/$J175*(1-AH$127)*(1-AH$123)*$K236)</f>
        <v/>
      </c>
      <c r="AI236" s="648" t="str">
        <f>IF(OR(AI$122="",I175=""),"",'I. Stream &amp; Compound Data'!BY230/$J175*(1-AI$127)*(1-AI$123)*$K236)</f>
        <v/>
      </c>
      <c r="AJ236" s="648" t="str">
        <f>IF(OR(AJ$122="",I175=""),"",'I. Stream &amp; Compound Data'!CB230/$J175*(1-AJ$127)*(1-AJ$123)*$K236)</f>
        <v/>
      </c>
      <c r="AK236" s="648" t="str">
        <f>IF(OR(AK$122="",I175=""),"",'I. Stream &amp; Compound Data'!CE230/$J175*(1-AK$127)*(1-AK$123)*$K236)</f>
        <v/>
      </c>
      <c r="AL236" s="648" t="str">
        <f>IF(OR(AL$122="",I175=""),"",'I. Stream &amp; Compound Data'!CH230/$J175*(1-AL$127)*(1-AL$123)*$K236)</f>
        <v/>
      </c>
      <c r="AM236" s="648" t="str">
        <f>IF(OR(AM$122="",I175=""),"",'I. Stream &amp; Compound Data'!CK230/$J175*(1-AM$127)*(1-AM$123)*$K236)</f>
        <v/>
      </c>
      <c r="AN236" s="648" t="str">
        <f>IF(OR(AN$122="",I175=""),"",'I. Stream &amp; Compound Data'!CN230/$J175*(1-AN$127)*(1-AN$123)*$K236)</f>
        <v/>
      </c>
      <c r="AO236" s="648" t="str">
        <f>IF(OR(AO$122="",I175=""),"",'I. Stream &amp; Compound Data'!CQ230/$J175*(1-AO$127)*(1-AO$123)*$K236)</f>
        <v/>
      </c>
      <c r="AP236" s="648" t="str">
        <f>IF(OR(AP$122="",I175=""),"",'I. Stream &amp; Compound Data'!CT230/$J175*(1-AP$127)*(1-AP$123)*$K236)</f>
        <v/>
      </c>
      <c r="AQ236" s="648" t="str">
        <f>IF(OR(AQ$122="",I175=""),"",'I. Stream &amp; Compound Data'!CW230/$J175*(1-AQ$127)*(1-AQ$123)*$K236)</f>
        <v/>
      </c>
      <c r="AR236" s="648" t="str">
        <f>IF(OR(AR$122="",I175=""),"",'I. Stream &amp; Compound Data'!CZ230/$J175*(1-AR$127)*(1-AR$123)*$K236)</f>
        <v/>
      </c>
      <c r="AS236" s="648" t="str">
        <f>IF(OR(AS$122="",I175=""),"",'I. Stream &amp; Compound Data'!DC230/$J175*(1-AS$127)*(1-AS$123)*$K236)</f>
        <v/>
      </c>
      <c r="AT236" s="648" t="str">
        <f>IF(OR(AT$122="",I175=""),"",'I. Stream &amp; Compound Data'!DF230/$J175*(1-AT$127)*(1-AT$123)*$K236)</f>
        <v/>
      </c>
      <c r="AU236" s="648" t="str">
        <f>IF(OR(AU$122="",I175=""),"",'I. Stream &amp; Compound Data'!DI230/$J175*(1-AU$127)*(1-AU$123)*$K236)</f>
        <v/>
      </c>
      <c r="AV236" s="648" t="str">
        <f>IF(OR(AV$122="",I175=""),"",'I. Stream &amp; Compound Data'!DL230/$J175*(1-AV$127)*(1-AV$123)*$K236)</f>
        <v/>
      </c>
      <c r="AW236" s="648" t="str">
        <f>IF(OR(AW$122="",I175=""),"",'I. Stream &amp; Compound Data'!DO230/$J175*(1-AW$127)*(1-AW$123)*$K236)</f>
        <v/>
      </c>
      <c r="AX236" s="648" t="str">
        <f>IF(OR(AX$122="",I175=""),"",'I. Stream &amp; Compound Data'!DR230/$J175*(1-AX$127)*(1-AX$123)*$K236)</f>
        <v/>
      </c>
      <c r="AY236" s="647" t="str">
        <f>IF(OR(AY$122="",I175=""),"",'I. Stream &amp; Compound Data'!DU230/$J175*(1-AY$127)*(1-AY$123)*$K236)</f>
        <v/>
      </c>
      <c r="AZ236" s="336"/>
      <c r="BA236" s="632"/>
      <c r="BB236" s="632"/>
      <c r="BC236" s="632"/>
      <c r="BD236" s="632"/>
      <c r="BE236" s="632"/>
      <c r="BF236" s="632"/>
      <c r="BG236" s="632"/>
      <c r="BH236" s="632"/>
      <c r="BI236" s="632"/>
      <c r="BJ236" s="632"/>
      <c r="BK236" s="632"/>
      <c r="BL236" s="632"/>
      <c r="BM236" s="632"/>
      <c r="BN236" s="632"/>
      <c r="BO236" s="632"/>
      <c r="BP236" s="632"/>
      <c r="BQ236" s="632"/>
      <c r="BR236" s="632"/>
      <c r="BS236" s="632"/>
      <c r="BT236" s="632"/>
      <c r="BU236" s="632"/>
      <c r="BV236" s="632"/>
      <c r="BW236" s="632"/>
      <c r="BX236" s="632"/>
      <c r="BY236" s="632"/>
      <c r="BZ236" s="632"/>
      <c r="CA236" s="632"/>
      <c r="CB236" s="632"/>
      <c r="CC236" s="632"/>
      <c r="CD236" s="632"/>
      <c r="CE236" s="632"/>
      <c r="CF236" s="632"/>
      <c r="CG236" s="632"/>
      <c r="CH236" s="632"/>
      <c r="CI236" s="632"/>
      <c r="CJ236" s="632"/>
      <c r="CK236" s="632"/>
      <c r="CL236" s="632"/>
      <c r="CM236" s="632"/>
      <c r="CN236" s="631"/>
    </row>
    <row r="237" spans="2:92" ht="15.75" x14ac:dyDescent="0.2">
      <c r="B237" s="610"/>
      <c r="C237" s="336"/>
      <c r="D237" s="611"/>
      <c r="E237" s="612"/>
      <c r="F237" s="612"/>
      <c r="G237" s="612"/>
      <c r="H237" s="611"/>
      <c r="I237" s="637"/>
      <c r="J237" s="653">
        <f>'I. Stream &amp; Compound Data'!F307</f>
        <v>46</v>
      </c>
      <c r="K237" s="651" t="str">
        <f>IF('I. Stream &amp; Compound Data'!G307="","",IF('I. Stream &amp; Compound Data'!V307=1,0,1))</f>
        <v/>
      </c>
      <c r="L237" s="651" t="str">
        <f>IF(OR(L$122="",I176=""),"",'I. Stream &amp; Compound Data'!H231/$J176*(1-L$127)*(1-L$123)*$K237)</f>
        <v/>
      </c>
      <c r="M237" s="651" t="str">
        <f>IF(OR(M$122="",I176=""),"",'I. Stream &amp; Compound Data'!K231/$J176*(1-M$127)*(1-M$123)*$K237)</f>
        <v/>
      </c>
      <c r="N237" s="652" t="str">
        <f>IF(OR(N$122="",I176=""),"",'I. Stream &amp; Compound Data'!N231/$J176*(1-N$127)*(1-N$123)*$K237)</f>
        <v/>
      </c>
      <c r="O237" s="651" t="str">
        <f>IF(OR(O$122="",I176=""),"",'I. Stream &amp; Compound Data'!Q231/$J176*(1-O$127)*(1-O$123)*$K237)</f>
        <v/>
      </c>
      <c r="P237" s="651" t="str">
        <f>IF(OR(P$122="",I176=""),"",'I. Stream &amp; Compound Data'!T231/$J176*(1-P$127)*(1-P$123)*$K237)</f>
        <v/>
      </c>
      <c r="Q237" s="650" t="str">
        <f>IF(OR(Q$122="",I176=""),"",'I. Stream &amp; Compound Data'!W231/$J176*(1-Q$127)*(1-Q$123)*$K237)</f>
        <v/>
      </c>
      <c r="R237" s="649" t="str">
        <f>IF(OR(R$122="",I176=""),"",'I. Stream &amp; Compound Data'!Z231/$J176*(1-R$127)*(1-R$123)*$K237)</f>
        <v/>
      </c>
      <c r="S237" s="649" t="str">
        <f>IF(OR(S$122="",I176=""),"",'I. Stream &amp; Compound Data'!AC231/$J176*(1-S$127)*(1-S$123)*$K237)</f>
        <v/>
      </c>
      <c r="T237" s="649" t="str">
        <f>IF(OR(T$122="",I176=""),"",'I. Stream &amp; Compound Data'!AF231/$J176*(1-T$127)*(1-T$123)*$K237)</f>
        <v/>
      </c>
      <c r="U237" s="648" t="str">
        <f>IF(OR(U$122="",I176=""),"",'I. Stream &amp; Compound Data'!AI231/$J176*(1-U$127)*(1-U$123)*$K237)</f>
        <v/>
      </c>
      <c r="V237" s="648" t="str">
        <f>IF(OR(V$122="",I176=""),"",'I. Stream &amp; Compound Data'!AL231/$J176*(1-V$127)*(1-V$123)*$K237)</f>
        <v/>
      </c>
      <c r="W237" s="648" t="str">
        <f>IF(OR(W$122="",I176=""),"",'I. Stream &amp; Compound Data'!AO231/$J176*(1-W$127)*(1-W$123)*$K237)</f>
        <v/>
      </c>
      <c r="X237" s="648" t="str">
        <f>IF(OR(X$122="",I176=""),"",'I. Stream &amp; Compound Data'!AR231/$J176*(1-X$127)*(1-X$123)*$K237)</f>
        <v/>
      </c>
      <c r="Y237" s="648" t="str">
        <f>IF(OR(Y$122="",I176=""),"",'I. Stream &amp; Compound Data'!AU231/$J176*(1-Y$127)*(1-Y$123)*$K237)</f>
        <v/>
      </c>
      <c r="Z237" s="648" t="str">
        <f>IF(OR(Z$122="",I176=""),"",'I. Stream &amp; Compound Data'!AX231/$J176*(1-Z$127)*(1-Z$123)*$K237)</f>
        <v/>
      </c>
      <c r="AA237" s="648" t="str">
        <f>IF(OR(AA$122="",I176=""),"",'I. Stream &amp; Compound Data'!BA231/$J176*(1-AA$127)*(1-AA$123)*$K237)</f>
        <v/>
      </c>
      <c r="AB237" s="648" t="str">
        <f>IF(OR(AB$122="",I176=""),"",'I. Stream &amp; Compound Data'!BD231/$J176*(1-AB$127)*(1-AB$123)*$K237)</f>
        <v/>
      </c>
      <c r="AC237" s="648" t="str">
        <f>IF(OR(AC$122="",I176=""),"",'I. Stream &amp; Compound Data'!BG231/$J176*(1-AC$127)*(1-AC$123)*$K237)</f>
        <v/>
      </c>
      <c r="AD237" s="648" t="str">
        <f>IF(OR(AD$122="",I176=""),"",'I. Stream &amp; Compound Data'!BJ231/$J176*(1-AD$127)*(1-AD$123)*$K237)</f>
        <v/>
      </c>
      <c r="AE237" s="648" t="str">
        <f>IF(OR(AE$122="",I176=""),"",'I. Stream &amp; Compound Data'!BM231/$J176*(1-AE$127)*(1-AE$123)*$K237)</f>
        <v/>
      </c>
      <c r="AF237" s="648" t="str">
        <f>IF(OR(AF$122="",I176=""),"",'I. Stream &amp; Compound Data'!BP231/$J176*(1-AF$127)*(1-AF$123)*$K237)</f>
        <v/>
      </c>
      <c r="AG237" s="648" t="str">
        <f>IF(OR(AG$122="",I176=""),"",'I. Stream &amp; Compound Data'!BS231/$J176*(1-AG$127)*(1-AG$123)*$K237)</f>
        <v/>
      </c>
      <c r="AH237" s="648" t="str">
        <f>IF(OR(AH$122="",I176=""),"",'I. Stream &amp; Compound Data'!BV231/$J176*(1-AH$127)*(1-AH$123)*$K237)</f>
        <v/>
      </c>
      <c r="AI237" s="648" t="str">
        <f>IF(OR(AI$122="",I176=""),"",'I. Stream &amp; Compound Data'!BY231/$J176*(1-AI$127)*(1-AI$123)*$K237)</f>
        <v/>
      </c>
      <c r="AJ237" s="648" t="str">
        <f>IF(OR(AJ$122="",I176=""),"",'I. Stream &amp; Compound Data'!CB231/$J176*(1-AJ$127)*(1-AJ$123)*$K237)</f>
        <v/>
      </c>
      <c r="AK237" s="648" t="str">
        <f>IF(OR(AK$122="",I176=""),"",'I. Stream &amp; Compound Data'!CE231/$J176*(1-AK$127)*(1-AK$123)*$K237)</f>
        <v/>
      </c>
      <c r="AL237" s="648" t="str">
        <f>IF(OR(AL$122="",I176=""),"",'I. Stream &amp; Compound Data'!CH231/$J176*(1-AL$127)*(1-AL$123)*$K237)</f>
        <v/>
      </c>
      <c r="AM237" s="648" t="str">
        <f>IF(OR(AM$122="",I176=""),"",'I. Stream &amp; Compound Data'!CK231/$J176*(1-AM$127)*(1-AM$123)*$K237)</f>
        <v/>
      </c>
      <c r="AN237" s="648" t="str">
        <f>IF(OR(AN$122="",I176=""),"",'I. Stream &amp; Compound Data'!CN231/$J176*(1-AN$127)*(1-AN$123)*$K237)</f>
        <v/>
      </c>
      <c r="AO237" s="648" t="str">
        <f>IF(OR(AO$122="",I176=""),"",'I. Stream &amp; Compound Data'!CQ231/$J176*(1-AO$127)*(1-AO$123)*$K237)</f>
        <v/>
      </c>
      <c r="AP237" s="648" t="str">
        <f>IF(OR(AP$122="",I176=""),"",'I. Stream &amp; Compound Data'!CT231/$J176*(1-AP$127)*(1-AP$123)*$K237)</f>
        <v/>
      </c>
      <c r="AQ237" s="648" t="str">
        <f>IF(OR(AQ$122="",I176=""),"",'I. Stream &amp; Compound Data'!CW231/$J176*(1-AQ$127)*(1-AQ$123)*$K237)</f>
        <v/>
      </c>
      <c r="AR237" s="648" t="str">
        <f>IF(OR(AR$122="",I176=""),"",'I. Stream &amp; Compound Data'!CZ231/$J176*(1-AR$127)*(1-AR$123)*$K237)</f>
        <v/>
      </c>
      <c r="AS237" s="648" t="str">
        <f>IF(OR(AS$122="",I176=""),"",'I. Stream &amp; Compound Data'!DC231/$J176*(1-AS$127)*(1-AS$123)*$K237)</f>
        <v/>
      </c>
      <c r="AT237" s="648" t="str">
        <f>IF(OR(AT$122="",I176=""),"",'I. Stream &amp; Compound Data'!DF231/$J176*(1-AT$127)*(1-AT$123)*$K237)</f>
        <v/>
      </c>
      <c r="AU237" s="648" t="str">
        <f>IF(OR(AU$122="",I176=""),"",'I. Stream &amp; Compound Data'!DI231/$J176*(1-AU$127)*(1-AU$123)*$K237)</f>
        <v/>
      </c>
      <c r="AV237" s="648" t="str">
        <f>IF(OR(AV$122="",I176=""),"",'I. Stream &amp; Compound Data'!DL231/$J176*(1-AV$127)*(1-AV$123)*$K237)</f>
        <v/>
      </c>
      <c r="AW237" s="648" t="str">
        <f>IF(OR(AW$122="",I176=""),"",'I. Stream &amp; Compound Data'!DO231/$J176*(1-AW$127)*(1-AW$123)*$K237)</f>
        <v/>
      </c>
      <c r="AX237" s="648" t="str">
        <f>IF(OR(AX$122="",I176=""),"",'I. Stream &amp; Compound Data'!DR231/$J176*(1-AX$127)*(1-AX$123)*$K237)</f>
        <v/>
      </c>
      <c r="AY237" s="647" t="str">
        <f>IF(OR(AY$122="",I176=""),"",'I. Stream &amp; Compound Data'!DU231/$J176*(1-AY$127)*(1-AY$123)*$K237)</f>
        <v/>
      </c>
      <c r="AZ237" s="336"/>
      <c r="BA237" s="632"/>
      <c r="BB237" s="632"/>
      <c r="BC237" s="632"/>
      <c r="BD237" s="632"/>
      <c r="BE237" s="632"/>
      <c r="BF237" s="632"/>
      <c r="BG237" s="632"/>
      <c r="BH237" s="632"/>
      <c r="BI237" s="632"/>
      <c r="BJ237" s="632"/>
      <c r="BK237" s="632"/>
      <c r="BL237" s="632"/>
      <c r="BM237" s="632"/>
      <c r="BN237" s="632"/>
      <c r="BO237" s="632"/>
      <c r="BP237" s="632"/>
      <c r="BQ237" s="632"/>
      <c r="BR237" s="632"/>
      <c r="BS237" s="632"/>
      <c r="BT237" s="632"/>
      <c r="BU237" s="632"/>
      <c r="BV237" s="632"/>
      <c r="BW237" s="632"/>
      <c r="BX237" s="632"/>
      <c r="BY237" s="632"/>
      <c r="BZ237" s="632"/>
      <c r="CA237" s="632"/>
      <c r="CB237" s="632"/>
      <c r="CC237" s="632"/>
      <c r="CD237" s="632"/>
      <c r="CE237" s="632"/>
      <c r="CF237" s="632"/>
      <c r="CG237" s="632"/>
      <c r="CH237" s="632"/>
      <c r="CI237" s="632"/>
      <c r="CJ237" s="632"/>
      <c r="CK237" s="632"/>
      <c r="CL237" s="632"/>
      <c r="CM237" s="632"/>
      <c r="CN237" s="631"/>
    </row>
    <row r="238" spans="2:92" ht="15.75" x14ac:dyDescent="0.2">
      <c r="B238" s="610"/>
      <c r="C238" s="336"/>
      <c r="D238" s="611"/>
      <c r="E238" s="612"/>
      <c r="F238" s="612"/>
      <c r="G238" s="612"/>
      <c r="H238" s="611"/>
      <c r="I238" s="637"/>
      <c r="J238" s="653">
        <f>'I. Stream &amp; Compound Data'!F308</f>
        <v>47</v>
      </c>
      <c r="K238" s="651" t="str">
        <f>IF('I. Stream &amp; Compound Data'!G308="","",IF('I. Stream &amp; Compound Data'!V308=1,0,1))</f>
        <v/>
      </c>
      <c r="L238" s="651" t="str">
        <f>IF(OR(L$122="",I177=""),"",'I. Stream &amp; Compound Data'!H232/$J177*(1-L$127)*(1-L$123)*$K238)</f>
        <v/>
      </c>
      <c r="M238" s="651" t="str">
        <f>IF(OR(M$122="",I177=""),"",'I. Stream &amp; Compound Data'!K232/$J177*(1-M$127)*(1-M$123)*$K238)</f>
        <v/>
      </c>
      <c r="N238" s="652" t="str">
        <f>IF(OR(N$122="",I177=""),"",'I. Stream &amp; Compound Data'!N232/$J177*(1-N$127)*(1-N$123)*$K238)</f>
        <v/>
      </c>
      <c r="O238" s="651" t="str">
        <f>IF(OR(O$122="",I177=""),"",'I. Stream &amp; Compound Data'!Q232/$J177*(1-O$127)*(1-O$123)*$K238)</f>
        <v/>
      </c>
      <c r="P238" s="651" t="str">
        <f>IF(OR(P$122="",I177=""),"",'I. Stream &amp; Compound Data'!T232/$J177*(1-P$127)*(1-P$123)*$K238)</f>
        <v/>
      </c>
      <c r="Q238" s="650" t="str">
        <f>IF(OR(Q$122="",I177=""),"",'I. Stream &amp; Compound Data'!W232/$J177*(1-Q$127)*(1-Q$123)*$K238)</f>
        <v/>
      </c>
      <c r="R238" s="649" t="str">
        <f>IF(OR(R$122="",I177=""),"",'I. Stream &amp; Compound Data'!Z232/$J177*(1-R$127)*(1-R$123)*$K238)</f>
        <v/>
      </c>
      <c r="S238" s="649" t="str">
        <f>IF(OR(S$122="",I177=""),"",'I. Stream &amp; Compound Data'!AC232/$J177*(1-S$127)*(1-S$123)*$K238)</f>
        <v/>
      </c>
      <c r="T238" s="649" t="str">
        <f>IF(OR(T$122="",I177=""),"",'I. Stream &amp; Compound Data'!AF232/$J177*(1-T$127)*(1-T$123)*$K238)</f>
        <v/>
      </c>
      <c r="U238" s="648" t="str">
        <f>IF(OR(U$122="",I177=""),"",'I. Stream &amp; Compound Data'!AI232/$J177*(1-U$127)*(1-U$123)*$K238)</f>
        <v/>
      </c>
      <c r="V238" s="648" t="str">
        <f>IF(OR(V$122="",I177=""),"",'I. Stream &amp; Compound Data'!AL232/$J177*(1-V$127)*(1-V$123)*$K238)</f>
        <v/>
      </c>
      <c r="W238" s="648" t="str">
        <f>IF(OR(W$122="",I177=""),"",'I. Stream &amp; Compound Data'!AO232/$J177*(1-W$127)*(1-W$123)*$K238)</f>
        <v/>
      </c>
      <c r="X238" s="648" t="str">
        <f>IF(OR(X$122="",I177=""),"",'I. Stream &amp; Compound Data'!AR232/$J177*(1-X$127)*(1-X$123)*$K238)</f>
        <v/>
      </c>
      <c r="Y238" s="648" t="str">
        <f>IF(OR(Y$122="",I177=""),"",'I. Stream &amp; Compound Data'!AU232/$J177*(1-Y$127)*(1-Y$123)*$K238)</f>
        <v/>
      </c>
      <c r="Z238" s="648" t="str">
        <f>IF(OR(Z$122="",I177=""),"",'I. Stream &amp; Compound Data'!AX232/$J177*(1-Z$127)*(1-Z$123)*$K238)</f>
        <v/>
      </c>
      <c r="AA238" s="648" t="str">
        <f>IF(OR(AA$122="",I177=""),"",'I. Stream &amp; Compound Data'!BA232/$J177*(1-AA$127)*(1-AA$123)*$K238)</f>
        <v/>
      </c>
      <c r="AB238" s="648" t="str">
        <f>IF(OR(AB$122="",I177=""),"",'I. Stream &amp; Compound Data'!BD232/$J177*(1-AB$127)*(1-AB$123)*$K238)</f>
        <v/>
      </c>
      <c r="AC238" s="648" t="str">
        <f>IF(OR(AC$122="",I177=""),"",'I. Stream &amp; Compound Data'!BG232/$J177*(1-AC$127)*(1-AC$123)*$K238)</f>
        <v/>
      </c>
      <c r="AD238" s="648" t="str">
        <f>IF(OR(AD$122="",I177=""),"",'I. Stream &amp; Compound Data'!BJ232/$J177*(1-AD$127)*(1-AD$123)*$K238)</f>
        <v/>
      </c>
      <c r="AE238" s="648" t="str">
        <f>IF(OR(AE$122="",I177=""),"",'I. Stream &amp; Compound Data'!BM232/$J177*(1-AE$127)*(1-AE$123)*$K238)</f>
        <v/>
      </c>
      <c r="AF238" s="648" t="str">
        <f>IF(OR(AF$122="",I177=""),"",'I. Stream &amp; Compound Data'!BP232/$J177*(1-AF$127)*(1-AF$123)*$K238)</f>
        <v/>
      </c>
      <c r="AG238" s="648" t="str">
        <f>IF(OR(AG$122="",I177=""),"",'I. Stream &amp; Compound Data'!BS232/$J177*(1-AG$127)*(1-AG$123)*$K238)</f>
        <v/>
      </c>
      <c r="AH238" s="648" t="str">
        <f>IF(OR(AH$122="",I177=""),"",'I. Stream &amp; Compound Data'!BV232/$J177*(1-AH$127)*(1-AH$123)*$K238)</f>
        <v/>
      </c>
      <c r="AI238" s="648" t="str">
        <f>IF(OR(AI$122="",I177=""),"",'I. Stream &amp; Compound Data'!BY232/$J177*(1-AI$127)*(1-AI$123)*$K238)</f>
        <v/>
      </c>
      <c r="AJ238" s="648" t="str">
        <f>IF(OR(AJ$122="",I177=""),"",'I. Stream &amp; Compound Data'!CB232/$J177*(1-AJ$127)*(1-AJ$123)*$K238)</f>
        <v/>
      </c>
      <c r="AK238" s="648" t="str">
        <f>IF(OR(AK$122="",I177=""),"",'I. Stream &amp; Compound Data'!CE232/$J177*(1-AK$127)*(1-AK$123)*$K238)</f>
        <v/>
      </c>
      <c r="AL238" s="648" t="str">
        <f>IF(OR(AL$122="",I177=""),"",'I. Stream &amp; Compound Data'!CH232/$J177*(1-AL$127)*(1-AL$123)*$K238)</f>
        <v/>
      </c>
      <c r="AM238" s="648" t="str">
        <f>IF(OR(AM$122="",I177=""),"",'I. Stream &amp; Compound Data'!CK232/$J177*(1-AM$127)*(1-AM$123)*$K238)</f>
        <v/>
      </c>
      <c r="AN238" s="648" t="str">
        <f>IF(OR(AN$122="",I177=""),"",'I. Stream &amp; Compound Data'!CN232/$J177*(1-AN$127)*(1-AN$123)*$K238)</f>
        <v/>
      </c>
      <c r="AO238" s="648" t="str">
        <f>IF(OR(AO$122="",I177=""),"",'I. Stream &amp; Compound Data'!CQ232/$J177*(1-AO$127)*(1-AO$123)*$K238)</f>
        <v/>
      </c>
      <c r="AP238" s="648" t="str">
        <f>IF(OR(AP$122="",I177=""),"",'I. Stream &amp; Compound Data'!CT232/$J177*(1-AP$127)*(1-AP$123)*$K238)</f>
        <v/>
      </c>
      <c r="AQ238" s="648" t="str">
        <f>IF(OR(AQ$122="",I177=""),"",'I. Stream &amp; Compound Data'!CW232/$J177*(1-AQ$127)*(1-AQ$123)*$K238)</f>
        <v/>
      </c>
      <c r="AR238" s="648" t="str">
        <f>IF(OR(AR$122="",I177=""),"",'I. Stream &amp; Compound Data'!CZ232/$J177*(1-AR$127)*(1-AR$123)*$K238)</f>
        <v/>
      </c>
      <c r="AS238" s="648" t="str">
        <f>IF(OR(AS$122="",I177=""),"",'I. Stream &amp; Compound Data'!DC232/$J177*(1-AS$127)*(1-AS$123)*$K238)</f>
        <v/>
      </c>
      <c r="AT238" s="648" t="str">
        <f>IF(OR(AT$122="",I177=""),"",'I. Stream &amp; Compound Data'!DF232/$J177*(1-AT$127)*(1-AT$123)*$K238)</f>
        <v/>
      </c>
      <c r="AU238" s="648" t="str">
        <f>IF(OR(AU$122="",I177=""),"",'I. Stream &amp; Compound Data'!DI232/$J177*(1-AU$127)*(1-AU$123)*$K238)</f>
        <v/>
      </c>
      <c r="AV238" s="648" t="str">
        <f>IF(OR(AV$122="",I177=""),"",'I. Stream &amp; Compound Data'!DL232/$J177*(1-AV$127)*(1-AV$123)*$K238)</f>
        <v/>
      </c>
      <c r="AW238" s="648" t="str">
        <f>IF(OR(AW$122="",I177=""),"",'I. Stream &amp; Compound Data'!DO232/$J177*(1-AW$127)*(1-AW$123)*$K238)</f>
        <v/>
      </c>
      <c r="AX238" s="648" t="str">
        <f>IF(OR(AX$122="",I177=""),"",'I. Stream &amp; Compound Data'!DR232/$J177*(1-AX$127)*(1-AX$123)*$K238)</f>
        <v/>
      </c>
      <c r="AY238" s="647" t="str">
        <f>IF(OR(AY$122="",I177=""),"",'I. Stream &amp; Compound Data'!DU232/$J177*(1-AY$127)*(1-AY$123)*$K238)</f>
        <v/>
      </c>
      <c r="AZ238" s="336"/>
      <c r="BA238" s="632"/>
      <c r="BB238" s="632"/>
      <c r="BC238" s="632"/>
      <c r="BD238" s="632"/>
      <c r="BE238" s="632"/>
      <c r="BF238" s="632"/>
      <c r="BG238" s="632"/>
      <c r="BH238" s="632"/>
      <c r="BI238" s="632"/>
      <c r="BJ238" s="632"/>
      <c r="BK238" s="632"/>
      <c r="BL238" s="632"/>
      <c r="BM238" s="632"/>
      <c r="BN238" s="632"/>
      <c r="BO238" s="632"/>
      <c r="BP238" s="632"/>
      <c r="BQ238" s="632"/>
      <c r="BR238" s="632"/>
      <c r="BS238" s="632"/>
      <c r="BT238" s="632"/>
      <c r="BU238" s="632"/>
      <c r="BV238" s="632"/>
      <c r="BW238" s="632"/>
      <c r="BX238" s="632"/>
      <c r="BY238" s="632"/>
      <c r="BZ238" s="632"/>
      <c r="CA238" s="632"/>
      <c r="CB238" s="632"/>
      <c r="CC238" s="632"/>
      <c r="CD238" s="632"/>
      <c r="CE238" s="632"/>
      <c r="CF238" s="632"/>
      <c r="CG238" s="632"/>
      <c r="CH238" s="632"/>
      <c r="CI238" s="632"/>
      <c r="CJ238" s="632"/>
      <c r="CK238" s="632"/>
      <c r="CL238" s="632"/>
      <c r="CM238" s="632"/>
      <c r="CN238" s="631"/>
    </row>
    <row r="239" spans="2:92" ht="15.75" x14ac:dyDescent="0.2">
      <c r="B239" s="610"/>
      <c r="C239" s="336"/>
      <c r="D239" s="611"/>
      <c r="E239" s="612"/>
      <c r="F239" s="612"/>
      <c r="G239" s="612"/>
      <c r="H239" s="611"/>
      <c r="I239" s="637"/>
      <c r="J239" s="653">
        <f>'I. Stream &amp; Compound Data'!F309</f>
        <v>48</v>
      </c>
      <c r="K239" s="651" t="str">
        <f>IF('I. Stream &amp; Compound Data'!G309="","",IF('I. Stream &amp; Compound Data'!V309=1,0,1))</f>
        <v/>
      </c>
      <c r="L239" s="651" t="str">
        <f>IF(OR(L$122="",I178=""),"",'I. Stream &amp; Compound Data'!H233/$J178*(1-L$127)*(1-L$123)*$K239)</f>
        <v/>
      </c>
      <c r="M239" s="651" t="str">
        <f>IF(OR(M$122="",I178=""),"",'I. Stream &amp; Compound Data'!K233/$J178*(1-M$127)*(1-M$123)*$K239)</f>
        <v/>
      </c>
      <c r="N239" s="652" t="str">
        <f>IF(OR(N$122="",I178=""),"",'I. Stream &amp; Compound Data'!N233/$J178*(1-N$127)*(1-N$123)*$K239)</f>
        <v/>
      </c>
      <c r="O239" s="651" t="str">
        <f>IF(OR(O$122="",I178=""),"",'I. Stream &amp; Compound Data'!Q233/$J178*(1-O$127)*(1-O$123)*$K239)</f>
        <v/>
      </c>
      <c r="P239" s="651" t="str">
        <f>IF(OR(P$122="",I178=""),"",'I. Stream &amp; Compound Data'!T233/$J178*(1-P$127)*(1-P$123)*$K239)</f>
        <v/>
      </c>
      <c r="Q239" s="650" t="str">
        <f>IF(OR(Q$122="",I178=""),"",'I. Stream &amp; Compound Data'!W233/$J178*(1-Q$127)*(1-Q$123)*$K239)</f>
        <v/>
      </c>
      <c r="R239" s="649" t="str">
        <f>IF(OR(R$122="",I178=""),"",'I. Stream &amp; Compound Data'!Z233/$J178*(1-R$127)*(1-R$123)*$K239)</f>
        <v/>
      </c>
      <c r="S239" s="649" t="str">
        <f>IF(OR(S$122="",I178=""),"",'I. Stream &amp; Compound Data'!AC233/$J178*(1-S$127)*(1-S$123)*$K239)</f>
        <v/>
      </c>
      <c r="T239" s="649" t="str">
        <f>IF(OR(T$122="",I178=""),"",'I. Stream &amp; Compound Data'!AF233/$J178*(1-T$127)*(1-T$123)*$K239)</f>
        <v/>
      </c>
      <c r="U239" s="648" t="str">
        <f>IF(OR(U$122="",I178=""),"",'I. Stream &amp; Compound Data'!AI233/$J178*(1-U$127)*(1-U$123)*$K239)</f>
        <v/>
      </c>
      <c r="V239" s="648" t="str">
        <f>IF(OR(V$122="",I178=""),"",'I. Stream &amp; Compound Data'!AL233/$J178*(1-V$127)*(1-V$123)*$K239)</f>
        <v/>
      </c>
      <c r="W239" s="648" t="str">
        <f>IF(OR(W$122="",I178=""),"",'I. Stream &amp; Compound Data'!AO233/$J178*(1-W$127)*(1-W$123)*$K239)</f>
        <v/>
      </c>
      <c r="X239" s="648" t="str">
        <f>IF(OR(X$122="",I178=""),"",'I. Stream &amp; Compound Data'!AR233/$J178*(1-X$127)*(1-X$123)*$K239)</f>
        <v/>
      </c>
      <c r="Y239" s="648" t="str">
        <f>IF(OR(Y$122="",I178=""),"",'I. Stream &amp; Compound Data'!AU233/$J178*(1-Y$127)*(1-Y$123)*$K239)</f>
        <v/>
      </c>
      <c r="Z239" s="648" t="str">
        <f>IF(OR(Z$122="",I178=""),"",'I. Stream &amp; Compound Data'!AX233/$J178*(1-Z$127)*(1-Z$123)*$K239)</f>
        <v/>
      </c>
      <c r="AA239" s="648" t="str">
        <f>IF(OR(AA$122="",I178=""),"",'I. Stream &amp; Compound Data'!BA233/$J178*(1-AA$127)*(1-AA$123)*$K239)</f>
        <v/>
      </c>
      <c r="AB239" s="648" t="str">
        <f>IF(OR(AB$122="",I178=""),"",'I. Stream &amp; Compound Data'!BD233/$J178*(1-AB$127)*(1-AB$123)*$K239)</f>
        <v/>
      </c>
      <c r="AC239" s="648" t="str">
        <f>IF(OR(AC$122="",I178=""),"",'I. Stream &amp; Compound Data'!BG233/$J178*(1-AC$127)*(1-AC$123)*$K239)</f>
        <v/>
      </c>
      <c r="AD239" s="648" t="str">
        <f>IF(OR(AD$122="",I178=""),"",'I. Stream &amp; Compound Data'!BJ233/$J178*(1-AD$127)*(1-AD$123)*$K239)</f>
        <v/>
      </c>
      <c r="AE239" s="648" t="str">
        <f>IF(OR(AE$122="",I178=""),"",'I. Stream &amp; Compound Data'!BM233/$J178*(1-AE$127)*(1-AE$123)*$K239)</f>
        <v/>
      </c>
      <c r="AF239" s="648" t="str">
        <f>IF(OR(AF$122="",I178=""),"",'I. Stream &amp; Compound Data'!BP233/$J178*(1-AF$127)*(1-AF$123)*$K239)</f>
        <v/>
      </c>
      <c r="AG239" s="648" t="str">
        <f>IF(OR(AG$122="",I178=""),"",'I. Stream &amp; Compound Data'!BS233/$J178*(1-AG$127)*(1-AG$123)*$K239)</f>
        <v/>
      </c>
      <c r="AH239" s="648" t="str">
        <f>IF(OR(AH$122="",I178=""),"",'I. Stream &amp; Compound Data'!BV233/$J178*(1-AH$127)*(1-AH$123)*$K239)</f>
        <v/>
      </c>
      <c r="AI239" s="648" t="str">
        <f>IF(OR(AI$122="",I178=""),"",'I. Stream &amp; Compound Data'!BY233/$J178*(1-AI$127)*(1-AI$123)*$K239)</f>
        <v/>
      </c>
      <c r="AJ239" s="648" t="str">
        <f>IF(OR(AJ$122="",I178=""),"",'I. Stream &amp; Compound Data'!CB233/$J178*(1-AJ$127)*(1-AJ$123)*$K239)</f>
        <v/>
      </c>
      <c r="AK239" s="648" t="str">
        <f>IF(OR(AK$122="",I178=""),"",'I. Stream &amp; Compound Data'!CE233/$J178*(1-AK$127)*(1-AK$123)*$K239)</f>
        <v/>
      </c>
      <c r="AL239" s="648" t="str">
        <f>IF(OR(AL$122="",I178=""),"",'I. Stream &amp; Compound Data'!CH233/$J178*(1-AL$127)*(1-AL$123)*$K239)</f>
        <v/>
      </c>
      <c r="AM239" s="648" t="str">
        <f>IF(OR(AM$122="",I178=""),"",'I. Stream &amp; Compound Data'!CK233/$J178*(1-AM$127)*(1-AM$123)*$K239)</f>
        <v/>
      </c>
      <c r="AN239" s="648" t="str">
        <f>IF(OR(AN$122="",I178=""),"",'I. Stream &amp; Compound Data'!CN233/$J178*(1-AN$127)*(1-AN$123)*$K239)</f>
        <v/>
      </c>
      <c r="AO239" s="648" t="str">
        <f>IF(OR(AO$122="",I178=""),"",'I. Stream &amp; Compound Data'!CQ233/$J178*(1-AO$127)*(1-AO$123)*$K239)</f>
        <v/>
      </c>
      <c r="AP239" s="648" t="str">
        <f>IF(OR(AP$122="",I178=""),"",'I. Stream &amp; Compound Data'!CT233/$J178*(1-AP$127)*(1-AP$123)*$K239)</f>
        <v/>
      </c>
      <c r="AQ239" s="648" t="str">
        <f>IF(OR(AQ$122="",I178=""),"",'I. Stream &amp; Compound Data'!CW233/$J178*(1-AQ$127)*(1-AQ$123)*$K239)</f>
        <v/>
      </c>
      <c r="AR239" s="648" t="str">
        <f>IF(OR(AR$122="",I178=""),"",'I. Stream &amp; Compound Data'!CZ233/$J178*(1-AR$127)*(1-AR$123)*$K239)</f>
        <v/>
      </c>
      <c r="AS239" s="648" t="str">
        <f>IF(OR(AS$122="",I178=""),"",'I. Stream &amp; Compound Data'!DC233/$J178*(1-AS$127)*(1-AS$123)*$K239)</f>
        <v/>
      </c>
      <c r="AT239" s="648" t="str">
        <f>IF(OR(AT$122="",I178=""),"",'I. Stream &amp; Compound Data'!DF233/$J178*(1-AT$127)*(1-AT$123)*$K239)</f>
        <v/>
      </c>
      <c r="AU239" s="648" t="str">
        <f>IF(OR(AU$122="",I178=""),"",'I. Stream &amp; Compound Data'!DI233/$J178*(1-AU$127)*(1-AU$123)*$K239)</f>
        <v/>
      </c>
      <c r="AV239" s="648" t="str">
        <f>IF(OR(AV$122="",I178=""),"",'I. Stream &amp; Compound Data'!DL233/$J178*(1-AV$127)*(1-AV$123)*$K239)</f>
        <v/>
      </c>
      <c r="AW239" s="648" t="str">
        <f>IF(OR(AW$122="",I178=""),"",'I. Stream &amp; Compound Data'!DO233/$J178*(1-AW$127)*(1-AW$123)*$K239)</f>
        <v/>
      </c>
      <c r="AX239" s="648" t="str">
        <f>IF(OR(AX$122="",I178=""),"",'I. Stream &amp; Compound Data'!DR233/$J178*(1-AX$127)*(1-AX$123)*$K239)</f>
        <v/>
      </c>
      <c r="AY239" s="647" t="str">
        <f>IF(OR(AY$122="",I178=""),"",'I. Stream &amp; Compound Data'!DU233/$J178*(1-AY$127)*(1-AY$123)*$K239)</f>
        <v/>
      </c>
      <c r="AZ239" s="336"/>
      <c r="BA239" s="632"/>
      <c r="BB239" s="632"/>
      <c r="BC239" s="632"/>
      <c r="BD239" s="632"/>
      <c r="BE239" s="632"/>
      <c r="BF239" s="632"/>
      <c r="BG239" s="632"/>
      <c r="BH239" s="632"/>
      <c r="BI239" s="632"/>
      <c r="BJ239" s="632"/>
      <c r="BK239" s="632"/>
      <c r="BL239" s="632"/>
      <c r="BM239" s="632"/>
      <c r="BN239" s="632"/>
      <c r="BO239" s="632"/>
      <c r="BP239" s="632"/>
      <c r="BQ239" s="632"/>
      <c r="BR239" s="632"/>
      <c r="BS239" s="632"/>
      <c r="BT239" s="632"/>
      <c r="BU239" s="632"/>
      <c r="BV239" s="632"/>
      <c r="BW239" s="632"/>
      <c r="BX239" s="632"/>
      <c r="BY239" s="632"/>
      <c r="BZ239" s="632"/>
      <c r="CA239" s="632"/>
      <c r="CB239" s="632"/>
      <c r="CC239" s="632"/>
      <c r="CD239" s="632"/>
      <c r="CE239" s="632"/>
      <c r="CF239" s="632"/>
      <c r="CG239" s="632"/>
      <c r="CH239" s="632"/>
      <c r="CI239" s="632"/>
      <c r="CJ239" s="632"/>
      <c r="CK239" s="632"/>
      <c r="CL239" s="632"/>
      <c r="CM239" s="632"/>
      <c r="CN239" s="631"/>
    </row>
    <row r="240" spans="2:92" ht="15.75" x14ac:dyDescent="0.2">
      <c r="B240" s="610"/>
      <c r="C240" s="336"/>
      <c r="D240" s="611"/>
      <c r="E240" s="612"/>
      <c r="F240" s="612"/>
      <c r="G240" s="612"/>
      <c r="H240" s="611"/>
      <c r="I240" s="637"/>
      <c r="J240" s="653">
        <f>'I. Stream &amp; Compound Data'!F310</f>
        <v>49</v>
      </c>
      <c r="K240" s="651" t="str">
        <f>IF('I. Stream &amp; Compound Data'!G310="","",IF('I. Stream &amp; Compound Data'!V310=1,0,1))</f>
        <v/>
      </c>
      <c r="L240" s="651" t="str">
        <f>IF(OR(L$122="",I179=""),"",'I. Stream &amp; Compound Data'!H234/$J179*(1-L$127)*(1-L$123)*$K240)</f>
        <v/>
      </c>
      <c r="M240" s="651" t="str">
        <f>IF(OR(M$122="",I179=""),"",'I. Stream &amp; Compound Data'!K234/$J179*(1-M$127)*(1-M$123)*$K240)</f>
        <v/>
      </c>
      <c r="N240" s="652" t="str">
        <f>IF(OR(N$122="",I179=""),"",'I. Stream &amp; Compound Data'!N234/$J179*(1-N$127)*(1-N$123)*$K240)</f>
        <v/>
      </c>
      <c r="O240" s="651" t="str">
        <f>IF(OR(O$122="",I179=""),"",'I. Stream &amp; Compound Data'!Q234/$J179*(1-O$127)*(1-O$123)*$K240)</f>
        <v/>
      </c>
      <c r="P240" s="651" t="str">
        <f>IF(OR(P$122="",I179=""),"",'I. Stream &amp; Compound Data'!T234/$J179*(1-P$127)*(1-P$123)*$K240)</f>
        <v/>
      </c>
      <c r="Q240" s="650" t="str">
        <f>IF(OR(Q$122="",I179=""),"",'I. Stream &amp; Compound Data'!W234/$J179*(1-Q$127)*(1-Q$123)*$K240)</f>
        <v/>
      </c>
      <c r="R240" s="649" t="str">
        <f>IF(OR(R$122="",I179=""),"",'I. Stream &amp; Compound Data'!Z234/$J179*(1-R$127)*(1-R$123)*$K240)</f>
        <v/>
      </c>
      <c r="S240" s="649" t="str">
        <f>IF(OR(S$122="",I179=""),"",'I. Stream &amp; Compound Data'!AC234/$J179*(1-S$127)*(1-S$123)*$K240)</f>
        <v/>
      </c>
      <c r="T240" s="649" t="str">
        <f>IF(OR(T$122="",I179=""),"",'I. Stream &amp; Compound Data'!AF234/$J179*(1-T$127)*(1-T$123)*$K240)</f>
        <v/>
      </c>
      <c r="U240" s="648" t="str">
        <f>IF(OR(U$122="",I179=""),"",'I. Stream &amp; Compound Data'!AI234/$J179*(1-U$127)*(1-U$123)*$K240)</f>
        <v/>
      </c>
      <c r="V240" s="648" t="str">
        <f>IF(OR(V$122="",I179=""),"",'I. Stream &amp; Compound Data'!AL234/$J179*(1-V$127)*(1-V$123)*$K240)</f>
        <v/>
      </c>
      <c r="W240" s="648" t="str">
        <f>IF(OR(W$122="",I179=""),"",'I. Stream &amp; Compound Data'!AO234/$J179*(1-W$127)*(1-W$123)*$K240)</f>
        <v/>
      </c>
      <c r="X240" s="648" t="str">
        <f>IF(OR(X$122="",I179=""),"",'I. Stream &amp; Compound Data'!AR234/$J179*(1-X$127)*(1-X$123)*$K240)</f>
        <v/>
      </c>
      <c r="Y240" s="648" t="str">
        <f>IF(OR(Y$122="",I179=""),"",'I. Stream &amp; Compound Data'!AU234/$J179*(1-Y$127)*(1-Y$123)*$K240)</f>
        <v/>
      </c>
      <c r="Z240" s="648" t="str">
        <f>IF(OR(Z$122="",I179=""),"",'I. Stream &amp; Compound Data'!AX234/$J179*(1-Z$127)*(1-Z$123)*$K240)</f>
        <v/>
      </c>
      <c r="AA240" s="648" t="str">
        <f>IF(OR(AA$122="",I179=""),"",'I. Stream &amp; Compound Data'!BA234/$J179*(1-AA$127)*(1-AA$123)*$K240)</f>
        <v/>
      </c>
      <c r="AB240" s="648" t="str">
        <f>IF(OR(AB$122="",I179=""),"",'I. Stream &amp; Compound Data'!BD234/$J179*(1-AB$127)*(1-AB$123)*$K240)</f>
        <v/>
      </c>
      <c r="AC240" s="648" t="str">
        <f>IF(OR(AC$122="",I179=""),"",'I. Stream &amp; Compound Data'!BG234/$J179*(1-AC$127)*(1-AC$123)*$K240)</f>
        <v/>
      </c>
      <c r="AD240" s="648" t="str">
        <f>IF(OR(AD$122="",I179=""),"",'I. Stream &amp; Compound Data'!BJ234/$J179*(1-AD$127)*(1-AD$123)*$K240)</f>
        <v/>
      </c>
      <c r="AE240" s="648" t="str">
        <f>IF(OR(AE$122="",I179=""),"",'I. Stream &amp; Compound Data'!BM234/$J179*(1-AE$127)*(1-AE$123)*$K240)</f>
        <v/>
      </c>
      <c r="AF240" s="648" t="str">
        <f>IF(OR(AF$122="",I179=""),"",'I. Stream &amp; Compound Data'!BP234/$J179*(1-AF$127)*(1-AF$123)*$K240)</f>
        <v/>
      </c>
      <c r="AG240" s="648" t="str">
        <f>IF(OR(AG$122="",I179=""),"",'I. Stream &amp; Compound Data'!BS234/$J179*(1-AG$127)*(1-AG$123)*$K240)</f>
        <v/>
      </c>
      <c r="AH240" s="648" t="str">
        <f>IF(OR(AH$122="",I179=""),"",'I. Stream &amp; Compound Data'!BV234/$J179*(1-AH$127)*(1-AH$123)*$K240)</f>
        <v/>
      </c>
      <c r="AI240" s="648" t="str">
        <f>IF(OR(AI$122="",I179=""),"",'I. Stream &amp; Compound Data'!BY234/$J179*(1-AI$127)*(1-AI$123)*$K240)</f>
        <v/>
      </c>
      <c r="AJ240" s="648" t="str">
        <f>IF(OR(AJ$122="",I179=""),"",'I. Stream &amp; Compound Data'!CB234/$J179*(1-AJ$127)*(1-AJ$123)*$K240)</f>
        <v/>
      </c>
      <c r="AK240" s="648" t="str">
        <f>IF(OR(AK$122="",I179=""),"",'I. Stream &amp; Compound Data'!CE234/$J179*(1-AK$127)*(1-AK$123)*$K240)</f>
        <v/>
      </c>
      <c r="AL240" s="648" t="str">
        <f>IF(OR(AL$122="",I179=""),"",'I. Stream &amp; Compound Data'!CH234/$J179*(1-AL$127)*(1-AL$123)*$K240)</f>
        <v/>
      </c>
      <c r="AM240" s="648" t="str">
        <f>IF(OR(AM$122="",I179=""),"",'I. Stream &amp; Compound Data'!CK234/$J179*(1-AM$127)*(1-AM$123)*$K240)</f>
        <v/>
      </c>
      <c r="AN240" s="648" t="str">
        <f>IF(OR(AN$122="",I179=""),"",'I. Stream &amp; Compound Data'!CN234/$J179*(1-AN$127)*(1-AN$123)*$K240)</f>
        <v/>
      </c>
      <c r="AO240" s="648" t="str">
        <f>IF(OR(AO$122="",I179=""),"",'I. Stream &amp; Compound Data'!CQ234/$J179*(1-AO$127)*(1-AO$123)*$K240)</f>
        <v/>
      </c>
      <c r="AP240" s="648" t="str">
        <f>IF(OR(AP$122="",I179=""),"",'I. Stream &amp; Compound Data'!CT234/$J179*(1-AP$127)*(1-AP$123)*$K240)</f>
        <v/>
      </c>
      <c r="AQ240" s="648" t="str">
        <f>IF(OR(AQ$122="",I179=""),"",'I. Stream &amp; Compound Data'!CW234/$J179*(1-AQ$127)*(1-AQ$123)*$K240)</f>
        <v/>
      </c>
      <c r="AR240" s="648" t="str">
        <f>IF(OR(AR$122="",I179=""),"",'I. Stream &amp; Compound Data'!CZ234/$J179*(1-AR$127)*(1-AR$123)*$K240)</f>
        <v/>
      </c>
      <c r="AS240" s="648" t="str">
        <f>IF(OR(AS$122="",I179=""),"",'I. Stream &amp; Compound Data'!DC234/$J179*(1-AS$127)*(1-AS$123)*$K240)</f>
        <v/>
      </c>
      <c r="AT240" s="648" t="str">
        <f>IF(OR(AT$122="",I179=""),"",'I. Stream &amp; Compound Data'!DF234/$J179*(1-AT$127)*(1-AT$123)*$K240)</f>
        <v/>
      </c>
      <c r="AU240" s="648" t="str">
        <f>IF(OR(AU$122="",I179=""),"",'I. Stream &amp; Compound Data'!DI234/$J179*(1-AU$127)*(1-AU$123)*$K240)</f>
        <v/>
      </c>
      <c r="AV240" s="648" t="str">
        <f>IF(OR(AV$122="",I179=""),"",'I. Stream &amp; Compound Data'!DL234/$J179*(1-AV$127)*(1-AV$123)*$K240)</f>
        <v/>
      </c>
      <c r="AW240" s="648" t="str">
        <f>IF(OR(AW$122="",I179=""),"",'I. Stream &amp; Compound Data'!DO234/$J179*(1-AW$127)*(1-AW$123)*$K240)</f>
        <v/>
      </c>
      <c r="AX240" s="648" t="str">
        <f>IF(OR(AX$122="",I179=""),"",'I. Stream &amp; Compound Data'!DR234/$J179*(1-AX$127)*(1-AX$123)*$K240)</f>
        <v/>
      </c>
      <c r="AY240" s="647" t="str">
        <f>IF(OR(AY$122="",I179=""),"",'I. Stream &amp; Compound Data'!DU234/$J179*(1-AY$127)*(1-AY$123)*$K240)</f>
        <v/>
      </c>
      <c r="AZ240" s="336"/>
      <c r="BA240" s="632"/>
      <c r="BB240" s="632"/>
      <c r="BC240" s="632"/>
      <c r="BD240" s="632"/>
      <c r="BE240" s="632"/>
      <c r="BF240" s="632"/>
      <c r="BG240" s="632"/>
      <c r="BH240" s="632"/>
      <c r="BI240" s="632"/>
      <c r="BJ240" s="632"/>
      <c r="BK240" s="632"/>
      <c r="BL240" s="632"/>
      <c r="BM240" s="632"/>
      <c r="BN240" s="632"/>
      <c r="BO240" s="632"/>
      <c r="BP240" s="632"/>
      <c r="BQ240" s="632"/>
      <c r="BR240" s="632"/>
      <c r="BS240" s="632"/>
      <c r="BT240" s="632"/>
      <c r="BU240" s="632"/>
      <c r="BV240" s="632"/>
      <c r="BW240" s="632"/>
      <c r="BX240" s="632"/>
      <c r="BY240" s="632"/>
      <c r="BZ240" s="632"/>
      <c r="CA240" s="632"/>
      <c r="CB240" s="632"/>
      <c r="CC240" s="632"/>
      <c r="CD240" s="632"/>
      <c r="CE240" s="632"/>
      <c r="CF240" s="632"/>
      <c r="CG240" s="632"/>
      <c r="CH240" s="632"/>
      <c r="CI240" s="632"/>
      <c r="CJ240" s="632"/>
      <c r="CK240" s="632"/>
      <c r="CL240" s="632"/>
      <c r="CM240" s="632"/>
      <c r="CN240" s="631"/>
    </row>
    <row r="241" spans="2:92" ht="16.5" thickBot="1" x14ac:dyDescent="0.25">
      <c r="B241" s="610"/>
      <c r="C241" s="336"/>
      <c r="D241" s="611"/>
      <c r="E241" s="612"/>
      <c r="F241" s="612"/>
      <c r="G241" s="612"/>
      <c r="H241" s="611"/>
      <c r="I241" s="637"/>
      <c r="J241" s="653">
        <f>'I. Stream &amp; Compound Data'!F311</f>
        <v>50</v>
      </c>
      <c r="K241" s="645" t="str">
        <f>IF('I. Stream &amp; Compound Data'!G311="","",IF('I. Stream &amp; Compound Data'!V311=1,0,1))</f>
        <v/>
      </c>
      <c r="L241" s="645" t="str">
        <f>IF(OR(L$122="",I180=""),"",'I. Stream &amp; Compound Data'!H235/$J180*(1-L$127)*(1-L$123)*$K241)</f>
        <v/>
      </c>
      <c r="M241" s="645" t="str">
        <f>IF(OR(M$122="",I180=""),"",'I. Stream &amp; Compound Data'!K235/$J180*(1-M$127)*(1-M$123)*$K241)</f>
        <v/>
      </c>
      <c r="N241" s="646" t="str">
        <f>IF(OR(N$122="",I180=""),"",'I. Stream &amp; Compound Data'!N235/$J180*(1-N$127)*(1-N$123)*$K241)</f>
        <v/>
      </c>
      <c r="O241" s="645" t="str">
        <f>IF(OR(O$122="",I180=""),"",'I. Stream &amp; Compound Data'!Q235/$J180*(1-O$127)*(1-O$123)*$K241)</f>
        <v/>
      </c>
      <c r="P241" s="645" t="str">
        <f>IF(OR(P$122="",I180=""),"",'I. Stream &amp; Compound Data'!T235/$J180*(1-P$127)*(1-P$123)*$K241)</f>
        <v/>
      </c>
      <c r="Q241" s="644" t="str">
        <f>IF(OR(Q$122="",I180=""),"",'I. Stream &amp; Compound Data'!W235/$J180*(1-Q$127)*(1-Q$123)*$K241)</f>
        <v/>
      </c>
      <c r="R241" s="643" t="str">
        <f>IF(OR(R$122="",I180=""),"",'I. Stream &amp; Compound Data'!Z235/$J180*(1-R$127)*(1-R$123)*$K241)</f>
        <v/>
      </c>
      <c r="S241" s="643" t="str">
        <f>IF(OR(S$122="",I180=""),"",'I. Stream &amp; Compound Data'!AC235/$J180*(1-S$127)*(1-S$123)*$K241)</f>
        <v/>
      </c>
      <c r="T241" s="643" t="str">
        <f>IF(OR(T$122="",I180=""),"",'I. Stream &amp; Compound Data'!AF235/$J180*(1-T$127)*(1-T$123)*$K241)</f>
        <v/>
      </c>
      <c r="U241" s="642" t="str">
        <f>IF(OR(U$122="",I180=""),"",'I. Stream &amp; Compound Data'!AI235/$J180*(1-U$127)*(1-U$123)*$K241)</f>
        <v/>
      </c>
      <c r="V241" s="642" t="str">
        <f>IF(OR(V$122="",I180=""),"",'I. Stream &amp; Compound Data'!AL235/$J180*(1-V$127)*(1-V$123)*$K241)</f>
        <v/>
      </c>
      <c r="W241" s="642" t="str">
        <f>IF(OR(W$122="",I180=""),"",'I. Stream &amp; Compound Data'!AO235/$J180*(1-W$127)*(1-W$123)*$K241)</f>
        <v/>
      </c>
      <c r="X241" s="642" t="str">
        <f>IF(OR(X$122="",I180=""),"",'I. Stream &amp; Compound Data'!AR235/$J180*(1-X$127)*(1-X$123)*$K241)</f>
        <v/>
      </c>
      <c r="Y241" s="642" t="str">
        <f>IF(OR(Y$122="",I180=""),"",'I. Stream &amp; Compound Data'!AU235/$J180*(1-Y$127)*(1-Y$123)*$K241)</f>
        <v/>
      </c>
      <c r="Z241" s="642" t="str">
        <f>IF(OR(Z$122="",I180=""),"",'I. Stream &amp; Compound Data'!AX235/$J180*(1-Z$127)*(1-Z$123)*$K241)</f>
        <v/>
      </c>
      <c r="AA241" s="642" t="str">
        <f>IF(OR(AA$122="",I180=""),"",'I. Stream &amp; Compound Data'!BA235/$J180*(1-AA$127)*(1-AA$123)*$K241)</f>
        <v/>
      </c>
      <c r="AB241" s="642" t="str">
        <f>IF(OR(AB$122="",I180=""),"",'I. Stream &amp; Compound Data'!BD235/$J180*(1-AB$127)*(1-AB$123)*$K241)</f>
        <v/>
      </c>
      <c r="AC241" s="642" t="str">
        <f>IF(OR(AC$122="",I180=""),"",'I. Stream &amp; Compound Data'!BG235/$J180*(1-AC$127)*(1-AC$123)*$K241)</f>
        <v/>
      </c>
      <c r="AD241" s="642" t="str">
        <f>IF(OR(AD$122="",I180=""),"",'I. Stream &amp; Compound Data'!BJ235/$J180*(1-AD$127)*(1-AD$123)*$K241)</f>
        <v/>
      </c>
      <c r="AE241" s="642" t="str">
        <f>IF(OR(AE$122="",I180=""),"",'I. Stream &amp; Compound Data'!BM235/$J180*(1-AE$127)*(1-AE$123)*$K241)</f>
        <v/>
      </c>
      <c r="AF241" s="642" t="str">
        <f>IF(OR(AF$122="",I180=""),"",'I. Stream &amp; Compound Data'!BP235/$J180*(1-AF$127)*(1-AF$123)*$K241)</f>
        <v/>
      </c>
      <c r="AG241" s="642" t="str">
        <f>IF(OR(AG$122="",I180=""),"",'I. Stream &amp; Compound Data'!BS235/$J180*(1-AG$127)*(1-AG$123)*$K241)</f>
        <v/>
      </c>
      <c r="AH241" s="642" t="str">
        <f>IF(OR(AH$122="",I180=""),"",'I. Stream &amp; Compound Data'!BV235/$J180*(1-AH$127)*(1-AH$123)*$K241)</f>
        <v/>
      </c>
      <c r="AI241" s="642" t="str">
        <f>IF(OR(AI$122="",I180=""),"",'I. Stream &amp; Compound Data'!BY235/$J180*(1-AI$127)*(1-AI$123)*$K241)</f>
        <v/>
      </c>
      <c r="AJ241" s="642" t="str">
        <f>IF(OR(AJ$122="",I180=""),"",'I. Stream &amp; Compound Data'!CB235/$J180*(1-AJ$127)*(1-AJ$123)*$K241)</f>
        <v/>
      </c>
      <c r="AK241" s="642" t="str">
        <f>IF(OR(AK$122="",I180=""),"",'I. Stream &amp; Compound Data'!CE235/$J180*(1-AK$127)*(1-AK$123)*$K241)</f>
        <v/>
      </c>
      <c r="AL241" s="642" t="str">
        <f>IF(OR(AL$122="",I180=""),"",'I. Stream &amp; Compound Data'!CH235/$J180*(1-AL$127)*(1-AL$123)*$K241)</f>
        <v/>
      </c>
      <c r="AM241" s="642" t="str">
        <f>IF(OR(AM$122="",I180=""),"",'I. Stream &amp; Compound Data'!CK235/$J180*(1-AM$127)*(1-AM$123)*$K241)</f>
        <v/>
      </c>
      <c r="AN241" s="642" t="str">
        <f>IF(OR(AN$122="",I180=""),"",'I. Stream &amp; Compound Data'!CN235/$J180*(1-AN$127)*(1-AN$123)*$K241)</f>
        <v/>
      </c>
      <c r="AO241" s="642" t="str">
        <f>IF(OR(AO$122="",I180=""),"",'I. Stream &amp; Compound Data'!CQ235/$J180*(1-AO$127)*(1-AO$123)*$K241)</f>
        <v/>
      </c>
      <c r="AP241" s="642" t="str">
        <f>IF(OR(AP$122="",I180=""),"",'I. Stream &amp; Compound Data'!CT235/$J180*(1-AP$127)*(1-AP$123)*$K241)</f>
        <v/>
      </c>
      <c r="AQ241" s="642" t="str">
        <f>IF(OR(AQ$122="",I180=""),"",'I. Stream &amp; Compound Data'!CW235/$J180*(1-AQ$127)*(1-AQ$123)*$K241)</f>
        <v/>
      </c>
      <c r="AR241" s="642" t="str">
        <f>IF(OR(AR$122="",I180=""),"",'I. Stream &amp; Compound Data'!CZ235/$J180*(1-AR$127)*(1-AR$123)*$K241)</f>
        <v/>
      </c>
      <c r="AS241" s="642" t="str">
        <f>IF(OR(AS$122="",I180=""),"",'I. Stream &amp; Compound Data'!DC235/$J180*(1-AS$127)*(1-AS$123)*$K241)</f>
        <v/>
      </c>
      <c r="AT241" s="642" t="str">
        <f>IF(OR(AT$122="",I180=""),"",'I. Stream &amp; Compound Data'!DF235/$J180*(1-AT$127)*(1-AT$123)*$K241)</f>
        <v/>
      </c>
      <c r="AU241" s="642" t="str">
        <f>IF(OR(AU$122="",I180=""),"",'I. Stream &amp; Compound Data'!DI235/$J180*(1-AU$127)*(1-AU$123)*$K241)</f>
        <v/>
      </c>
      <c r="AV241" s="642" t="str">
        <f>IF(OR(AV$122="",I180=""),"",'I. Stream &amp; Compound Data'!DL235/$J180*(1-AV$127)*(1-AV$123)*$K241)</f>
        <v/>
      </c>
      <c r="AW241" s="642" t="str">
        <f>IF(OR(AW$122="",I180=""),"",'I. Stream &amp; Compound Data'!DO235/$J180*(1-AW$127)*(1-AW$123)*$K241)</f>
        <v/>
      </c>
      <c r="AX241" s="642" t="str">
        <f>IF(OR(AX$122="",I180=""),"",'I. Stream &amp; Compound Data'!DR235/$J180*(1-AX$127)*(1-AX$123)*$K241)</f>
        <v/>
      </c>
      <c r="AY241" s="641" t="str">
        <f>IF(OR(AY$122="",I180=""),"",'I. Stream &amp; Compound Data'!DU235/$J180*(1-AY$127)*(1-AY$123)*$K241)</f>
        <v/>
      </c>
      <c r="AZ241" s="336"/>
      <c r="BA241" s="632"/>
      <c r="BB241" s="632"/>
      <c r="BC241" s="632"/>
      <c r="BD241" s="632"/>
      <c r="BE241" s="632"/>
      <c r="BF241" s="632"/>
      <c r="BG241" s="632"/>
      <c r="BH241" s="632"/>
      <c r="BI241" s="632"/>
      <c r="BJ241" s="632"/>
      <c r="BK241" s="632"/>
      <c r="BL241" s="632"/>
      <c r="BM241" s="632"/>
      <c r="BN241" s="632"/>
      <c r="BO241" s="632"/>
      <c r="BP241" s="632"/>
      <c r="BQ241" s="632"/>
      <c r="BR241" s="632"/>
      <c r="BS241" s="632"/>
      <c r="BT241" s="632"/>
      <c r="BU241" s="632"/>
      <c r="BV241" s="632"/>
      <c r="BW241" s="632"/>
      <c r="BX241" s="632"/>
      <c r="BY241" s="632"/>
      <c r="BZ241" s="632"/>
      <c r="CA241" s="632"/>
      <c r="CB241" s="632"/>
      <c r="CC241" s="632"/>
      <c r="CD241" s="632"/>
      <c r="CE241" s="632"/>
      <c r="CF241" s="632"/>
      <c r="CG241" s="632"/>
      <c r="CH241" s="632"/>
      <c r="CI241" s="632"/>
      <c r="CJ241" s="632"/>
      <c r="CK241" s="632"/>
      <c r="CL241" s="632"/>
      <c r="CM241" s="632"/>
      <c r="CN241" s="631"/>
    </row>
    <row r="242" spans="2:92" ht="30.75" thickBot="1" x14ac:dyDescent="0.25">
      <c r="B242" s="610"/>
      <c r="C242" s="336"/>
      <c r="D242" s="611"/>
      <c r="E242" s="612"/>
      <c r="F242" s="612"/>
      <c r="G242" s="612"/>
      <c r="H242" s="611"/>
      <c r="I242" s="637"/>
      <c r="J242" s="336"/>
      <c r="K242" s="640" t="s">
        <v>1342</v>
      </c>
      <c r="L242" s="639">
        <f t="shared" ref="L242:AY242" si="20">IF(L$122="","",SUM(L192:L241))</f>
        <v>0</v>
      </c>
      <c r="M242" s="639">
        <f t="shared" si="20"/>
        <v>0</v>
      </c>
      <c r="N242" s="639">
        <f t="shared" si="20"/>
        <v>0</v>
      </c>
      <c r="O242" s="639">
        <f t="shared" si="20"/>
        <v>5.7629707033274753E-2</v>
      </c>
      <c r="P242" s="639">
        <f t="shared" si="20"/>
        <v>1.7319620190690461E-2</v>
      </c>
      <c r="Q242" s="639">
        <f t="shared" si="20"/>
        <v>3.7993512321518271E-3</v>
      </c>
      <c r="R242" s="639">
        <f t="shared" si="20"/>
        <v>0.12855973635914514</v>
      </c>
      <c r="S242" s="639">
        <f t="shared" si="20"/>
        <v>0</v>
      </c>
      <c r="T242" s="639" t="str">
        <f t="shared" si="20"/>
        <v/>
      </c>
      <c r="U242" s="639" t="str">
        <f t="shared" si="20"/>
        <v/>
      </c>
      <c r="V242" s="639" t="str">
        <f t="shared" si="20"/>
        <v/>
      </c>
      <c r="W242" s="639" t="str">
        <f t="shared" si="20"/>
        <v/>
      </c>
      <c r="X242" s="639" t="str">
        <f t="shared" si="20"/>
        <v/>
      </c>
      <c r="Y242" s="639" t="str">
        <f t="shared" si="20"/>
        <v/>
      </c>
      <c r="Z242" s="639" t="str">
        <f t="shared" si="20"/>
        <v/>
      </c>
      <c r="AA242" s="639" t="str">
        <f t="shared" si="20"/>
        <v/>
      </c>
      <c r="AB242" s="639" t="str">
        <f t="shared" si="20"/>
        <v/>
      </c>
      <c r="AC242" s="639" t="str">
        <f t="shared" si="20"/>
        <v/>
      </c>
      <c r="AD242" s="639" t="str">
        <f t="shared" si="20"/>
        <v/>
      </c>
      <c r="AE242" s="639" t="str">
        <f t="shared" si="20"/>
        <v/>
      </c>
      <c r="AF242" s="639" t="str">
        <f t="shared" si="20"/>
        <v/>
      </c>
      <c r="AG242" s="639" t="str">
        <f t="shared" si="20"/>
        <v/>
      </c>
      <c r="AH242" s="639" t="str">
        <f t="shared" si="20"/>
        <v/>
      </c>
      <c r="AI242" s="639" t="str">
        <f t="shared" si="20"/>
        <v/>
      </c>
      <c r="AJ242" s="639" t="str">
        <f t="shared" si="20"/>
        <v/>
      </c>
      <c r="AK242" s="639" t="str">
        <f t="shared" si="20"/>
        <v/>
      </c>
      <c r="AL242" s="639" t="str">
        <f t="shared" si="20"/>
        <v/>
      </c>
      <c r="AM242" s="639" t="str">
        <f t="shared" si="20"/>
        <v/>
      </c>
      <c r="AN242" s="639" t="str">
        <f t="shared" si="20"/>
        <v/>
      </c>
      <c r="AO242" s="639" t="str">
        <f t="shared" si="20"/>
        <v/>
      </c>
      <c r="AP242" s="639" t="str">
        <f t="shared" si="20"/>
        <v/>
      </c>
      <c r="AQ242" s="639" t="str">
        <f t="shared" si="20"/>
        <v/>
      </c>
      <c r="AR242" s="639" t="str">
        <f t="shared" si="20"/>
        <v/>
      </c>
      <c r="AS242" s="639" t="str">
        <f t="shared" si="20"/>
        <v/>
      </c>
      <c r="AT242" s="639" t="str">
        <f t="shared" si="20"/>
        <v/>
      </c>
      <c r="AU242" s="639" t="str">
        <f t="shared" si="20"/>
        <v/>
      </c>
      <c r="AV242" s="639" t="str">
        <f t="shared" si="20"/>
        <v/>
      </c>
      <c r="AW242" s="639" t="str">
        <f t="shared" si="20"/>
        <v/>
      </c>
      <c r="AX242" s="639" t="str">
        <f t="shared" si="20"/>
        <v/>
      </c>
      <c r="AY242" s="638" t="str">
        <f t="shared" si="20"/>
        <v/>
      </c>
      <c r="AZ242" s="336"/>
      <c r="BA242" s="632"/>
      <c r="BB242" s="632"/>
      <c r="BC242" s="632"/>
      <c r="BD242" s="632"/>
      <c r="BE242" s="632"/>
      <c r="BF242" s="632"/>
      <c r="BG242" s="632"/>
      <c r="BH242" s="632"/>
      <c r="BI242" s="632"/>
      <c r="BJ242" s="632"/>
      <c r="BK242" s="632"/>
      <c r="BL242" s="632"/>
      <c r="BM242" s="632"/>
      <c r="BN242" s="632"/>
      <c r="BO242" s="632"/>
      <c r="BP242" s="632"/>
      <c r="BQ242" s="632"/>
      <c r="BR242" s="632"/>
      <c r="BS242" s="632"/>
      <c r="BT242" s="632"/>
      <c r="BU242" s="632"/>
      <c r="BV242" s="632"/>
      <c r="BW242" s="632"/>
      <c r="BX242" s="632"/>
      <c r="BY242" s="632"/>
      <c r="BZ242" s="632"/>
      <c r="CA242" s="632"/>
      <c r="CB242" s="632"/>
      <c r="CC242" s="632"/>
      <c r="CD242" s="632"/>
      <c r="CE242" s="632"/>
      <c r="CF242" s="632"/>
      <c r="CG242" s="632"/>
      <c r="CH242" s="632"/>
      <c r="CI242" s="632"/>
      <c r="CJ242" s="632"/>
      <c r="CK242" s="632"/>
      <c r="CL242" s="632"/>
      <c r="CM242" s="632"/>
      <c r="CN242" s="631"/>
    </row>
    <row r="243" spans="2:92" ht="15.75" x14ac:dyDescent="0.25">
      <c r="B243" s="610"/>
      <c r="C243" s="336"/>
      <c r="D243" s="611"/>
      <c r="E243" s="612"/>
      <c r="F243" s="612"/>
      <c r="G243" s="612"/>
      <c r="H243" s="611"/>
      <c r="I243" s="637"/>
      <c r="J243" s="336"/>
      <c r="K243" s="611"/>
      <c r="L243" s="636"/>
      <c r="M243" s="612"/>
      <c r="N243" s="635"/>
      <c r="O243" s="611"/>
      <c r="P243" s="611"/>
      <c r="Q243" s="336"/>
      <c r="R243" s="628"/>
      <c r="S243" s="634"/>
      <c r="T243" s="634"/>
      <c r="U243" s="633"/>
      <c r="V243" s="336"/>
      <c r="W243" s="336"/>
      <c r="X243" s="336"/>
      <c r="Y243" s="336"/>
      <c r="Z243" s="336"/>
      <c r="AA243" s="336"/>
      <c r="AB243" s="336"/>
      <c r="AC243" s="336"/>
      <c r="AD243" s="336"/>
      <c r="AE243" s="336"/>
      <c r="AF243" s="336"/>
      <c r="AG243" s="336"/>
      <c r="AH243" s="336"/>
      <c r="AI243" s="336"/>
      <c r="AJ243" s="336"/>
      <c r="AK243" s="336"/>
      <c r="AL243" s="336"/>
      <c r="AM243" s="336"/>
      <c r="AN243" s="336"/>
      <c r="AO243" s="336"/>
      <c r="AP243" s="336"/>
      <c r="AQ243" s="336"/>
      <c r="AR243" s="336"/>
      <c r="AS243" s="336"/>
      <c r="AT243" s="336"/>
      <c r="AU243" s="336"/>
      <c r="AV243" s="336"/>
      <c r="AW243" s="336"/>
      <c r="AX243" s="336"/>
      <c r="AY243" s="336"/>
      <c r="AZ243" s="336"/>
      <c r="BA243" s="632"/>
      <c r="BB243" s="632"/>
      <c r="BC243" s="632"/>
      <c r="BD243" s="632"/>
      <c r="BE243" s="632"/>
      <c r="BF243" s="632"/>
      <c r="BG243" s="632"/>
      <c r="BH243" s="632"/>
      <c r="BI243" s="632"/>
      <c r="BJ243" s="632"/>
      <c r="BK243" s="632"/>
      <c r="BL243" s="632"/>
      <c r="BM243" s="632"/>
      <c r="BN243" s="632"/>
      <c r="BO243" s="632"/>
      <c r="BP243" s="632"/>
      <c r="BQ243" s="632"/>
      <c r="BR243" s="632"/>
      <c r="BS243" s="632"/>
      <c r="BT243" s="632"/>
      <c r="BU243" s="632"/>
      <c r="BV243" s="632"/>
      <c r="BW243" s="632"/>
      <c r="BX243" s="632"/>
      <c r="BY243" s="632"/>
      <c r="BZ243" s="632"/>
      <c r="CA243" s="632"/>
      <c r="CB243" s="632"/>
      <c r="CC243" s="632"/>
      <c r="CD243" s="632"/>
      <c r="CE243" s="632"/>
      <c r="CF243" s="632"/>
      <c r="CG243" s="632"/>
      <c r="CH243" s="632"/>
      <c r="CI243" s="632"/>
      <c r="CJ243" s="632"/>
      <c r="CK243" s="632"/>
      <c r="CL243" s="632"/>
      <c r="CM243" s="632"/>
      <c r="CN243" s="631"/>
    </row>
    <row r="244" spans="2:92" ht="15.75" thickBot="1" x14ac:dyDescent="0.25">
      <c r="B244" s="630"/>
      <c r="C244" s="630"/>
      <c r="D244" s="630"/>
      <c r="E244" s="630"/>
      <c r="F244" s="630"/>
      <c r="G244" s="630"/>
      <c r="H244" s="630"/>
      <c r="I244" s="630"/>
      <c r="J244" s="630"/>
      <c r="K244" s="630"/>
      <c r="L244" s="630"/>
      <c r="M244" s="630"/>
      <c r="N244" s="630"/>
      <c r="O244" s="630"/>
      <c r="P244" s="630"/>
      <c r="Q244" s="630"/>
      <c r="R244" s="630"/>
      <c r="S244" s="630"/>
      <c r="T244" s="630"/>
      <c r="U244" s="630"/>
      <c r="V244" s="630"/>
      <c r="W244" s="630"/>
      <c r="X244" s="630"/>
      <c r="Y244" s="630"/>
      <c r="Z244" s="630"/>
      <c r="AA244" s="630"/>
      <c r="AB244" s="630"/>
      <c r="AC244" s="630"/>
      <c r="AD244" s="630"/>
      <c r="AE244" s="630"/>
      <c r="AF244" s="630"/>
      <c r="AG244" s="630"/>
      <c r="AH244" s="630"/>
      <c r="AI244" s="630"/>
      <c r="AJ244" s="630"/>
      <c r="AK244" s="630"/>
      <c r="AL244" s="630"/>
      <c r="AM244" s="630"/>
      <c r="AN244" s="630"/>
      <c r="AO244" s="630"/>
      <c r="AP244" s="630"/>
      <c r="AQ244" s="630"/>
      <c r="AR244" s="630"/>
      <c r="AS244" s="630"/>
      <c r="AT244" s="630"/>
      <c r="AU244" s="630"/>
      <c r="AV244" s="630"/>
      <c r="AW244" s="630"/>
      <c r="AX244" s="630"/>
      <c r="AY244" s="630"/>
      <c r="AZ244" s="630"/>
      <c r="BA244" s="630"/>
      <c r="BB244" s="630"/>
      <c r="BC244" s="630"/>
      <c r="BD244" s="630"/>
      <c r="BE244" s="630"/>
      <c r="BF244" s="630"/>
      <c r="BG244" s="630"/>
      <c r="BH244" s="630"/>
      <c r="BI244" s="630"/>
      <c r="BJ244" s="630"/>
      <c r="BK244" s="630"/>
      <c r="BL244" s="630"/>
      <c r="BM244" s="630"/>
      <c r="BN244" s="630"/>
      <c r="BO244" s="630"/>
      <c r="BP244" s="630"/>
      <c r="BQ244" s="630"/>
      <c r="BR244" s="630"/>
      <c r="BS244" s="630"/>
      <c r="BT244" s="630"/>
      <c r="BU244" s="630"/>
      <c r="BV244" s="630"/>
      <c r="BW244" s="630"/>
      <c r="BX244" s="630"/>
      <c r="BY244" s="630"/>
      <c r="BZ244" s="630"/>
      <c r="CA244" s="630"/>
      <c r="CB244" s="630"/>
      <c r="CC244" s="630"/>
      <c r="CD244" s="630"/>
      <c r="CE244" s="630"/>
      <c r="CF244" s="630"/>
      <c r="CG244" s="630"/>
      <c r="CH244" s="630"/>
      <c r="CI244" s="630"/>
      <c r="CJ244" s="630"/>
      <c r="CK244" s="630"/>
      <c r="CL244" s="630"/>
      <c r="CM244" s="630"/>
      <c r="CN244" s="630"/>
    </row>
  </sheetData>
  <mergeCells count="22">
    <mergeCell ref="I125:K125"/>
    <mergeCell ref="L4:M4"/>
    <mergeCell ref="I119:K119"/>
    <mergeCell ref="I120:K120"/>
    <mergeCell ref="I122:K122"/>
    <mergeCell ref="I124:K124"/>
    <mergeCell ref="B2:I2"/>
    <mergeCell ref="E185:F185"/>
    <mergeCell ref="E187:F187"/>
    <mergeCell ref="I123:K123"/>
    <mergeCell ref="E184:F184"/>
    <mergeCell ref="E182:F182"/>
    <mergeCell ref="E181:F181"/>
    <mergeCell ref="E186:F186"/>
    <mergeCell ref="I126:K126"/>
    <mergeCell ref="I129:K129"/>
    <mergeCell ref="I127:K127"/>
    <mergeCell ref="I121:K121"/>
    <mergeCell ref="H3:R3"/>
    <mergeCell ref="H61:Q61"/>
    <mergeCell ref="E183:F183"/>
    <mergeCell ref="I128:K128"/>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65</vt:i4>
      </vt:variant>
    </vt:vector>
  </HeadingPairs>
  <TitlesOfParts>
    <vt:vector size="70" baseType="lpstr">
      <vt:lpstr>I. Stream &amp; Compound Data</vt:lpstr>
      <vt:lpstr>II. Equipment &amp; Cost Data</vt:lpstr>
      <vt:lpstr>III. Utility Data</vt:lpstr>
      <vt:lpstr>Potency Factors </vt:lpstr>
      <vt:lpstr>Solid Estimation</vt:lpstr>
      <vt:lpstr>'Solid Estimation'!_r°__kg_m_3</vt:lpstr>
      <vt:lpstr>_r°__kg_m_3</vt:lpstr>
      <vt:lpstr>'Solid Estimation'!Compound_name</vt:lpstr>
      <vt:lpstr>Compound_name</vt:lpstr>
      <vt:lpstr>'Solid Estimation'!Cp__kJ_kg_K</vt:lpstr>
      <vt:lpstr>Cp__kJ_kg_K</vt:lpstr>
      <vt:lpstr>'Solid Estimation'!DHv__kJ_kg</vt:lpstr>
      <vt:lpstr>DHv__kJ_kg</vt:lpstr>
      <vt:lpstr>'Solid Estimation'!Emergy_Transformity_MseJ_kg</vt:lpstr>
      <vt:lpstr>Emergy_Transformity_MseJ_kg</vt:lpstr>
      <vt:lpstr>'Solid Estimation'!ERPG2_mg_m3</vt:lpstr>
      <vt:lpstr>ERPG2_mg_m3</vt:lpstr>
      <vt:lpstr>'Solid Estimation'!ERPG3_mg_m3</vt:lpstr>
      <vt:lpstr>ERPG3_mg_m3</vt:lpstr>
      <vt:lpstr>'Solid Estimation'!Ex°_ch_MJ_kmol</vt:lpstr>
      <vt:lpstr>Ex°_ch_MJ_kmol</vt:lpstr>
      <vt:lpstr>'Solid Estimation'!H°_MJ_kg_1atm_25°C</vt:lpstr>
      <vt:lpstr>H°_MJ_kg_1atm_25°C</vt:lpstr>
      <vt:lpstr>High_pressure</vt:lpstr>
      <vt:lpstr>'Solid Estimation'!IN_Enthalpy_MJ_h</vt:lpstr>
      <vt:lpstr>IN_Enthalpy_MJ_h</vt:lpstr>
      <vt:lpstr>'Solid Estimation'!IN_Entropy_MJ_h_K</vt:lpstr>
      <vt:lpstr>IN_Entropy_MJ_h_K</vt:lpstr>
      <vt:lpstr>'Solid Estimation'!IN_flow_rates__kg_h</vt:lpstr>
      <vt:lpstr>IN_flow_rates__kg_h</vt:lpstr>
      <vt:lpstr>'Solid Estimation'!IN_Molar_flow__kmol_h</vt:lpstr>
      <vt:lpstr>IN_Molar_flow__kmol_h</vt:lpstr>
      <vt:lpstr>'Solid Estimation'!IN_renewab</vt:lpstr>
      <vt:lpstr>IN_renewab</vt:lpstr>
      <vt:lpstr>'Solid Estimation'!IN_stream_number</vt:lpstr>
      <vt:lpstr>IN_stream_number</vt:lpstr>
      <vt:lpstr>Low_pressure</vt:lpstr>
      <vt:lpstr>Medium_pressure</vt:lpstr>
      <vt:lpstr>'Solid Estimation'!MW__kg_kmol</vt:lpstr>
      <vt:lpstr>MW__kg_kmol</vt:lpstr>
      <vt:lpstr>'Solid Estimation'!OUT_Current_flow_rate</vt:lpstr>
      <vt:lpstr>OUT_Current_flow_rate</vt:lpstr>
      <vt:lpstr>'Solid Estimation'!OUT_Enthalpy__MJ_h</vt:lpstr>
      <vt:lpstr>OUT_Enthalpy__MJ_h</vt:lpstr>
      <vt:lpstr>'Solid Estimation'!OUT_Entropy__MJ_K_h</vt:lpstr>
      <vt:lpstr>OUT_Entropy__MJ_K_h</vt:lpstr>
      <vt:lpstr>'Solid Estimation'!OUT_Hazardous_1__nonhazardous_0</vt:lpstr>
      <vt:lpstr>OUT_Hazardous_1__nonhazardous_0</vt:lpstr>
      <vt:lpstr>'Solid Estimation'!OUT_Molar_flow_kmol_h</vt:lpstr>
      <vt:lpstr>OUT_Molar_flow_kmol_h</vt:lpstr>
      <vt:lpstr>'Solid Estimation'!OUT_Non_polluted_1__polluted_0</vt:lpstr>
      <vt:lpstr>OUT_Non_polluted_1__polluted_0</vt:lpstr>
      <vt:lpstr>'Solid Estimation'!OUT_Pressure__kPa</vt:lpstr>
      <vt:lpstr>OUT_Pressure__kPa</vt:lpstr>
      <vt:lpstr>'Solid Estimation'!OUT_Product_1__waste_0</vt:lpstr>
      <vt:lpstr>OUT_Product_1__waste_0</vt:lpstr>
      <vt:lpstr>'Solid Estimation'!OUT_renewability</vt:lpstr>
      <vt:lpstr>OUT_renewability</vt:lpstr>
      <vt:lpstr>'Solid Estimation'!OUT_stream_Num</vt:lpstr>
      <vt:lpstr>OUT_stream_Num</vt:lpstr>
      <vt:lpstr>'Solid Estimation'!OUT_Temperature__°C</vt:lpstr>
      <vt:lpstr>OUT_Temperature__°C</vt:lpstr>
      <vt:lpstr>'Solid Estimation'!OUT_Vapor_fraction</vt:lpstr>
      <vt:lpstr>OUT_Vapor_fraction</vt:lpstr>
      <vt:lpstr>'Solid Estimation'!OUT_Volumetric_flow__m_3_h</vt:lpstr>
      <vt:lpstr>OUT_Volumetric_flow__m_3_h</vt:lpstr>
      <vt:lpstr>'Solid Estimation'!S°_MJ_kg_K_1atm_25°C</vt:lpstr>
      <vt:lpstr>S°_MJ_kg_K_1atm_25°C</vt:lpstr>
      <vt:lpstr>'Solid Estimation'!Tb__°C</vt:lpstr>
      <vt:lpstr>Tb__°C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gruizmer</cp:lastModifiedBy>
  <dcterms:created xsi:type="dcterms:W3CDTF">2010-05-26T22:51:11Z</dcterms:created>
  <dcterms:modified xsi:type="dcterms:W3CDTF">2016-08-04T20:43:39Z</dcterms:modified>
</cp:coreProperties>
</file>